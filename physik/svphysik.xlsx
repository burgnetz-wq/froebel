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eb403acea64769" /></Relationships>
</file>

<file path=xl/workbook.xml><?xml version="1.0" encoding="utf-8"?>
<x:workbook xmlns:x="http://schemas.openxmlformats.org/spreadsheetml/2006/main">
  <x:sheets>
    <x:sheet xmlns:r="http://schemas.openxmlformats.org/officeDocument/2006/relationships" name="Übersicht" sheetId="1" r:id="Ra0fff5dc053448a0"/>
    <x:sheet xmlns:r="http://schemas.openxmlformats.org/officeDocument/2006/relationships" name="Gesamtplan Physik" sheetId="2" r:id="R995ec4d7e5a44428"/>
    <x:sheet xmlns:r="http://schemas.openxmlformats.org/officeDocument/2006/relationships" name="Physik 7" sheetId="3" r:id="R85efe047f0ab4a64"/>
    <x:sheet xmlns:r="http://schemas.openxmlformats.org/officeDocument/2006/relationships" name="Physik 8" sheetId="4" r:id="R63d4341e2dba4c66"/>
    <x:sheet xmlns:r="http://schemas.openxmlformats.org/officeDocument/2006/relationships" name="Physik 9" sheetId="5" r:id="R64adf585f3e44990"/>
    <x:sheet xmlns:r="http://schemas.openxmlformats.org/officeDocument/2006/relationships" name="Physik 10" sheetId="6" r:id="R4701a496c458424d"/>
    <x:sheet xmlns:r="http://schemas.openxmlformats.org/officeDocument/2006/relationships" name="Astronomie 10" sheetId="7" r:id="Rb2dda9fec54d4913"/>
    <x:sheet xmlns:r="http://schemas.openxmlformats.org/officeDocument/2006/relationships" name="Quellen" sheetId="8" r:id="R2e02c7e3f51e44e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i/>
      <x:sz val="11"/>
      <x:name val="Carlito"/>
    </x:font>
    <x:font>
      <x:b/>
      <x:sz val="11"/>
      <x:color rgb="FFFFFFFF"/>
      <x:name val="Carlito"/>
    </x:font>
    <x:font>
      <x:b/>
      <x:sz val="16"/>
      <x:color rgb="FFFFFFFF"/>
      <x:name val="Carlito"/>
    </x:font>
    <x:font>
      <x:b/>
      <x:sz val="11"/>
      <x:color rgb="FF0563C1"/>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2F75B5"/>
      </x:patternFill>
    </x:fill>
    <x:fill>
      <x:patternFill patternType="solid">
        <x:fgColor rgb="FFEAF4EA"/>
      </x:patternFill>
    </x:fill>
  </x:fills>
  <x:borders count="24">
    <x:border/>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s>
  <x:cellStyleXfs count="1">
    <x:xf numFmtId="0" fontId="0" fillId="0" borderId="0"/>
  </x:cellStyleXfs>
  <x:cellXfs count="19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applyAlignment="1">
      <x:alignment horizontal="center" vertical="top" wrapText="1"/>
    </x:xf>
    <x:xf numFmtId="0" fontId="0" fillId="0" borderId="9" xfId="0" applyNumberFormat="1" applyFont="1" applyFill="1" applyBorder="1" applyAlignment="1">
      <x:alignment horizontal="center" vertical="top" wrapText="1"/>
    </x:xf>
    <x:xf numFmtId="0" fontId="0" fillId="0" borderId="11"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13"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0" fillId="0" borderId="19"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21" xfId="0" applyNumberFormat="1" applyFont="1" applyFill="1" applyBorder="1" applyAlignment="1">
      <x:alignment horizontal="center" vertical="top" wrapText="1"/>
    </x:xf>
    <x:xf numFmtId="0" fontId="0" fillId="0" borderId="22" xfId="0" applyNumberFormat="1" applyFont="1" applyFill="1" applyBorder="1" applyAlignment="1">
      <x:alignment horizontal="center" vertical="top" wrapText="1"/>
    </x:xf>
    <x:xf numFmtId="0" fontId="0" fillId="5" borderId="9"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2" xfId="0" applyNumberFormat="1" applyFont="1" applyFill="1" applyBorder="1" applyAlignment="1">
      <x:alignment vertical="top" wrapText="1"/>
    </x:xf>
    <x:xf numFmtId="0" fontId="0" fillId="5" borderId="14" xfId="0" applyNumberFormat="1" applyFont="1" applyFill="1" applyBorder="1" applyAlignment="1">
      <x:alignment vertical="top" wrapText="1"/>
    </x:xf>
    <x:xf numFmtId="0" fontId="0" fillId="5" borderId="15" xfId="0" applyNumberFormat="1" applyFont="1" applyFill="1" applyBorder="1" applyAlignment="1">
      <x:alignment vertical="top" wrapText="1"/>
    </x:xf>
    <x:xf numFmtId="0" fontId="5" fillId="5" borderId="9" xfId="0" applyNumberFormat="1" applyFont="1" applyFill="1" applyBorder="1" applyAlignment="1">
      <x:alignment vertical="top" wrapText="1"/>
    </x:xf>
    <x:xf numFmtId="0" fontId="5" fillId="5" borderId="1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12" xfId="0" applyNumberFormat="1" applyFont="1" applyFill="1" applyBorder="1" applyAlignment="1">
      <x:alignment vertical="top" wrapText="1"/>
    </x:xf>
    <x:xf numFmtId="0" fontId="5" fillId="5" borderId="14" xfId="0" applyNumberFormat="1" applyFont="1" applyFill="1" applyBorder="1" applyAlignment="1">
      <x:alignment vertical="top" wrapText="1"/>
    </x:xf>
    <x:xf numFmtId="0" fontId="5" fillId="5" borderId="15" xfId="0" applyNumberFormat="1" applyFont="1" applyFill="1" applyBorder="1" applyAlignment="1">
      <x:alignment vertical="top" wrapText="1"/>
    </x:xf>
    <x:xf numFmtId="0" fontId="5" fillId="5" borderId="8" xfId="0" applyNumberFormat="1" applyFont="1" applyFill="1" applyBorder="1" applyAlignment="1">
      <x:alignment vertical="top" wrapText="1"/>
    </x:xf>
    <x:xf numFmtId="0" fontId="5" fillId="5" borderId="11" xfId="0" applyNumberFormat="1" applyFont="1" applyFill="1" applyBorder="1" applyAlignment="1">
      <x:alignment vertical="top" wrapText="1"/>
    </x:xf>
    <x:xf numFmtId="0" fontId="5" fillId="5" borderId="13" xfId="0" applyNumberFormat="1" applyFont="1" applyFill="1" applyBorder="1" applyAlignment="1">
      <x:alignment vertical="top" wrapText="1"/>
    </x:xf>
    <x:xf numFmtId="0" fontId="5" fillId="5" borderId="8" xfId="0" applyNumberFormat="1" applyFont="1" applyFill="1" applyBorder="1" applyAlignment="1">
      <x:alignment horizontal="center" vertical="top" wrapText="1"/>
    </x:xf>
    <x:xf numFmtId="0" fontId="5" fillId="5" borderId="10" xfId="0" applyNumberFormat="1" applyFont="1" applyFill="1" applyBorder="1" applyAlignment="1">
      <x:alignment horizontal="center" vertical="top" wrapText="1"/>
    </x:xf>
    <x:xf numFmtId="0" fontId="5" fillId="5" borderId="11" xfId="0" applyNumberFormat="1" applyFont="1" applyFill="1" applyBorder="1" applyAlignment="1">
      <x:alignment horizontal="center" vertical="top" wrapText="1"/>
    </x:xf>
    <x:xf numFmtId="0" fontId="5" fillId="5" borderId="12" xfId="0" applyNumberFormat="1" applyFont="1" applyFill="1" applyBorder="1" applyAlignment="1">
      <x:alignment horizontal="center" vertical="top" wrapText="1"/>
    </x:xf>
    <x:xf numFmtId="0" fontId="5" fillId="5" borderId="13" xfId="0" applyNumberFormat="1" applyFont="1" applyFill="1" applyBorder="1" applyAlignment="1">
      <x:alignment horizontal="center" vertical="top" wrapText="1"/>
    </x:xf>
    <x:xf numFmtId="0" fontId="5" fillId="5" borderId="15" xfId="0" applyNumberFormat="1" applyFont="1" applyFill="1" applyBorder="1" applyAlignment="1">
      <x:alignment horizontal="center" vertical="top" wrapText="1"/>
    </x:xf>
    <x:xf numFmtId="0" fontId="5" fillId="5" borderId="8" xfId="0" applyNumberFormat="1" applyFont="1" applyFill="1" applyBorder="1" applyAlignment="1">
      <x:alignment horizontal="center" vertical="center" wrapText="1"/>
    </x:xf>
    <x:xf numFmtId="0" fontId="5" fillId="5" borderId="10" xfId="0" applyNumberFormat="1" applyFont="1" applyFill="1" applyBorder="1" applyAlignment="1">
      <x:alignment horizontal="center" vertical="center" wrapText="1"/>
    </x:xf>
    <x:xf numFmtId="0" fontId="5" fillId="5" borderId="11" xfId="0" applyNumberFormat="1" applyFont="1" applyFill="1" applyBorder="1" applyAlignment="1">
      <x:alignment horizontal="center" vertical="center" wrapText="1"/>
    </x:xf>
    <x:xf numFmtId="0" fontId="5" fillId="5" borderId="12" xfId="0" applyNumberFormat="1" applyFont="1" applyFill="1" applyBorder="1" applyAlignment="1">
      <x:alignment horizontal="center" vertical="center" wrapText="1"/>
    </x:xf>
    <x:xf numFmtId="0" fontId="5" fillId="5" borderId="13" xfId="0" applyNumberFormat="1" applyFont="1" applyFill="1" applyBorder="1" applyAlignment="1">
      <x:alignment horizontal="center" vertical="center" wrapText="1"/>
    </x:xf>
    <x:xf numFmtId="0" fontId="5" fillId="5" borderId="15" xfId="0" applyNumberFormat="1" applyFont="1" applyFill="1" applyBorder="1" applyAlignment="1">
      <x:alignment horizontal="center" vertical="center" wrapText="1"/>
    </x:xf>
    <x:xf numFmtId="0" fontId="0" fillId="5" borderId="17" xfId="0" applyNumberFormat="1" applyFont="1" applyFill="1" applyBorder="1" applyAlignment="1">
      <x:alignment vertical="top" wrapText="1"/>
    </x:xf>
    <x:xf numFmtId="0" fontId="0" fillId="5" borderId="18"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20" xfId="0" applyNumberFormat="1" applyFont="1" applyFill="1" applyBorder="1" applyAlignment="1">
      <x:alignment vertical="top" wrapText="1"/>
    </x:xf>
    <x:xf numFmtId="0" fontId="0" fillId="5" borderId="22" xfId="0" applyNumberFormat="1" applyFont="1" applyFill="1" applyBorder="1" applyAlignment="1">
      <x:alignment vertical="top" wrapText="1"/>
    </x:xf>
    <x:xf numFmtId="0" fontId="0" fillId="5" borderId="23" xfId="0" applyNumberFormat="1" applyFont="1" applyFill="1" applyBorder="1" applyAlignment="1">
      <x:alignment vertical="top" wrapText="1"/>
    </x:xf>
    <x:xf numFmtId="0" fontId="5" fillId="5" borderId="17" xfId="0" applyNumberFormat="1" applyFont="1" applyFill="1" applyBorder="1" applyAlignment="1">
      <x:alignment vertical="top" wrapText="1"/>
    </x:xf>
    <x:xf numFmtId="0" fontId="5" fillId="5" borderId="18"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5" borderId="20" xfId="0" applyNumberFormat="1" applyFont="1" applyFill="1" applyBorder="1" applyAlignment="1">
      <x:alignment vertical="top" wrapText="1"/>
    </x:xf>
    <x:xf numFmtId="0" fontId="5" fillId="5" borderId="22" xfId="0" applyNumberFormat="1" applyFont="1" applyFill="1" applyBorder="1" applyAlignment="1">
      <x:alignment vertical="top" wrapText="1"/>
    </x:xf>
    <x:xf numFmtId="0" fontId="5" fillId="5" borderId="23" xfId="0" applyNumberFormat="1" applyFont="1" applyFill="1" applyBorder="1" applyAlignment="1">
      <x:alignment vertical="top" wrapText="1"/>
    </x:xf>
    <x:xf numFmtId="0" fontId="5" fillId="5" borderId="16" xfId="0" applyNumberFormat="1" applyFont="1" applyFill="1" applyBorder="1" applyAlignment="1">
      <x:alignment vertical="top" wrapText="1"/>
    </x:xf>
    <x:xf numFmtId="0" fontId="5" fillId="5" borderId="19" xfId="0" applyNumberFormat="1" applyFont="1" applyFill="1" applyBorder="1" applyAlignment="1">
      <x:alignment vertical="top" wrapText="1"/>
    </x:xf>
    <x:xf numFmtId="0" fontId="5" fillId="5" borderId="21" xfId="0" applyNumberFormat="1" applyFont="1" applyFill="1" applyBorder="1" applyAlignment="1">
      <x:alignment vertical="top" wrapText="1"/>
    </x:xf>
    <x:xf numFmtId="0" fontId="5" fillId="5" borderId="16" xfId="0" applyNumberFormat="1" applyFont="1" applyFill="1" applyBorder="1" applyAlignment="1">
      <x:alignment horizontal="center" vertical="top" wrapText="1"/>
    </x:xf>
    <x:xf numFmtId="0" fontId="5" fillId="5" borderId="18" xfId="0" applyNumberFormat="1" applyFont="1" applyFill="1" applyBorder="1" applyAlignment="1">
      <x:alignment horizontal="center" vertical="top" wrapText="1"/>
    </x:xf>
    <x:xf numFmtId="0" fontId="5" fillId="5" borderId="19" xfId="0" applyNumberFormat="1" applyFont="1" applyFill="1" applyBorder="1" applyAlignment="1">
      <x:alignment horizontal="center" vertical="top" wrapText="1"/>
    </x:xf>
    <x:xf numFmtId="0" fontId="5" fillId="5" borderId="20" xfId="0" applyNumberFormat="1" applyFont="1" applyFill="1" applyBorder="1" applyAlignment="1">
      <x:alignment horizontal="center" vertical="top" wrapText="1"/>
    </x:xf>
    <x:xf numFmtId="0" fontId="5" fillId="5" borderId="21" xfId="0" applyNumberFormat="1" applyFont="1" applyFill="1" applyBorder="1" applyAlignment="1">
      <x:alignment horizontal="center" vertical="top" wrapText="1"/>
    </x:xf>
    <x:xf numFmtId="0" fontId="5" fillId="5" borderId="23" xfId="0" applyNumberFormat="1" applyFont="1" applyFill="1" applyBorder="1" applyAlignment="1">
      <x:alignment horizontal="center" vertical="top" wrapText="1"/>
    </x:xf>
    <x:xf numFmtId="0" fontId="5" fillId="5" borderId="16" xfId="0" applyNumberFormat="1" applyFont="1" applyFill="1" applyBorder="1" applyAlignment="1">
      <x:alignment horizontal="center" vertical="center" wrapText="1"/>
    </x:xf>
    <x:xf numFmtId="0" fontId="5" fillId="5" borderId="18" xfId="0" applyNumberFormat="1" applyFont="1" applyFill="1" applyBorder="1" applyAlignment="1">
      <x:alignment horizontal="center" vertical="center" wrapText="1"/>
    </x:xf>
    <x:xf numFmtId="0" fontId="5" fillId="5" borderId="19" xfId="0" applyNumberFormat="1" applyFont="1" applyFill="1" applyBorder="1" applyAlignment="1">
      <x:alignment horizontal="center" vertical="center" wrapText="1"/>
    </x:xf>
    <x:xf numFmtId="0" fontId="5" fillId="5" borderId="20" xfId="0" applyNumberFormat="1" applyFont="1" applyFill="1" applyBorder="1" applyAlignment="1">
      <x:alignment horizontal="center" vertical="center" wrapText="1"/>
    </x:xf>
    <x:xf numFmtId="0" fontId="5" fillId="5" borderId="21" xfId="0" applyNumberFormat="1" applyFont="1" applyFill="1" applyBorder="1" applyAlignment="1">
      <x:alignment horizontal="center" vertical="center" wrapText="1"/>
    </x:xf>
    <x:xf numFmtId="0" fontId="5" fillId="5" borderId="23" xfId="0" applyNumberFormat="1" applyFont="1" applyFill="1" applyBorder="1" applyAlignment="1">
      <x:alignment horizontal="center" vertical="center" wrapText="1"/>
    </x:xf>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d9df883c914089" /><Relationship Type="http://schemas.openxmlformats.org/officeDocument/2006/relationships/theme" Target="/xl/theme/theme1.xml" Id="R9d307d9094eb4afd" /><Relationship Type="http://schemas.openxmlformats.org/officeDocument/2006/relationships/sharedStrings" Target="/xl/sharedStrings.xml" Id="R2abb206097ba4155" /><Relationship Type="http://schemas.openxmlformats.org/officeDocument/2006/relationships/worksheet" Target="/xl/worksheets/sheet1.xml" Id="Ra0fff5dc053448a0" /><Relationship Type="http://schemas.openxmlformats.org/officeDocument/2006/relationships/worksheet" Target="/xl/worksheets/sheet2.xml" Id="R995ec4d7e5a44428" /><Relationship Type="http://schemas.openxmlformats.org/officeDocument/2006/relationships/worksheet" Target="/xl/worksheets/sheet3.xml" Id="R85efe047f0ab4a64" /><Relationship Type="http://schemas.openxmlformats.org/officeDocument/2006/relationships/worksheet" Target="/xl/worksheets/sheet4.xml" Id="R63d4341e2dba4c66" /><Relationship Type="http://schemas.openxmlformats.org/officeDocument/2006/relationships/worksheet" Target="/xl/worksheets/sheet5.xml" Id="R64adf585f3e44990" /><Relationship Type="http://schemas.openxmlformats.org/officeDocument/2006/relationships/worksheet" Target="/xl/worksheets/sheet6.xml" Id="R4701a496c458424d" /><Relationship Type="http://schemas.openxmlformats.org/officeDocument/2006/relationships/worksheet" Target="/xl/worksheets/sheet7.xml" Id="Rb2dda9fec54d4913" /><Relationship Type="http://schemas.openxmlformats.org/officeDocument/2006/relationships/worksheet" Target="/xl/worksheets/sheet8.xml" Id="R2e02c7e3f51e44e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19824900c964f4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Unterrichtsmodule nach Klassenstufe</a:t>
            </a:r>
          </a:p>
        </c:rich>
      </c:tx>
      <c:overlay val="0"/>
    </c:title>
    <c:autoTitleDeleted val="0"/>
    <c:plotArea>
      <c:layout/>
      <c:barChart>
        <c:barDir val="col"/>
        <c:varyColors val="0"/>
        <c:ser>
          <c:idx val="0"/>
          <c:order val="0"/>
          <c:tx>
            <c:v>Stunden</c:v>
          </c:tx>
          <c:cat>
            <c:strRef>
              <c:f>'Übersicht'!$B$6:$B$10</c:f>
              <c:strCache>
                <c:ptCount val="0"/>
              </c:strCache>
            </c:strRef>
          </c:cat>
          <c:val>
            <c:numRef>
              <c:f>'Übersicht'!$C$6:$C$10</c:f>
              <c:numCache>
                <c:formatCode>General</c:formatCode>
                <c:ptCount val="0"/>
              </c:numCache>
            </c:numRef>
          </c:val>
        </c:ser>
        <c:ser>
          <c:idx val="1"/>
          <c:order val="1"/>
          <c:tx>
            <c:v>Schüler-Module</c:v>
          </c:tx>
          <c:cat>
            <c:strRef>
              <c:f>'Übersicht'!$B$6:$B$10</c:f>
              <c:strCache>
                <c:ptCount val="0"/>
              </c:strCache>
            </c:strRef>
          </c:cat>
          <c:val>
            <c:numRef>
              <c:f>'Übersicht'!$D$6:$D$10</c:f>
              <c:numCache>
                <c:formatCode>General</c:formatCode>
                <c:ptCount val="0"/>
              </c:numCache>
            </c:numRef>
          </c:val>
        </c:ser>
        <c:ser>
          <c:idx val="2"/>
          <c:order val="2"/>
          <c:tx>
            <c:v>Lehrer-Vorbereitungen</c:v>
          </c:tx>
          <c:cat>
            <c:strRef>
              <c:f>'Übersicht'!$B$6:$B$10</c:f>
              <c:strCache>
                <c:ptCount val="0"/>
              </c:strCache>
            </c:strRef>
          </c:cat>
          <c:val>
            <c:numRef>
              <c:f>'Übersicht'!$E$6:$E$10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4</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19824900c964f42"/>
        </a:graphicData>
      </a:graphic>
    </xdr:graphicFrame>
    <xdr:clientData/>
  </xdr:twoCellAnchor>
</xdr:wsDr>
</file>

<file path=xl/tables/table1.xml><?xml version="1.0" encoding="utf-8"?>
<x:table xmlns:x="http://schemas.openxmlformats.org/spreadsheetml/2006/main" id="1" name="GesamtplanPhysik" displayName="GesamtplanPhysik" ref="A4:N99" headerRowCount="1">
  <x:tableColumns count="14">
    <x:tableColumn id="1" name="Fach"/>
    <x:tableColumn id="2" name="Klasse"/>
    <x:tableColumn id="3" name="Lernbereich"/>
    <x:tableColumn id="4" name="Stunde"/>
    <x:tableColumn id="5" name="Thema der Unterrichtsstunde"/>
    <x:tableColumn id="6" name="Inhalt HSA"/>
    <x:tableColumn id="7" name="Inhalt RSA"/>
    <x:tableColumn id="8" name="Kompetenz"/>
    <x:tableColumn id="9" name="Experiment / Material"/>
    <x:tableColumn id="10" name="Arduino-Einsatz"/>
    <x:tableColumn id="11" name="Modul-ID"/>
    <x:tableColumn id="12" name="Bild aus GitHub"/>
    <x:tableColumn id="13" name="Schüler-Modul"/>
    <x:tableColumn id="14" name="Lehrer-Vorbereitung"/>
  </x:tableColumns>
  <x:tableStyleInfo name="TableStyleMedium2" showRowStripes="1"/>
</x:table>
</file>

<file path=xl/tables/table2.xml><?xml version="1.0" encoding="utf-8"?>
<x:table xmlns:x="http://schemas.openxmlformats.org/spreadsheetml/2006/main" id="2" name="PhysikKlasse7" displayName="PhysikKlasse7" ref="A4:N25" headerRowCount="1">
  <x:tableColumns count="14">
    <x:tableColumn id="1" name="Fach"/>
    <x:tableColumn id="2" name="Klasse"/>
    <x:tableColumn id="3" name="Lernbereich"/>
    <x:tableColumn id="4" name="Stunde"/>
    <x:tableColumn id="5" name="Thema der Unterrichtsstunde"/>
    <x:tableColumn id="6" name="Inhalt HSA"/>
    <x:tableColumn id="7" name="Inhalt RSA"/>
    <x:tableColumn id="8" name="Kompetenz"/>
    <x:tableColumn id="9" name="Experiment / Material"/>
    <x:tableColumn id="10" name="Arduino-Einsatz"/>
    <x:tableColumn id="11" name="Modul-ID"/>
    <x:tableColumn id="12" name="Bild aus GitHub"/>
    <x:tableColumn id="13" name="Schüler-Modul"/>
    <x:tableColumn id="14" name="Lehrer-Vorbereitung"/>
  </x:tableColumns>
  <x:tableStyleInfo name="TableStyleMedium2" showRowStripes="1"/>
</x:table>
</file>

<file path=xl/tables/table3.xml><?xml version="1.0" encoding="utf-8"?>
<x:table xmlns:x="http://schemas.openxmlformats.org/spreadsheetml/2006/main" id="3" name="PhysikKlasse8" displayName="PhysikKlasse8" ref="A4:N26" headerRowCount="1">
  <x:tableColumns count="14">
    <x:tableColumn id="1" name="Fach"/>
    <x:tableColumn id="2" name="Klasse"/>
    <x:tableColumn id="3" name="Lernbereich"/>
    <x:tableColumn id="4" name="Stunde"/>
    <x:tableColumn id="5" name="Thema der Unterrichtsstunde"/>
    <x:tableColumn id="6" name="Inhalt HSA"/>
    <x:tableColumn id="7" name="Inhalt RSA"/>
    <x:tableColumn id="8" name="Kompetenz"/>
    <x:tableColumn id="9" name="Experiment / Material"/>
    <x:tableColumn id="10" name="Arduino-Einsatz"/>
    <x:tableColumn id="11" name="Modul-ID"/>
    <x:tableColumn id="12" name="Bild aus GitHub"/>
    <x:tableColumn id="13" name="Schüler-Modul"/>
    <x:tableColumn id="14" name="Lehrer-Vorbereitung"/>
  </x:tableColumns>
  <x:tableStyleInfo name="TableStyleMedium2" showRowStripes="1"/>
</x:table>
</file>

<file path=xl/tables/table4.xml><?xml version="1.0" encoding="utf-8"?>
<x:table xmlns:x="http://schemas.openxmlformats.org/spreadsheetml/2006/main" id="4" name="PhysikKlasse9" displayName="PhysikKlasse9" ref="A4:N28" headerRowCount="1">
  <x:tableColumns count="14">
    <x:tableColumn id="1" name="Fach"/>
    <x:tableColumn id="2" name="Klasse"/>
    <x:tableColumn id="3" name="Lernbereich"/>
    <x:tableColumn id="4" name="Stunde"/>
    <x:tableColumn id="5" name="Thema der Unterrichtsstunde"/>
    <x:tableColumn id="6" name="Inhalt HSA"/>
    <x:tableColumn id="7" name="Inhalt RSA"/>
    <x:tableColumn id="8" name="Kompetenz"/>
    <x:tableColumn id="9" name="Experiment / Material"/>
    <x:tableColumn id="10" name="Arduino-Einsatz"/>
    <x:tableColumn id="11" name="Modul-ID"/>
    <x:tableColumn id="12" name="Bild aus GitHub"/>
    <x:tableColumn id="13" name="Schüler-Modul"/>
    <x:tableColumn id="14" name="Lehrer-Vorbereitung"/>
  </x:tableColumns>
  <x:tableStyleInfo name="TableStyleMedium2" showRowStripes="1"/>
</x:table>
</file>

<file path=xl/tables/table5.xml><?xml version="1.0" encoding="utf-8"?>
<x:table xmlns:x="http://schemas.openxmlformats.org/spreadsheetml/2006/main" id="5" name="PhysikKlasse10" displayName="PhysikKlasse10" ref="A4:N32" headerRowCount="1">
  <x:tableColumns count="14">
    <x:tableColumn id="1" name="Fach"/>
    <x:tableColumn id="2" name="Klasse"/>
    <x:tableColumn id="3" name="Lernbereich"/>
    <x:tableColumn id="4" name="Stunde"/>
    <x:tableColumn id="5" name="Thema der Unterrichtsstunde"/>
    <x:tableColumn id="6" name="Inhalt HSA"/>
    <x:tableColumn id="7" name="Inhalt RSA"/>
    <x:tableColumn id="8" name="Kompetenz"/>
    <x:tableColumn id="9" name="Experiment / Material"/>
    <x:tableColumn id="10" name="Arduino-Einsatz"/>
    <x:tableColumn id="11" name="Modul-ID"/>
    <x:tableColumn id="12" name="Bild aus GitHub"/>
    <x:tableColumn id="13" name="Schüler-Modul"/>
    <x:tableColumn id="14" name="Lehrer-Vorbereitung"/>
  </x:tableColumns>
  <x:tableStyleInfo name="TableStyleMedium2" showRowStripes="1"/>
</x:table>
</file>

<file path=xl/tables/table6.xml><?xml version="1.0" encoding="utf-8"?>
<x:table xmlns:x="http://schemas.openxmlformats.org/spreadsheetml/2006/main" id="6" name="AstronomieKlasse10" displayName="AstronomieKlasse10" ref="A4:N28" headerRowCount="1">
  <x:tableColumns count="14">
    <x:tableColumn id="1" name="Fach"/>
    <x:tableColumn id="2" name="Klasse"/>
    <x:tableColumn id="3" name="Lernbereich"/>
    <x:tableColumn id="4" name="Stunde"/>
    <x:tableColumn id="5" name="Thema der Unterrichtsstunde"/>
    <x:tableColumn id="6" name="Inhalt HSA"/>
    <x:tableColumn id="7" name="Inhalt RSA"/>
    <x:tableColumn id="8" name="Kompetenz"/>
    <x:tableColumn id="9" name="Experiment / Material"/>
    <x:tableColumn id="10" name="Arduino-Einsatz"/>
    <x:tableColumn id="11" name="Modul-ID"/>
    <x:tableColumn id="12" name="Bild aus GitHub"/>
    <x:tableColumn id="13" name="Schüler-Modul"/>
    <x:tableColumn id="14" name="Lehrer-Vorbereitung"/>
  </x:tableColumns>
  <x:tableStyleInfo name="TableStyleMedium2" showRowStripes="1"/>
</x:table>
</file>

<file path=xl/tables/table7.xml><?xml version="1.0" encoding="utf-8"?>
<x:table xmlns:x="http://schemas.openxmlformats.org/spreadsheetml/2006/main" id="7" name="QuellenPhysik" displayName="QuellenPhysik" ref="A3:D8" headerRowCount="1">
  <x:tableColumns count="4">
    <x:tableColumn id="1" name="Quelle"/>
    <x:tableColumn id="2" name="Verwendung"/>
    <x:tableColumn id="3" name="Stand"/>
    <x:tableColumn id="4"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100f990b1b54e92" /></Relationships>
</file>

<file path=xl/worksheets/_rels/sheet2.xml.rels>&#65279;<?xml version="1.0" encoding="utf-8"?><Relationships xmlns="http://schemas.openxmlformats.org/package/2006/relationships"><Relationship Type="http://schemas.openxmlformats.org/officeDocument/2006/relationships/table" Target="/xl/tables/table1.xml" Id="R8f9586a887be459a" /></Relationships>
</file>

<file path=xl/worksheets/_rels/sheet3.xml.rels>&#65279;<?xml version="1.0" encoding="utf-8"?><Relationships xmlns="http://schemas.openxmlformats.org/package/2006/relationships"><Relationship Type="http://schemas.openxmlformats.org/officeDocument/2006/relationships/table" Target="/xl/tables/table2.xml" Id="R88382ea432784924" /></Relationships>
</file>

<file path=xl/worksheets/_rels/sheet4.xml.rels>&#65279;<?xml version="1.0" encoding="utf-8"?><Relationships xmlns="http://schemas.openxmlformats.org/package/2006/relationships"><Relationship Type="http://schemas.openxmlformats.org/officeDocument/2006/relationships/table" Target="/xl/tables/table3.xml" Id="Rb450b11738dc4ca6" /></Relationships>
</file>

<file path=xl/worksheets/_rels/sheet5.xml.rels>&#65279;<?xml version="1.0" encoding="utf-8"?><Relationships xmlns="http://schemas.openxmlformats.org/package/2006/relationships"><Relationship Type="http://schemas.openxmlformats.org/officeDocument/2006/relationships/table" Target="/xl/tables/table4.xml" Id="R6ce13ec41dae4e61" /></Relationships>
</file>

<file path=xl/worksheets/_rels/sheet6.xml.rels>&#65279;<?xml version="1.0" encoding="utf-8"?><Relationships xmlns="http://schemas.openxmlformats.org/package/2006/relationships"><Relationship Type="http://schemas.openxmlformats.org/officeDocument/2006/relationships/table" Target="/xl/tables/table5.xml" Id="R4db60e4a693a487b" /></Relationships>
</file>

<file path=xl/worksheets/_rels/sheet7.xml.rels>&#65279;<?xml version="1.0" encoding="utf-8"?><Relationships xmlns="http://schemas.openxmlformats.org/package/2006/relationships"><Relationship Type="http://schemas.openxmlformats.org/officeDocument/2006/relationships/table" Target="/xl/tables/table6.xml" Id="Rd35913e5d3dc4c12" /></Relationships>
</file>

<file path=xl/worksheets/_rels/sheet8.xml.rels>&#65279;<?xml version="1.0" encoding="utf-8"?><Relationships xmlns="http://schemas.openxmlformats.org/package/2006/relationships"><Relationship Type="http://schemas.openxmlformats.org/officeDocument/2006/relationships/table" Target="/xl/tables/table7.xml" Id="Rd5c0a94cfd5641b6" /></Relationships>
</file>

<file path=xl/worksheets/sheet1.xml><?xml version="1.0" encoding="utf-8"?>
<x:worksheet xmlns:x="http://schemas.openxmlformats.org/spreadsheetml/2006/main">
  <x:sheetFormatPr defaultRowHeight="15"/>
  <x:cols>
    <x:col min="1" max="1" width="18" hidden="0" customWidth="1"/>
    <x:col min="2" max="2" width="16" hidden="0" customWidth="1"/>
    <x:col min="3" max="3" width="16" hidden="0" customWidth="1"/>
    <x:col min="4" max="4" width="22" hidden="0" customWidth="1"/>
    <x:col min="5" max="5" width="25" hidden="0" customWidth="1"/>
    <x:col min="6" max="6" width="55" hidden="0" customWidth="1"/>
    <x:col min="7" max="7" width="27" hidden="0" customWidth="1"/>
    <x:col min="8" max="8" width="32" hidden="0" customWidth="1"/>
  </x:cols>
  <x:sheetData>
    <x:row r="1" ht="36" customHeight="1">
      <x:c r="A1" s="5" t="str">
        <x:v>Stoffverteilungsplan Physik – Thüringen Klassen 7 bis 10</x:v>
      </x:c>
      <x:c r="B1" s="5"/>
      <x:c r="C1" s="5"/>
      <x:c r="D1" s="5"/>
      <x:c r="E1" s="5"/>
      <x:c r="F1" s="5"/>
      <x:c r="G1" s="5"/>
      <x:c r="H1" s="5"/>
    </x:row>
    <x:row r="3" ht="44" customHeight="1">
      <x:c r="A3" s="12" t="str">
        <x:v>95 Physikstunden für die Klassen 7–10 sowie 24 Astronomiestunden für Klasse 10. Zu jeder Stunde gehören ein Schüler-Modul, eine Lehrer-Vorbereitung und ein Bild aus dem GitHub-Bildbestand.</x:v>
      </x:c>
      <x:c r="B3" s="12"/>
      <x:c r="C3" s="12"/>
      <x:c r="D3" s="12"/>
      <x:c r="E3" s="12"/>
      <x:c r="F3" s="12"/>
      <x:c r="G3" s="12"/>
      <x:c r="H3" s="12"/>
    </x:row>
    <x:row r="5">
      <x:c r="A5" s="24" t="str">
        <x:v>Fach</x:v>
      </x:c>
      <x:c r="B5" s="25" t="str">
        <x:v>Klasse</x:v>
      </x:c>
      <x:c r="C5" s="25" t="str">
        <x:v>Stunden</x:v>
      </x:c>
      <x:c r="D5" s="25" t="str">
        <x:v>Schüler-Module</x:v>
      </x:c>
      <x:c r="E5" s="25" t="str">
        <x:v>Lehrer-Vorbereitungen</x:v>
      </x:c>
      <x:c r="F5" s="26" t="str">
        <x:v>Schwerpunkte</x:v>
      </x:c>
    </x:row>
    <x:row r="6" ht="45" customHeight="1">
      <x:c r="A6" s="56" t="str">
        <x:v>Physik</x:v>
      </x:c>
      <x:c r="B6" s="57" t="n">
        <x:v>7</x:v>
      </x:c>
      <x:c r="C6" s="57" t="n">
        <x:v>21</x:v>
      </x:c>
      <x:c r="D6" s="57" t="n">
        <x:v>21</x:v>
      </x:c>
      <x:c r="E6" s="57" t="n">
        <x:v>21</x:v>
      </x:c>
      <x:c r="F6" s="58" t="str">
        <x:v>Optik, Wärme, Elektrizität, Arbeit, Energie, Dichte und Auftrieb</x:v>
      </x:c>
    </x:row>
    <x:row r="7" ht="45" customHeight="1">
      <x:c r="A7" s="59" t="str">
        <x:v>Physik</x:v>
      </x:c>
      <x:c r="B7" s="60" t="n">
        <x:v>8</x:v>
      </x:c>
      <x:c r="C7" s="60" t="n">
        <x:v>22</x:v>
      </x:c>
      <x:c r="D7" s="60" t="n">
        <x:v>22</x:v>
      </x:c>
      <x:c r="E7" s="60" t="n">
        <x:v>22</x:v>
      </x:c>
      <x:c r="F7" s="61" t="str">
        <x:v>Bewegung, Wärmelehre, Magnetismus, Elektrizität und Optik</x:v>
      </x:c>
    </x:row>
    <x:row r="8" ht="45" customHeight="1">
      <x:c r="A8" s="59" t="str">
        <x:v>Physik</x:v>
      </x:c>
      <x:c r="B8" s="60" t="n">
        <x:v>9</x:v>
      </x:c>
      <x:c r="C8" s="60" t="n">
        <x:v>24</x:v>
      </x:c>
      <x:c r="D8" s="60" t="n">
        <x:v>24</x:v>
      </x:c>
      <x:c r="E8" s="60" t="n">
        <x:v>24</x:v>
      </x:c>
      <x:c r="F8" s="61" t="str">
        <x:v>Elektromagnetismus, Bewegungen und Newtonsche Gesetze</x:v>
      </x:c>
    </x:row>
    <x:row r="9" ht="45" customHeight="1">
      <x:c r="A9" s="59" t="str">
        <x:v>Physik</x:v>
      </x:c>
      <x:c r="B9" s="60" t="n">
        <x:v>10</x:v>
      </x:c>
      <x:c r="C9" s="60" t="n">
        <x:v>28</x:v>
      </x:c>
      <x:c r="D9" s="60" t="n">
        <x:v>28</x:v>
      </x:c>
      <x:c r="E9" s="60" t="n">
        <x:v>28</x:v>
      </x:c>
      <x:c r="F9" s="61" t="str">
        <x:v>Elektromagnetismus, Mechanik, Schwingungen, Energie und Kernphysik</x:v>
      </x:c>
    </x:row>
    <x:row r="10" ht="45" customHeight="1">
      <x:c r="A10" s="62" t="str">
        <x:v>Astronomie</x:v>
      </x:c>
      <x:c r="B10" s="63" t="n">
        <x:v>10</x:v>
      </x:c>
      <x:c r="C10" s="63" t="n">
        <x:v>24</x:v>
      </x:c>
      <x:c r="D10" s="63" t="n">
        <x:v>24</x:v>
      </x:c>
      <x:c r="E10" s="63" t="n">
        <x:v>24</x:v>
      </x:c>
      <x:c r="F10" s="64" t="str">
        <x:v>Beobachtung, Sonnensystem, Sterne, Galaxien und Kosmologie</x:v>
      </x:c>
    </x:row>
    <x:row r="13">
      <x:c r="A13" s="24" t="str">
        <x:v>Bestand</x:v>
      </x:c>
      <x:c r="B13" s="25" t="str">
        <x:v>TiddlyWiki</x:v>
      </x:c>
      <x:c r="C13" s="25" t="str">
        <x:v>GitHub-Bilder</x:v>
      </x:c>
      <x:c r="D13" s="25" t="str">
        <x:v>Physik-Vorbereitungen</x:v>
      </x:c>
      <x:c r="E13" s="25" t="str">
        <x:v>Astronomie-Vorbereitungen</x:v>
      </x:c>
      <x:c r="F13" s="25" t="str">
        <x:v>Excel-Hyperlinks</x:v>
      </x:c>
      <x:c r="G13" s="25" t="str">
        <x:v>HSA/RSA</x:v>
      </x:c>
      <x:c r="H13" s="26" t="str">
        <x:v>Arduino</x:v>
      </x:c>
    </x:row>
    <x:row r="14" ht="55" customHeight="1">
      <x:c r="A14" s="97" t="n">
        <x:v>119</x:v>
      </x:c>
      <x:c r="B14" s="98" t="str">
        <x:v>physik_mit_github_bildern.html</x:v>
      </x:c>
      <x:c r="C14" s="98" t="n">
        <x:v>99</x:v>
      </x:c>
      <x:c r="D14" s="98" t="n">
        <x:v>95</x:v>
      </x:c>
      <x:c r="E14" s="98" t="n">
        <x:v>24</x:v>
      </x:c>
      <x:c r="F14" s="98" t="str">
        <x:v>Schüler und Lehrer</x:v>
      </x:c>
      <x:c r="G14" s="98" t="str">
        <x:v>pro Stunde getrennt ausgewiesen</x:v>
      </x:c>
      <x:c r="H14" s="99" t="str">
        <x:v>Einsatz laut vorhandener Stundenplanung</x:v>
      </x:c>
    </x:row>
  </x:sheetData>
  <x:mergeCells>
    <x:mergeCell ref="A1:H1"/>
    <x:mergeCell ref="A3:H3"/>
  </x:mergeCells>
  <x:pageMargins left="0.7" right="0.7" top="0.75" bottom="0.75" header="0.3" footer="0.3"/>
  <x:drawing xmlns:r="http://schemas.openxmlformats.org/officeDocument/2006/relationships" r:id="Rb100f990b1b54e92"/>
</x:worksheet>
</file>

<file path=xl/worksheets/sheet2.xml><?xml version="1.0" encoding="utf-8"?>
<x:worksheet xmlns:x="http://schemas.openxmlformats.org/spreadsheetml/2006/main">
  <x:sheetFormatPr defaultRowHeight="15"/>
  <x:cols>
    <x:col min="1" max="1" width="13" hidden="0" customWidth="1"/>
    <x:col min="2" max="2" width="9" hidden="0" customWidth="1"/>
    <x:col min="3" max="3" width="26" hidden="0" customWidth="1"/>
    <x:col min="4" max="4" width="9" hidden="0" customWidth="1"/>
    <x:col min="5" max="5" width="42" hidden="0" customWidth="1"/>
    <x:col min="6" max="6" width="42" hidden="0" customWidth="1"/>
    <x:col min="7" max="7" width="45" hidden="0" customWidth="1"/>
    <x:col min="8" max="8" width="44" hidden="0" customWidth="1"/>
    <x:col min="9" max="9" width="50" hidden="0" customWidth="1"/>
    <x:col min="10" max="10" width="36" hidden="0" customWidth="1"/>
    <x:col min="11" max="11" width="42" hidden="0" customWidth="1"/>
    <x:col min="12" max="12" width="52" hidden="0" customWidth="1"/>
    <x:col min="13" max="13" width="22" hidden="0" customWidth="1"/>
    <x:col min="14" max="14" width="24" hidden="0" customWidth="1"/>
  </x:cols>
  <x:sheetData>
    <x:row r="1" ht="34" customHeight="1">
      <x:c r="A1" s="111" t="str">
        <x:v>Gesamtplan Physik Klassen 7 bis 10</x:v>
      </x:c>
      <x:c r="B1" s="111"/>
      <x:c r="C1" s="111"/>
      <x:c r="D1" s="111"/>
      <x:c r="E1" s="111"/>
      <x:c r="F1" s="111"/>
      <x:c r="G1" s="111"/>
      <x:c r="H1" s="111"/>
      <x:c r="I1" s="111"/>
      <x:c r="J1" s="111"/>
      <x:c r="K1" s="111"/>
      <x:c r="L1" s="111"/>
      <x:c r="M1" s="111"/>
      <x:c r="N1" s="111"/>
    </x:row>
    <x:row r="2" ht="42" customHeight="1">
      <x:c r="A2" s="115" t="str">
        <x:v>Jede Zeile entspricht einer Unterrichtsstunde. Die Schüler-Module werden aus der bestehenden GitHub-Pages-Struktur geöffnet; die Lehrer-Vorbereitungen liegen im beigefügten Ordner.</x:v>
      </x:c>
      <x:c r="B2" s="115"/>
      <x:c r="C2" s="115"/>
      <x:c r="D2" s="115"/>
      <x:c r="E2" s="115"/>
      <x:c r="F2" s="115"/>
      <x:c r="G2" s="115"/>
      <x:c r="H2" s="115"/>
      <x:c r="I2" s="115"/>
      <x:c r="J2" s="115"/>
      <x:c r="K2" s="115"/>
      <x:c r="L2" s="115"/>
      <x:c r="M2" s="115"/>
      <x:c r="N2" s="115"/>
    </x:row>
    <x:row r="4" ht="42" customHeight="1">
      <x:c r="A4" s="117" t="str">
        <x:v>Fach</x:v>
      </x:c>
      <x:c r="B4" s="118" t="str">
        <x:v>Klasse</x:v>
      </x:c>
      <x:c r="C4" s="118" t="str">
        <x:v>Lernbereich</x:v>
      </x:c>
      <x:c r="D4" s="118" t="str">
        <x:v>Stunde</x:v>
      </x:c>
      <x:c r="E4" s="118" t="str">
        <x:v>Thema der Unterrichtsstunde</x:v>
      </x:c>
      <x:c r="F4" s="118" t="str">
        <x:v>Inhalt HSA</x:v>
      </x:c>
      <x:c r="G4" s="118" t="str">
        <x:v>Inhalt RSA</x:v>
      </x:c>
      <x:c r="H4" s="118" t="str">
        <x:v>Kompetenz</x:v>
      </x:c>
      <x:c r="I4" s="118" t="str">
        <x:v>Experiment / Material</x:v>
      </x:c>
      <x:c r="J4" s="118" t="str">
        <x:v>Arduino-Einsatz</x:v>
      </x:c>
      <x:c r="K4" s="118" t="str">
        <x:v>Modul-ID</x:v>
      </x:c>
      <x:c r="L4" s="118" t="str">
        <x:v>Bild aus GitHub</x:v>
      </x:c>
      <x:c r="M4" s="118" t="str">
        <x:v>Schüler-Modul</x:v>
      </x:c>
      <x:c r="N4" s="119" t="str">
        <x:v>Lehrer-Vorbereitung</x:v>
      </x:c>
    </x:row>
    <x:row r="5" ht="70" customHeight="1">
      <x:c r="A5" s="123" t="str">
        <x:v>Physik</x:v>
      </x:c>
      <x:c r="B5" s="124" t="n">
        <x:v>7</x:v>
      </x:c>
      <x:c r="C5" s="57" t="str">
        <x:v>Arbeitsweisen</x:v>
      </x:c>
      <x:c r="D5" s="124" t="n">
        <x:v>1</x:v>
      </x:c>
      <x:c r="E5" s="57" t="str">
        <x:v>Was ist Physik? Beobachten und Beschreiben</x:v>
      </x:c>
      <x:c r="F5" s="57" t="str">
        <x:v>Beobachtungstabelle mit vorgegebenen Satzanfängen („Ich sehe, dass ..."), Teilgebiete als Auswahlliste.</x:v>
      </x:c>
      <x:c r="G5" s="57" t="str">
        <x:v>Tabelle selbstständig ausfüllen, Zuordnung mit kurzer Begründung. Zu einer Station eine eigene Untersuchungsfrage formulieren und einen Versuchsplan skizzieren.</x:v>
      </x:c>
      <x:c r="H5" s="57" t="str">
        <x:v>Naturerscheinungen beobachten, beschreiben und den Teilgebieten der Physik zuordnen</x:v>
      </x:c>
      <x:c r="I5" s="57" t="str">
        <x:v>LE: Kerzenbeobachtung nach Faraday
SE: Stationen Phänomene beobachten</x:v>
      </x:c>
      <x:c r="J5" s="57" t="str">
        <x:v>keiner</x:v>
      </x:c>
      <x:c r="K5" s="57" t="str">
        <x:v>ph_k7_st01_was_ist_physik_beobachten_und_beschreiben</x:v>
      </x:c>
      <x:c r="L5" s="57" t="str">
        <x:v>https://raw.githubusercontent.com/burgnetz-wq/froebel/main/bilder/physik/096_physik_titelseite.jpg</x:v>
      </x:c>
      <x:c r="M5" s="156" t="e">
        <x:f>HYPERLINK("https://burgnetz-wq.github.io/froebel/physik/html/ph7_stunde_01_was_ist_physik.html","Schüler-Modul öffnen")</x:f>
      </x:c>
      <x:c r="N5" s="157" t="e">
        <x:f>HYPERLINK("lehrer/physik/ph_k7_st01_was_ist_physik_beobachten_und_beschreiben_orga.html","Vorbereitung öffnen")</x:f>
      </x:c>
    </x:row>
    <x:row r="6" ht="70" customHeight="1">
      <x:c r="A6" s="125" t="str">
        <x:v>Physik</x:v>
      </x:c>
      <x:c r="B6" s="126" t="n">
        <x:v>7</x:v>
      </x:c>
      <x:c r="C6" s="60" t="str">
        <x:v>Arbeitsweisen</x:v>
      </x:c>
      <x:c r="D6" s="126" t="n">
        <x:v>2</x:v>
      </x:c>
      <x:c r="E6" s="60" t="str">
        <x:v>Messen und Protokollieren – die Reaktionszeit</x:v>
      </x:c>
      <x:c r="F6" s="60" t="str">
        <x:v>Protokoll mit vorbereiteter Tabelle und Beispielzeile; Mittelwert aus drei Werten.</x:v>
      </x:c>
      <x:c r="G6" s="60" t="str">
        <x:v>Fünf Messungen, Mittelwert selbstständig, Vergleich beider Verfahren in einem Satz. Ausreißer erkennen und begründet streichen; erklären, warum die Arduino-Messung genauer ist als die Stoppuhr in der Hand.</x:v>
      </x:c>
      <x:c r="H6" s="60" t="str">
        <x:v>Messwerte erfassen, Messabweichungen erkennen, Mittelwert bilden</x:v>
      </x:c>
      <x:c r="I6" s="60" t="str">
        <x:v>LE: Demonstration von Messabweichungen bei Zeit- und Längenmessung
SE: Reaktionszeit mit dem Fall-Lineal</x:v>
      </x:c>
      <x:c r="J6" s="60" t="str">
        <x:v>Reaktionszeitmessung mit Taster und LED als Vergleichsstation</x:v>
      </x:c>
      <x:c r="K6" s="60" t="str">
        <x:v>ph_k7_st02_messen_und_protokollieren_die_reaktionszeit</x:v>
      </x:c>
      <x:c r="L6" s="60" t="str">
        <x:v>https://raw.githubusercontent.com/burgnetz-wq/froebel/main/bilder/physik/074_messgeraete.jpg</x:v>
      </x:c>
      <x:c r="M6" s="158" t="e">
        <x:f>HYPERLINK("https://burgnetz-wq.github.io/froebel/physik/html/ph7_stunde_02_messen_und_protokollieren.html","Schüler-Modul öffnen")</x:f>
      </x:c>
      <x:c r="N6" s="159" t="e">
        <x:f>HYPERLINK("lehrer/physik/ph_k7_st02_messen_und_protokollieren_die_reaktionszeit_orga.html","Vorbereitung öffnen")</x:f>
      </x:c>
    </x:row>
    <x:row r="7" ht="70" customHeight="1">
      <x:c r="A7" s="125" t="str">
        <x:v>Physik</x:v>
      </x:c>
      <x:c r="B7" s="126" t="n">
        <x:v>7</x:v>
      </x:c>
      <x:c r="C7" s="60" t="str">
        <x:v>Optik</x:v>
      </x:c>
      <x:c r="D7" s="126" t="n">
        <x:v>3</x:v>
      </x:c>
      <x:c r="E7" s="60" t="str">
        <x:v>Lichtquellen und die geradlinige Ausbreitung des Lichts</x:v>
      </x:c>
      <x:c r="F7" s="60" t="str">
        <x:v>Vorgezeichnete Ergebnisskizze zum Beschriften; Begriffe Lichtquelle/beleuchteter Körper aus Wortliste zuordnen.</x:v>
      </x:c>
      <x:c r="G7" s="60" t="str">
        <x:v>Eigene Strahlenskizze mit Lineal; Ergebnissatz selbst formulieren. Erklären, warum man den Laserstrahl erst im Nebel sieht, und begründen, warum der Mond keine Lichtquelle ist.</x:v>
      </x:c>
      <x:c r="H7" s="60" t="str">
        <x:v>Modell Lichtstrahl anwenden, Lichtquellen und beleuchtete Körper unterscheiden</x:v>
      </x:c>
      <x:c r="I7" s="60" t="str">
        <x:v>LE: Sichtbarmachen des Lichtwegs mit Laser und Nebel
SE: Lochblenden-Versuch zur geradlinigen Ausbreitung</x:v>
      </x:c>
      <x:c r="J7" s="60" t="str">
        <x:v>keiner</x:v>
      </x:c>
      <x:c r="K7" s="60" t="str">
        <x:v>ph_k7_st03_lichtquellen_und_die_geradlinige_ausbreitung_des_lichts</x:v>
      </x:c>
      <x:c r="L7" s="60" t="str">
        <x:v>https://raw.githubusercontent.com/burgnetz-wq/froebel/main/bilder/physik/034_arduino_licht_optik.jpg</x:v>
      </x:c>
      <x:c r="M7" s="158" t="e">
        <x:f>HYPERLINK("https://burgnetz-wq.github.io/froebel/physik/html/ph7_stunde_03_lichtquellen_und_lichtausbreitung.html","Schüler-Modul öffnen")</x:f>
      </x:c>
      <x:c r="N7" s="159" t="e">
        <x:f>HYPERLINK("lehrer/physik/ph_k7_st03_lichtquellen_und_die_geradlinige_ausbreitung_des_lichts_orga.html","Vorbereitung öffnen")</x:f>
      </x:c>
    </x:row>
    <x:row r="8" ht="70" customHeight="1">
      <x:c r="A8" s="125" t="str">
        <x:v>Physik</x:v>
      </x:c>
      <x:c r="B8" s="126" t="n">
        <x:v>7</x:v>
      </x:c>
      <x:c r="C8" s="60" t="str">
        <x:v>Optik</x:v>
      </x:c>
      <x:c r="D8" s="126" t="n">
        <x:v>4</x:v>
      </x:c>
      <x:c r="E8" s="60" t="str">
        <x:v>Licht und Schatten – Kernschatten und Halbschatten</x:v>
      </x:c>
      <x:c r="F8" s="60" t="str">
        <x:v>Messtabelle vorbereitet, Skizze zum Vervollständigen, Ergebnissatz als Lückensatz („Je näher die Lampe, desto ... der Schatten").</x:v>
      </x:c>
      <x:c r="G8" s="60" t="str">
        <x:v>Vollständige Messreihe, eigene Randstrahlen-Skizze mit Lineal, Erklärung des Halbschattens in eigenen Worten. Sonnen- und Mondfinsternis mit Kern- und Halbschatten erklären; begründen, warum der Arduino-Rohwert keine Einheit trägt.</x:v>
      </x:c>
      <x:c r="H8" s="60" t="str">
        <x:v>Schattenentstehung mit der geradlinigen Lichtausbreitung erklären</x:v>
      </x:c>
      <x:c r="I8" s="60" t="str">
        <x:v>LE: Kernschatten und Halbschatten mit zwei Lampen
SE: Schattengröße in Abhängigkeit vom Abstand</x:v>
      </x:c>
      <x:c r="J8" s="60" t="str">
        <x:v>Helligkeitsmessung in Kernschatten, Halbschatten und beleuchteter Fläche (Lehrerdemonstration)</x:v>
      </x:c>
      <x:c r="K8" s="60" t="str">
        <x:v>ph_k7_st04_licht_und_schatten_kernschatten_und_halbschatten</x:v>
      </x:c>
      <x:c r="L8" s="60" t="str">
        <x:v>https://raw.githubusercontent.com/burgnetz-wq/froebel/main/bilder/physik/034_arduino_licht_optik.jpg</x:v>
      </x:c>
      <x:c r="M8" s="158" t="e">
        <x:f>HYPERLINK("https://burgnetz-wq.github.io/froebel/physik/html/ph7_stunde_04_licht_und_schatten.html","Schüler-Modul öffnen")</x:f>
      </x:c>
      <x:c r="N8" s="159" t="e">
        <x:f>HYPERLINK("lehrer/physik/ph_k7_st04_licht_und_schatten_kernschatten_und_halbschatten_orga.html","Vorbereitung öffnen")</x:f>
      </x:c>
    </x:row>
    <x:row r="9" ht="70" customHeight="1">
      <x:c r="A9" s="125" t="str">
        <x:v>Physik</x:v>
      </x:c>
      <x:c r="B9" s="126" t="n">
        <x:v>7</x:v>
      </x:c>
      <x:c r="C9" s="60" t="str">
        <x:v>Optik</x:v>
      </x:c>
      <x:c r="D9" s="126" t="n">
        <x:v>5</x:v>
      </x:c>
      <x:c r="E9" s="60" t="str">
        <x:v>Mondphasen und Finsternisse – Schatten im Weltall</x:v>
      </x:c>
      <x:c r="F9" s="60" t="str">
        <x:v>Nur drei Phasen beobachten (Neumond, Halbmond, Vollmond). Mondfinsternis und Sonnenfinsternis bildlich unterscheiden (keine Herleitung nötig).</x:v>
      </x:c>
      <x:c r="G9" s="60" t="str">
        <x:v>Neun Phasen zeichnen. Erklären, warum Finsternisse nicht jeden Monat passieren (Bahnneigung). Berechnen, wann die nächste Sonnen- oder Mondfinsternis sichtbar ist (unter Nutzung von Internet-Tabellen). Erklären, warum man während einer Sonnenfinsternis die Korona sieht (Lichtquelle Halo, nicht das direkte Sonnenlicht).</x:v>
      </x:c>
      <x:c r="H9" s="60" t="str">
        <x:v>Mondphasen und Finsternisse mit Kern- und Halbschatten erklären</x:v>
      </x:c>
      <x:c r="I9" s="60" t="str">
        <x:v>LE: Mondphasemodell (Globus, Styroporkugel, Lampe)
SE: Mondphasen und Finsternisse aufzeichnen und beschreiben</x:v>
      </x:c>
      <x:c r="J9" s="60" t="str">
        <x:v>keiner</x:v>
      </x:c>
      <x:c r="K9" s="60" t="str">
        <x:v>ph_k7_st05_mondphasen_und_finsternisse_schatten_im_weltall</x:v>
      </x:c>
      <x:c r="L9" s="60" t="str">
        <x:v>https://raw.githubusercontent.com/burgnetz-wq/froebel/main/bilder/physik/009_mondphasen.jpg</x:v>
      </x:c>
      <x:c r="M9" s="158" t="e">
        <x:f>HYPERLINK("https://burgnetz-wq.github.io/froebel/physik/html/ph7_stunde_05_mondphasen_und_finsternisse.html","Schüler-Modul öffnen")</x:f>
      </x:c>
      <x:c r="N9" s="159" t="e">
        <x:f>HYPERLINK("lehrer/physik/ph_k7_st05_mondphasen_und_finsternisse_schatten_im_weltall_orga.html","Vorbereitung öffnen")</x:f>
      </x:c>
    </x:row>
    <x:row r="10" ht="70" customHeight="1">
      <x:c r="A10" s="125" t="str">
        <x:v>Physik</x:v>
      </x:c>
      <x:c r="B10" s="126" t="n">
        <x:v>7</x:v>
      </x:c>
      <x:c r="C10" s="60" t="str">
        <x:v>Optik</x:v>
      </x:c>
      <x:c r="D10" s="126" t="n">
        <x:v>6</x:v>
      </x:c>
      <x:c r="E10" s="60" t="str">
        <x:v>Reflexion und das Spiegelgesetz – Lichtstrahlen ändern die Richtung</x:v>
      </x:c>
      <x:c r="F10" s="60" t="str">
        <x:v>Normale wird vorgegeben; nur zwei Winkel messen; Erkenntnis: „Einfallswinkel = Reflexionswinkel" ist das Ziel.</x:v>
      </x:c>
      <x:c r="G10" s="60" t="str">
        <x:v>Vier Messungen mit eigener Normalen-Konstruktion (Geodreieck); Tabelle vollständig ausfüllen; Spiegelgesetz formulieren. Erklären, warum gekrümmte Spiegel (Hohlspiegel, Wölbspiegel) das Licht anders reflektieren als ebene Spiegel. Beispiel: Spiegel im Bad versus Rückspiegel im Auto.</x:v>
      </x:c>
      <x:c r="H10" s="60" t="str">
        <x:v>Reflexion mit Einfallswinkel und Reflexionswinkel erklären</x:v>
      </x:c>
      <x:c r="I10" s="60" t="str">
        <x:v>LE: Lichtstrahl trifft Spiegel – Einfallswinkel und Reflexionswinkel
SE: Spiegelgesetz mit Laser nachweisen</x:v>
      </x:c>
      <x:c r="J10" s="60" t="str">
        <x:v>keiner</x:v>
      </x:c>
      <x:c r="K10" s="60" t="str">
        <x:v>ph_k7_st06_reflexion_und_das_spiegelgesetz_lichtstrahlen_andern_die_richtung</x:v>
      </x:c>
      <x:c r="L10" s="60" t="str">
        <x:v>https://raw.githubusercontent.com/burgnetz-wq/froebel/main/bilder/physik/035_reflexion_spiegel.jpg</x:v>
      </x:c>
      <x:c r="M10" s="158" t="e">
        <x:f>HYPERLINK("https://burgnetz-wq.github.io/froebel/physik/html/ph7_stunde_06_reflexion_spiegelgesetz.html","Schüler-Modul öffnen")</x:f>
      </x:c>
      <x:c r="N10" s="159" t="e">
        <x:f>HYPERLINK("lehrer/physik/ph_k7_st06_reflexion_und_das_spiegelgesetz_lichtstrahlen_andern_die_richtung_orga.html","Vorbereitung öffnen")</x:f>
      </x:c>
    </x:row>
    <x:row r="11" ht="70" customHeight="1">
      <x:c r="A11" s="125" t="str">
        <x:v>Physik</x:v>
      </x:c>
      <x:c r="B11" s="126" t="n">
        <x:v>7</x:v>
      </x:c>
      <x:c r="C11" s="60" t="str">
        <x:v>Optik</x:v>
      </x:c>
      <x:c r="D11" s="126" t="n">
        <x:v>7</x:v>
      </x:c>
      <x:c r="E11" s="60" t="str">
        <x:v>Spiegelbilder – wie entsteht das Bild im Spiegel</x:v>
      </x:c>
      <x:c r="F11" s="60" t="str">
        <x:v>Bildlage und -größe sind gleich – ohne Konstruktion mit Winkeln. Erkenntnis: Das Bild sitzt nicht wirklich hinter dem Spiegel.</x:v>
      </x:c>
      <x:c r="G11" s="60" t="str">
        <x:v>Konstruktion mit Geodreieck und Spiegelgesetz. Zwei Punkte, zwei Strahlen pro Punkt. Bildlage konstruieren. Erklären, warum gekrümmte Spiegel (Hohlspiegel) andere Bilder erzeugen – reelle Bilder möglich (Beamer, Suchscheinwerfer). Lichtstrahlen für gekrümmte Spiegel skizzieren.</x:v>
      </x:c>
      <x:c r="H11" s="60" t="str">
        <x:v>Entstehung von Spiegelbildern mit Lichtstrahlen erklären</x:v>
      </x:c>
      <x:c r="I11" s="60" t="str">
        <x:v>LE: Kerzenexperiment – das virtuelle Bild des Spiegels
SE: Lichtstrahlen konstruieren – wo entsteht das Bild</x:v>
      </x:c>
      <x:c r="J11" s="60" t="str">
        <x:v>keiner</x:v>
      </x:c>
      <x:c r="K11" s="60" t="str">
        <x:v>ph_k7_st07_spiegelbilder_wie_entsteht_das_bild_im_spiegel</x:v>
      </x:c>
      <x:c r="L11" s="60" t="str">
        <x:v>https://raw.githubusercontent.com/burgnetz-wq/froebel/main/bilder/physik/035_reflexion_spiegel.jpg</x:v>
      </x:c>
      <x:c r="M11" s="158" t="e">
        <x:f>HYPERLINK("https://burgnetz-wq.github.io/froebel/physik/html/ph7_stunde_07_spiegelbilder.html","Schüler-Modul öffnen")</x:f>
      </x:c>
      <x:c r="N11" s="159" t="e">
        <x:f>HYPERLINK("lehrer/physik/ph_k7_st07_spiegelbilder_wie_entsteht_das_bild_im_spiegel_orga.html","Vorbereitung öffnen")</x:f>
      </x:c>
    </x:row>
    <x:row r="12" ht="70" customHeight="1">
      <x:c r="A12" s="125" t="str">
        <x:v>Physik</x:v>
      </x:c>
      <x:c r="B12" s="126" t="n">
        <x:v>7</x:v>
      </x:c>
      <x:c r="C12" s="60" t="str">
        <x:v>Optik</x:v>
      </x:c>
      <x:c r="D12" s="126" t="n">
        <x:v>8</x:v>
      </x:c>
      <x:c r="E12" s="60" t="str">
        <x:v>Brechung und Linsen – Licht ändert die Richtung in Glas</x:v>
      </x:c>
      <x:c r="F12" s="60" t="str">
        <x:v>Beobachten, dass Linsen ein Bild erzeugen. Sammel- vs. Zerstreuungslinse kennen. Brennpunkt qualitativ verstehen.</x:v>
      </x:c>
      <x:c r="G12" s="60" t="str">
        <x:v>Brennweite messen und vergleichen. Erkennen: dünnere Linse = längere Brennweite. Reelle und virtuelle Bilder unterscheiden. Linsengleichung 1/f = 1/a + 1/b verstehen (optional). Linsenkombinationen (Teleskop, Mikroskop-Optik) besprechen.</x:v>
      </x:c>
      <x:c r="H12" s="60" t="str">
        <x:v>Lichtbrechung erklären und mit Linsen experimentieren</x:v>
      </x:c>
      <x:c r="I12" s="60" t="str">
        <x:v>LE: Stift im Wasser – Brechung zeigen
SE: Linsenversuch – Brennpunkt finden</x:v>
      </x:c>
      <x:c r="J12" s="60" t="str">
        <x:v>keiner</x:v>
      </x:c>
      <x:c r="K12" s="60" t="str">
        <x:v>ph_k7_st08_brechung_und_linsen_licht_andert_die_richtung_in_glas</x:v>
      </x:c>
      <x:c r="L12" s="60" t="str">
        <x:v>https://raw.githubusercontent.com/burgnetz-wq/froebel/main/bilder/physik/006_lichtbrechung.jpg</x:v>
      </x:c>
      <x:c r="M12" s="158" t="e">
        <x:f>HYPERLINK("https://burgnetz-wq.github.io/froebel/physik/html/ph7_stunde_08_brechung_linsen.html","Schüler-Modul öffnen")</x:f>
      </x:c>
      <x:c r="N12" s="159" t="e">
        <x:f>HYPERLINK("lehrer/physik/ph_k7_st08_brechung_und_linsen_licht_andert_die_richtung_in_glas_orga.html","Vorbereitung öffnen")</x:f>
      </x:c>
    </x:row>
    <x:row r="13" ht="70" customHeight="1">
      <x:c r="A13" s="125" t="str">
        <x:v>Physik</x:v>
      </x:c>
      <x:c r="B13" s="126" t="n">
        <x:v>7</x:v>
      </x:c>
      <x:c r="C13" s="60" t="str">
        <x:v>Wärmelehre</x:v>
      </x:c>
      <x:c r="D13" s="126" t="n">
        <x:v>9</x:v>
      </x:c>
      <x:c r="E13" s="60" t="str">
        <x:v>Wärme und Temperatur – zwei verschiedene Größen</x:v>
      </x:c>
      <x:c r="F13" s="60" t="str">
        <x:v>Temperatur mit Thermometer messen und vergleichen. Erkenntnis: Wärme fließt von heiß zu kalt.</x:v>
      </x:c>
      <x:c r="G13" s="60" t="str">
        <x:v>Unterschied zwischen Temperatur (Messwert) und Wärme (Energie) verstehen. Mischtemperatur vorhersagen und messen. Wärmemenge berechnen (Formel Q = c · m · ΔT); Kelvin-Skala kennen; Unterschied absolute Null und Celsius-Null.</x:v>
      </x:c>
      <x:c r="H13" s="60" t="str">
        <x:v>Unterschied zwischen Wärme und Temperatur verstehen</x:v>
      </x:c>
      <x:c r="I13" s="60" t="str">
        <x:v>LE: Temperaturverteilung und Ausgleich
SE: Mischen – wo ist die Wärmebilanz</x:v>
      </x:c>
      <x:c r="J13" s="60" t="str">
        <x:v>keiner</x:v>
      </x:c>
      <x:c r="K13" s="60" t="str">
        <x:v>ph_k7_st09_warme_und_temperatur_zwei_verschiedene_groen</x:v>
      </x:c>
      <x:c r="L13" s="60" t="str">
        <x:v>https://raw.githubusercontent.com/burgnetz-wq/froebel/main/bilder/physik/026_temperatur_waerme.jpg</x:v>
      </x:c>
      <x:c r="M13" s="158" t="e">
        <x:f>HYPERLINK("https://burgnetz-wq.github.io/froebel/physik/html/ph7_stunde_09_waerme_temperatur.html","Schüler-Modul öffnen")</x:f>
      </x:c>
      <x:c r="N13" s="159" t="e">
        <x:f>HYPERLINK("lehrer/physik/ph_k7_st09_warme_und_temperatur_zwei_verschiedene_groen_orga.html","Vorbereitung öffnen")</x:f>
      </x:c>
    </x:row>
    <x:row r="14" ht="70" customHeight="1">
      <x:c r="A14" s="125" t="str">
        <x:v>Physik</x:v>
      </x:c>
      <x:c r="B14" s="126" t="n">
        <x:v>7</x:v>
      </x:c>
      <x:c r="C14" s="60" t="str">
        <x:v>Wärmelehre</x:v>
      </x:c>
      <x:c r="D14" s="126" t="n">
        <x:v>10</x:v>
      </x:c>
      <x:c r="E14" s="60" t="str">
        <x:v>Wärmeleitung und Wärmestrahlung – wie Wärme sich ausbreitet</x:v>
      </x:c>
      <x:c r="F14" s="60" t="str">
        <x:v>Metalle sind gute Wärmeleiter, Kunststoff schlechter. Erkenntnis: Es gibt unterschiedliche Leitfähigkeiten.</x:v>
      </x:c>
      <x:c r="G14" s="60" t="str">
        <x:v>Messung durchführen, Zeit-Temperatur-Graph zeichnen, Unterschied quantifizieren. Wärmeleitfähigkeit-Werte (W/m·K) recherchieren und vergleichen. Konvektion in Flüssigkeiten und Gasen erklären (Zirkulation). Wärmestrahlung mit UV-Sensor diskutieren.</x:v>
      </x:c>
      <x:c r="H14" s="60" t="str">
        <x:v>Unterscheiden von Wärmeleitung, Konvektion und Strahlung</x:v>
      </x:c>
      <x:c r="I14" s="60" t="str">
        <x:v>LE: Vergleich – Wärmeleitung in verschiedenen Stoffen
SE: Messung Wärmeleitungsgeschwindigkeit</x:v>
      </x:c>
      <x:c r="J14" s="60" t="str">
        <x:v>keiner</x:v>
      </x:c>
      <x:c r="K14" s="60" t="str">
        <x:v>ph_k7_st10_warmeleitung_und_warmestrahlung_wie_warme_sich_ausbreitet</x:v>
      </x:c>
      <x:c r="L14" s="60" t="str">
        <x:v>https://raw.githubusercontent.com/burgnetz-wq/froebel/main/bilder/physik/042_radioaktivitaet.jpg</x:v>
      </x:c>
      <x:c r="M14" s="158" t="e">
        <x:f>HYPERLINK("https://burgnetz-wq.github.io/froebel/physik/html/ph7_stunde_10_waermeleitung_waermestrahlung.html","Schüler-Modul öffnen")</x:f>
      </x:c>
      <x:c r="N14" s="159" t="e">
        <x:f>HYPERLINK("lehrer/physik/ph_k7_st10_warmeleitung_und_warmestrahlung_wie_warme_sich_ausbreitet_orga.html","Vorbereitung öffnen")</x:f>
      </x:c>
    </x:row>
    <x:row r="15" ht="70" customHeight="1">
      <x:c r="A15" s="125" t="str">
        <x:v>Physik</x:v>
      </x:c>
      <x:c r="B15" s="126" t="n">
        <x:v>7</x:v>
      </x:c>
      <x:c r="C15" s="60" t="str">
        <x:v>Elektrizitätslehre</x:v>
      </x:c>
      <x:c r="D15" s="126" t="n">
        <x:v>11</x:v>
      </x:c>
      <x:c r="E15" s="60" t="str">
        <x:v>Der Stromkreis und der Schalter</x:v>
      </x:c>
      <x:c r="F15" s="60" t="str">
        <x:v>Vorstrukturierte Aufgabe, Hilfekarten und Satzstarter.</x:v>
      </x:c>
      <x:c r="G15" s="60" t="str">
        <x:v>Selbstständige Auswertung mit Fachbegriffen und vollständiger Begründung.</x:v>
      </x:c>
      <x:c r="H15" s="60" t="str">
        <x:v>Stromkreise schließen und zeichnen</x:v>
      </x:c>
      <x:c r="I15" s="60" t="str">
        <x:v>LE: Glühbirne zum Leuchten bringen
SE: Stromkreise aufbauen und testen</x:v>
      </x:c>
      <x:c r="J15" s="60" t="str">
        <x:v>nein</x:v>
      </x:c>
      <x:c r="K15" s="60" t="str">
        <x:v>ph_k7_st11_der_stromkreis_und_der_schalter</x:v>
      </x:c>
      <x:c r="L15" s="60" t="str">
        <x:v>https://raw.githubusercontent.com/burgnetz-wq/froebel/main/bilder/physik/001_stromkreis.jpg</x:v>
      </x:c>
      <x:c r="M15" s="158" t="e">
        <x:f>HYPERLINK("https://burgnetz-wq.github.io/froebel/physik/html/ph7_stunde_11_stromkreis.html","Schüler-Modul öffnen")</x:f>
      </x:c>
      <x:c r="N15" s="159" t="e">
        <x:f>HYPERLINK("lehrer/physik/ph_k7_st11_der_stromkreis_und_der_schalter_orga.html","Vorbereitung öffnen")</x:f>
      </x:c>
    </x:row>
    <x:row r="16" ht="70" customHeight="1">
      <x:c r="A16" s="125" t="str">
        <x:v>Physik</x:v>
      </x:c>
      <x:c r="B16" s="126" t="n">
        <x:v>7</x:v>
      </x:c>
      <x:c r="C16" s="60" t="str">
        <x:v>Elektrizitätslehre</x:v>
      </x:c>
      <x:c r="D16" s="126" t="n">
        <x:v>12</x:v>
      </x:c>
      <x:c r="E16" s="60" t="str">
        <x:v>Reihen- und Parallelschaltung</x:v>
      </x:c>
      <x:c r="F16" s="60" t="str">
        <x:v>Vorstrukturierte Aufgabe, Hilfekarten und Satzstarter.</x:v>
      </x:c>
      <x:c r="G16" s="60" t="str">
        <x:v>Selbstständige Auswertung mit Fachbegriffen und vollständiger Begründung.</x:v>
      </x:c>
      <x:c r="H16" s="60" t="str">
        <x:v>Reihen und Parallel unterscheiden</x:v>
      </x:c>
      <x:c r="I16" s="60" t="str">
        <x:v>LE: Reihen vs. Parallel zeigen
SE: Helligkeit vergleichen</x:v>
      </x:c>
      <x:c r="J16" s="60" t="str">
        <x:v>nein</x:v>
      </x:c>
      <x:c r="K16" s="60" t="str">
        <x:v>ph_k7_st12_reihen_und_parallelschaltung</x:v>
      </x:c>
      <x:c r="L16" s="60" t="str">
        <x:v>https://raw.githubusercontent.com/burgnetz-wq/froebel/main/bilder/physik/012_parallelschaltung.jpg</x:v>
      </x:c>
      <x:c r="M16" s="158" t="e">
        <x:f>HYPERLINK("https://burgnetz-wq.github.io/froebel/physik/html/ph7_stunde_12_reihen_parallel.html","Schüler-Modul öffnen")</x:f>
      </x:c>
      <x:c r="N16" s="159" t="e">
        <x:f>HYPERLINK("lehrer/physik/ph_k7_st12_reihen_und_parallelschaltung_orga.html","Vorbereitung öffnen")</x:f>
      </x:c>
    </x:row>
    <x:row r="17" ht="70" customHeight="1">
      <x:c r="A17" s="125" t="str">
        <x:v>Physik</x:v>
      </x:c>
      <x:c r="B17" s="126" t="n">
        <x:v>7</x:v>
      </x:c>
      <x:c r="C17" s="60" t="str">
        <x:v>Elektrizitätslehre</x:v>
      </x:c>
      <x:c r="D17" s="126" t="n">
        <x:v>13</x:v>
      </x:c>
      <x:c r="E17" s="60" t="str">
        <x:v>Elektrische Leistung – wie viel Energie verbrauchen Geräte</x:v>
      </x:c>
      <x:c r="F17" s="60" t="str">
        <x:v>Vorstrukturierte Aufgabe, Hilfekarten und Satzstarter.</x:v>
      </x:c>
      <x:c r="G17" s="60" t="str">
        <x:v>Selbstständige Auswertung mit Fachbegriffen und vollständiger Begründung.</x:v>
      </x:c>
      <x:c r="H17" s="60" t="str">
        <x:v>Leistung verstehen und berechnen</x:v>
      </x:c>
      <x:c r="I17" s="60" t="str">
        <x:v>LE: Glühbirnen-Vergleich (unterschiedliche Wattzahl)
SE: Berechnung Leistung und Energieverbrauch</x:v>
      </x:c>
      <x:c r="J17" s="60" t="str">
        <x:v>nein</x:v>
      </x:c>
      <x:c r="K17" s="60" t="str">
        <x:v>ph_k7_st13_elektrische_leistung_wie_viel_energie_verbrauchen_gerate</x:v>
      </x:c>
      <x:c r="L17" s="60" t="str">
        <x:v>https://raw.githubusercontent.com/burgnetz-wq/froebel/main/bilder/physik/038_arbeit_leistung.jpg</x:v>
      </x:c>
      <x:c r="M17" s="158" t="e">
        <x:f>HYPERLINK("https://burgnetz-wq.github.io/froebel/physik/html/ph7_stunde_13_leistung.html","Schüler-Modul öffnen")</x:f>
      </x:c>
      <x:c r="N17" s="159" t="e">
        <x:f>HYPERLINK("lehrer/physik/ph_k7_st13_elektrische_leistung_wie_viel_energie_verbrauchen_gerate_orga.html","Vorbereitung öffnen")</x:f>
      </x:c>
    </x:row>
    <x:row r="18" ht="70" customHeight="1">
      <x:c r="A18" s="125" t="str">
        <x:v>Physik</x:v>
      </x:c>
      <x:c r="B18" s="126" t="n">
        <x:v>7</x:v>
      </x:c>
      <x:c r="C18" s="60" t="str">
        <x:v>Elektrizitätslehre</x:v>
      </x:c>
      <x:c r="D18" s="126" t="n">
        <x:v>14</x:v>
      </x:c>
      <x:c r="E18" s="60" t="str">
        <x:v>Sicherheit im Stromkreis – Schutz vor Überlastung und Kurzschluss</x:v>
      </x:c>
      <x:c r="F18" s="60" t="str">
        <x:v>Vorstrukturierte Aufgabe, Hilfekarten und Satzstarter.</x:v>
      </x:c>
      <x:c r="G18" s="60" t="str">
        <x:v>Selbstständige Auswertung mit Fachbegriffen und vollständiger Begründung.</x:v>
      </x:c>
      <x:c r="H18" s="60" t="str">
        <x:v>Gefahren des elektrischen Stroms verstehen und vermeiden</x:v>
      </x:c>
      <x:c r="I18" s="60" t="str">
        <x:v>LE: Schmelzsicherung zeigen / funktioniert nicht mehr bei Test
SE: Schaltschema mit Sicherung zeichnen und erklären</x:v>
      </x:c>
      <x:c r="J18" s="60" t="str">
        <x:v>nein</x:v>
      </x:c>
      <x:c r="K18" s="60" t="str">
        <x:v>ph_k7_st14_sicherheit_im_stromkreis_schutz_vor_uberlastung_und_kurzschluss</x:v>
      </x:c>
      <x:c r="L18" s="60" t="str">
        <x:v>https://raw.githubusercontent.com/burgnetz-wq/froebel/main/bilder/physik/001_stromkreis.jpg</x:v>
      </x:c>
      <x:c r="M18" s="158" t="e">
        <x:f>HYPERLINK("https://burgnetz-wq.github.io/froebel/physik/html/ph7_stunde_14_sicherheit.html","Schüler-Modul öffnen")</x:f>
      </x:c>
      <x:c r="N18" s="159" t="e">
        <x:f>HYPERLINK("lehrer/physik/ph_k7_st14_sicherheit_im_stromkreis_schutz_vor_uberlastung_und_kurzschluss_orga.html","Vorbereitung öffnen")</x:f>
      </x:c>
    </x:row>
    <x:row r="19" ht="70" customHeight="1">
      <x:c r="A19" s="125" t="str">
        <x:v>Physik</x:v>
      </x:c>
      <x:c r="B19" s="126" t="n">
        <x:v>7</x:v>
      </x:c>
      <x:c r="C19" s="60" t="str">
        <x:v>Mechanik</x:v>
      </x:c>
      <x:c r="D19" s="126" t="n">
        <x:v>19</x:v>
      </x:c>
      <x:c r="E19" s="60" t="str">
        <x:v>Die mechanische Arbeit – Kraft mal Weg</x:v>
      </x:c>
      <x:c r="F19" s="60" t="str">
        <x:v>Formel als vorgegebene Rechenvorschrift nutzen, Tabelle mit vorgegebenen Spaltenüberschriften, Ergebnissatz als Lückensatz.</x:v>
      </x:c>
      <x:c r="G19" s="60" t="str">
        <x:v>Selbstständige Berechnung aller vier Messungen inklusive Einheitenumrechnung, eigene Formulierung des Ergebnissatzes. Begründen, warum beim bloßen Halten eines Gegenstands ohne Höhenänderung physikalisch keine Arbeit verrichtet wird, obwohl es sich anstrengend anfühlt.</x:v>
      </x:c>
      <x:c r="H19" s="60" t="str">
        <x:v>Die mechanische Arbeit als Produkt aus Kraft und Weg berechnen und vom umgangssprachlichen Arbeitsbegriff unterscheiden</x:v>
      </x:c>
      <x:c r="I19" s="60" t="str">
        <x:v>LE: Hubarbeit mit dem Kraftmesser über gemessene Höhe
SE: Arbeit bei verschiedenen Gewichten und Hubhöhen berechnen</x:v>
      </x:c>
      <x:c r="J19" s="60" t="str">
        <x:v>entfällt</x:v>
      </x:c>
      <x:c r="K19" s="60" t="str">
        <x:v>ph_k7_st19_die_mechanische_arbeit_kraft_mal_weg</x:v>
      </x:c>
      <x:c r="L19" s="60" t="str">
        <x:v>https://raw.githubusercontent.com/burgnetz-wq/froebel/main/bilder/physik/021_kraft_gewicht.jpg</x:v>
      </x:c>
      <x:c r="M19" s="158" t="e">
        <x:f>HYPERLINK("https://burgnetz-wq.github.io/froebel/physik/html/ph7_stunde_19_mechanische_arbeit.html","Schüler-Modul öffnen")</x:f>
      </x:c>
      <x:c r="N19" s="159" t="e">
        <x:f>HYPERLINK("lehrer/physik/ph_k7_st19_die_mechanische_arbeit_kraft_mal_weg_orga.html","Vorbereitung öffnen")</x:f>
      </x:c>
    </x:row>
    <x:row r="20" ht="70" customHeight="1">
      <x:c r="A20" s="125" t="str">
        <x:v>Physik</x:v>
      </x:c>
      <x:c r="B20" s="126" t="n">
        <x:v>7</x:v>
      </x:c>
      <x:c r="C20" s="60" t="str">
        <x:v>Mechanik</x:v>
      </x:c>
      <x:c r="D20" s="126" t="n">
        <x:v>20</x:v>
      </x:c>
      <x:c r="E20" s="60" t="str">
        <x:v>Die Leistung – Arbeit pro Zeit</x:v>
      </x:c>
      <x:c r="F20" s="60" t="str">
        <x:v>Arbeit und Zeit sind vorgegeben, nur die Leistung wird nach vorgegebener Formel berechnet.</x:v>
      </x:c>
      <x:c r="G20" s="60" t="str">
        <x:v>Vollständige eigene Messung und Berechnung beider Durchgänge inklusive Einheitenkontrolle. Die eigene Leistung mit der Nennleistung eines Elektrogeräts vergleichen und einordnen, ob das Ergebnis plausibel erscheint.</x:v>
      </x:c>
      <x:c r="H20" s="60" t="str">
        <x:v>Die Leistung als Arbeit pro Zeit berechnen und die Formel P = W/t auf Alltagsbeispiele anwenden</x:v>
      </x:c>
      <x:c r="I20" s="60" t="str">
        <x:v>LE: Automatische Zeitmessung eines Hubvorgangs mit Ultraschallsensor
SE: Leistungsvergleich beim Heben desselben Gewichts in unterschiedlicher Zeit</x:v>
      </x:c>
      <x:c r="J20" s="60" t="str">
        <x:v>Automatische Zeitmessung des Hubvorgangs zwischen zwei Höhenschwellen zur Berechnung der Leistung (Lehrerdemonstration)</x:v>
      </x:c>
      <x:c r="K20" s="60" t="str">
        <x:v>ph_k7_st20_die_leistung_arbeit_pro_zeit</x:v>
      </x:c>
      <x:c r="L20" s="60" t="str">
        <x:v>https://raw.githubusercontent.com/burgnetz-wq/froebel/main/bilder/physik/038_arbeit_leistung.jpg</x:v>
      </x:c>
      <x:c r="M20" s="158" t="e">
        <x:f>HYPERLINK("https://burgnetz-wq.github.io/froebel/physik/html/ph7_stunde_20_leistung.html","Schüler-Modul öffnen")</x:f>
      </x:c>
      <x:c r="N20" s="159" t="e">
        <x:f>HYPERLINK("lehrer/physik/ph_k7_st20_die_leistung_arbeit_pro_zeit_orga.html","Vorbereitung öffnen")</x:f>
      </x:c>
    </x:row>
    <x:row r="21" ht="70" customHeight="1">
      <x:c r="A21" s="125" t="str">
        <x:v>Physik</x:v>
      </x:c>
      <x:c r="B21" s="126" t="n">
        <x:v>7</x:v>
      </x:c>
      <x:c r="C21" s="60" t="str">
        <x:v>Mechanik</x:v>
      </x:c>
      <x:c r="D21" s="126" t="n">
        <x:v>21</x:v>
      </x:c>
      <x:c r="E21" s="60" t="str">
        <x:v>Energie und Energieformen – Lageenergie und Bewegungsenergie</x:v>
      </x:c>
      <x:c r="F21" s="60" t="str">
        <x:v>Vorgegebene Fachbegriffe Lageenergie/Bewegungsenergie den Bildkarten zuordnen, Messtabelle mit zwei Starthöhen ausfüllen.</x:v>
      </x:c>
      <x:c r="G21" s="60" t="str">
        <x:v>Vollständige Dreifachmessung, eigene Formulierung des Ergebnissatzes einschließlich Reibungsverlust. Ein weiteres Alltagsbeispiel für die Umwandlung Lageenergie–Bewegungsenergie finden und die Energieflüsse in eigenen Worten beschreiben (zum Beispiel Skispringen oder Wasserrutsche).</x:v>
      </x:c>
      <x:c r="H21" s="60" t="str">
        <x:v>Energieformen unterscheiden und die Umwandlung von Lageenergie in Bewegungsenergie qualitativ beschreiben</x:v>
      </x:c>
      <x:c r="I21" s="60" t="str">
        <x:v>LE: Umwandlung von Lageenergie in Bewegungsenergie am Pendel
SE: Zusammenhang zwischen Starthöhe und Ausrollweg auf der Kugelbahn</x:v>
      </x:c>
      <x:c r="J21" s="60" t="str">
        <x:v>entfällt</x:v>
      </x:c>
      <x:c r="K21" s="60" t="str">
        <x:v>ph_k7_st21_energie_und_energieformen_lageenergie_und_bewegungsenergie</x:v>
      </x:c>
      <x:c r="L21" s="60" t="str">
        <x:v>https://raw.githubusercontent.com/burgnetz-wq/froebel/main/bilder/physik/023_gleichfoermige_bewegung.jpg</x:v>
      </x:c>
      <x:c r="M21" s="158" t="e">
        <x:f>HYPERLINK("https://burgnetz-wq.github.io/froebel/physik/html/ph7_stunde_21_energieformen.html","Schüler-Modul öffnen")</x:f>
      </x:c>
      <x:c r="N21" s="159" t="e">
        <x:f>HYPERLINK("lehrer/physik/ph_k7_st21_energie_und_energieformen_lageenergie_und_bewegungsenergie_orga.html","Vorbereitung öffnen")</x:f>
      </x:c>
    </x:row>
    <x:row r="22" ht="70" customHeight="1">
      <x:c r="A22" s="125" t="str">
        <x:v>Physik</x:v>
      </x:c>
      <x:c r="B22" s="126" t="n">
        <x:v>7</x:v>
      </x:c>
      <x:c r="C22" s="60" t="str">
        <x:v>Mechanik</x:v>
      </x:c>
      <x:c r="D22" s="126" t="n">
        <x:v>22</x:v>
      </x:c>
      <x:c r="E22" s="60" t="str">
        <x:v>Energie sparen im Alltag – Leuchtmittel im Vergleich</x:v>
      </x:c>
      <x:c r="F22" s="60" t="str">
        <x:v>Vier vorgegebene Energiesparmaßnahmen den vier Bereichen zuordnen, Rohwerte in vorbereitete Tabelle eintragen.</x:v>
      </x:c>
      <x:c r="G22" s="60" t="str">
        <x:v>Eigenständige Sammlung von mindestens sechs Maßnahmen mit Bewertung, vollständiger Vergleich der Rohwerte mit den Wattangaben. Die Beispielrechnung zur jährlichen Energieeinsparung beim Lampentausch selbstständig durchführen und das Ergebnis einordnen.</x:v>
      </x:c>
      <x:c r="H22" s="60" t="str">
        <x:v>Möglichkeiten der Energieeinsparung im Alltag begründen und anhand eines Leuchtmittelvergleichs bewerten</x:v>
      </x:c>
      <x:c r="I22" s="60" t="str">
        <x:v>LE: Helligkeitsvergleich von LED und Glühlampe bei bekannter Leistung
SE: Sammlung und Bewertung von Energiesparmaßnahmen im Alltag</x:v>
      </x:c>
      <x:c r="J22" s="60" t="str">
        <x:v>Helligkeitsmessung zweier Leuchtmittel mit stark unterschiedlicher Leistung bei gleichem Abstand (Lehrerdemonstration)</x:v>
      </x:c>
      <x:c r="K22" s="60" t="str">
        <x:v>ph_k7_st22_energie_sparen_im_alltag_leuchtmittel_im_vergleich</x:v>
      </x:c>
      <x:c r="L22" s="60" t="str">
        <x:v>https://raw.githubusercontent.com/burgnetz-wq/froebel/main/bilder/physik/090_physik_klassenraum.jpg</x:v>
      </x:c>
      <x:c r="M22" s="158" t="e">
        <x:f>HYPERLINK("https://burgnetz-wq.github.io/froebel/physik/html/ph7_stunde_22_energiesparen.html","Schüler-Modul öffnen")</x:f>
      </x:c>
      <x:c r="N22" s="159" t="e">
        <x:f>HYPERLINK("lehrer/physik/ph_k7_st22_energie_sparen_im_alltag_leuchtmittel_im_vergleich_orga.html","Vorbereitung öffnen")</x:f>
      </x:c>
    </x:row>
    <x:row r="23" ht="70" customHeight="1">
      <x:c r="A23" s="125" t="str">
        <x:v>Physik</x:v>
      </x:c>
      <x:c r="B23" s="126" t="n">
        <x:v>7</x:v>
      </x:c>
      <x:c r="C23" s="60" t="str">
        <x:v>Mechanik</x:v>
      </x:c>
      <x:c r="D23" s="126" t="n">
        <x:v>23</x:v>
      </x:c>
      <x:c r="E23" s="60" t="str">
        <x:v>Wiederholung und Vertiefung – Arbeit, Leistung, Energie</x:v>
      </x:c>
      <x:c r="F23" s="60" t="str">
        <x:v>Formeln liegen an jeder Station als Nachschlagehilfe aus, Zahlenwerte sind einfach gehalten.</x:v>
      </x:c>
      <x:c r="G23" s="60" t="str">
        <x:v>Alle vier Stationen selbstständig bearbeiten, Lösungen mit der Lösungskarte selbst kontrollieren. Zusatzaufgabe zur eigenen Aufgabenerstellung bearbeiten und einer anderen Gruppe zur Lösung geben.</x:v>
      </x:c>
      <x:c r="H23" s="60" t="str">
        <x:v>Die Größen Arbeit, Leistung und Energie sicher unterscheiden, berechnen und in gemischten Aufgaben anwenden</x:v>
      </x:c>
      <x:c r="I23" s="60" t="str">
        <x:v>LE: Kombiniertes Wiederholungsexperiment – Arbeit, Leistung und Energie an einer Kugelbahn
SE: Stationenlernen mit gemischten Aufgaben zu Arbeit, Leistung und Energie</x:v>
      </x:c>
      <x:c r="J23" s="60" t="str">
        <x:v>entfällt</x:v>
      </x:c>
      <x:c r="K23" s="60" t="str">
        <x:v>ph_k7_st23_wiederholung_und_vertiefung_arbeit_leistung_energie</x:v>
      </x:c>
      <x:c r="L23" s="60" t="str">
        <x:v>https://raw.githubusercontent.com/burgnetz-wq/froebel/main/bilder/physik/038_arbeit_leistung.jpg</x:v>
      </x:c>
      <x:c r="M23" s="158" t="e">
        <x:f>HYPERLINK("https://burgnetz-wq.github.io/froebel/physik/html/ph7_stunde_23_wiederholung.html","Schüler-Modul öffnen")</x:f>
      </x:c>
      <x:c r="N23" s="159" t="e">
        <x:f>HYPERLINK("lehrer/physik/ph_k7_st23_wiederholung_und_vertiefung_arbeit_leistung_energie_orga.html","Vorbereitung öffnen")</x:f>
      </x:c>
    </x:row>
    <x:row r="24" ht="70" customHeight="1">
      <x:c r="A24" s="125" t="str">
        <x:v>Physik</x:v>
      </x:c>
      <x:c r="B24" s="126" t="n">
        <x:v>7</x:v>
      </x:c>
      <x:c r="C24" s="60" t="str">
        <x:v>Mechanik</x:v>
      </x:c>
      <x:c r="D24" s="126" t="n">
        <x:v>24</x:v>
      </x:c>
      <x:c r="E24" s="60" t="str">
        <x:v>Masse, Volumen und Dichte</x:v>
      </x:c>
      <x:c r="F24" s="60" t="str">
        <x:v>Formel als vorgegebene Rechenvorschrift, Messtabelle mit vorgegebenen Spalten, nur ein Körper wird vollständig vermessen.</x:v>
      </x:c>
      <x:c r="G24" s="60" t="str">
        <x:v>Selbstständige Messung und Berechnung für zwei Körper, Vergleich mit einer Tabelle bekannter Stoffdichten. Begründen, warum die Dichte unabhängig von der Körpergröße eine Stoffeigenschaft ist, und ein Alltagsbeispiel nennen, bei dem die Dichte über Schwimmen oder Sinken entscheidet.</x:v>
      </x:c>
      <x:c r="H24" s="60" t="str">
        <x:v>Die Dichte als Verhältnis von Masse zu Volumen berechnen und zur Unterscheidung von Stoffen nutzen</x:v>
      </x:c>
      <x:c r="I24" s="60" t="str">
        <x:v>LE: Masse- und Volumenbestimmung eines Metallkörpers mit Waage und Wasserverdrängung
SE: Automatisierte Volumenbestimmung durch Wasserstandsmessung mit dem Ultraschallsensor</x:v>
      </x:c>
      <x:c r="J24" s="60" t="str">
        <x:v>Automatisierte Messung des Wasserstands vor und nach dem Eintauchen eines Körpers zur Bestimmung seines Volumens (Schülerexperiment)</x:v>
      </x:c>
      <x:c r="K24" s="60" t="str">
        <x:v>ph_k7_st24_masse_volumen_und_dichte</x:v>
      </x:c>
      <x:c r="L24" s="60" t="str">
        <x:v>https://raw.githubusercontent.com/burgnetz-wq/froebel/main/bilder/physik/025_dichte_experiment.jpg</x:v>
      </x:c>
      <x:c r="M24" s="158" t="e">
        <x:f>HYPERLINK("https://burgnetz-wq.github.io/froebel/physik/html/ph7_stunde_24_dichte.html","Schüler-Modul öffnen")</x:f>
      </x:c>
      <x:c r="N24" s="159" t="e">
        <x:f>HYPERLINK("lehrer/physik/ph_k7_st24_masse_volumen_und_dichte_orga.html","Vorbereitung öffnen")</x:f>
      </x:c>
    </x:row>
    <x:row r="25" ht="70" customHeight="1">
      <x:c r="A25" s="125" t="str">
        <x:v>Physik</x:v>
      </x:c>
      <x:c r="B25" s="126" t="n">
        <x:v>7</x:v>
      </x:c>
      <x:c r="C25" s="60" t="str">
        <x:v>Mechanik</x:v>
      </x:c>
      <x:c r="D25" s="126" t="n">
        <x:v>25</x:v>
      </x:c>
      <x:c r="E25" s="60" t="str">
        <x:v>Auftrieb – Warum schwimmen manche Dinge?</x:v>
      </x:c>
      <x:c r="F25" s="60" t="str">
        <x:v>Beobachtungstabelle mit vorgegebenen Symbolen (schwimmt/sinkt) ausfüllen, Dichtevergleich als einfaches Größer/Kleiner-Zeichen.</x:v>
      </x:c>
      <x:c r="G25" s="60" t="str">
        <x:v>Vollständige Untersuchung mit eigener Begründung des Zusammenhangs zwischen Dichte und Schwimmverhalten. Die Zusatzaufgabe zum Stahlschiff bearbeiten und dabei den Begriff der mittleren Dichte eines zusammengesetzten Körpers erklären.</x:v>
      </x:c>
      <x:c r="H25" s="60" t="str">
        <x:v>Den Auftrieb als Kraft erklären, die der Gewichtskraft in einer Flüssigkeit entgegenwirkt, und das Schwimmen oder Sinken mit der Dichte begründen</x:v>
      </x:c>
      <x:c r="I25" s="60" t="str">
        <x:v>LE: Gewichtskraft eines Körpers in Luft und in Wasser vergleichen
SE: Schwimmverhalten verschiedener Körper untersuchen und mit der Dichte begründen</x:v>
      </x:c>
      <x:c r="J25" s="60" t="str">
        <x:v>entfällt</x:v>
      </x:c>
      <x:c r="K25" s="60" t="str">
        <x:v>ph_k7_st25_auftrieb_warum_schwimmen_manche_dinge</x:v>
      </x:c>
      <x:c r="L25" s="60" t="str">
        <x:v>https://raw.githubusercontent.com/burgnetz-wq/froebel/main/bilder/physik/081_auftrieb.jpg</x:v>
      </x:c>
      <x:c r="M25" s="158" t="e">
        <x:f>HYPERLINK("https://burgnetz-wq.github.io/froebel/physik/html/ph7_stunde_25_auftrieb.html","Schüler-Modul öffnen")</x:f>
      </x:c>
      <x:c r="N25" s="159" t="e">
        <x:f>HYPERLINK("lehrer/physik/ph_k7_st25_auftrieb_warum_schwimmen_manche_dinge_orga.html","Vorbereitung öffnen")</x:f>
      </x:c>
    </x:row>
    <x:row r="26" ht="70" customHeight="1">
      <x:c r="A26" s="125" t="str">
        <x:v>Physik</x:v>
      </x:c>
      <x:c r="B26" s="126" t="n">
        <x:v>8</x:v>
      </x:c>
      <x:c r="C26" s="60" t="str">
        <x:v>Mechanik</x:v>
      </x:c>
      <x:c r="D26" s="126" t="n">
        <x:v>1</x:v>
      </x:c>
      <x:c r="E26" s="60" t="str">
        <x:v>Geschwindigkeit – Was bedeutet „schnell“?</x:v>
      </x:c>
      <x:c r="F26" s="60" t="str">
        <x:v>Formel als vorgegebene Rechenvorschrift, nur die Geschwindigkeit in m/s berechnen.</x:v>
      </x:c>
      <x:c r="G26" s="60" t="str">
        <x:v>Vollständige Berechnung inklusive Umrechnung in km/h für beide Bewegungsarten. Die Zusatzaufgabe zur menschlichen Höchstgeschwindigkeit bearbeiten und das Verhältnis zur eigenen Geschwindigkeit einordnen.</x:v>
      </x:c>
      <x:c r="H26" s="60" t="str">
        <x:v>Die Geschwindigkeit als Verhältnis von Weg zu Zeit berechnen und zwischen m/s und km/h umrechnen</x:v>
      </x:c>
      <x:c r="I26" s="60" t="str">
        <x:v>LE: Zeitmessung eines rollenden Wagens über eine bekannte Messstrecke
SE: Geschwindigkeit bei verschiedenen Strecken und Zeiten berechnen und mit Alltagsgeschwindigkeiten vergleichen</x:v>
      </x:c>
      <x:c r="J26" s="60" t="str">
        <x:v>entfällt</x:v>
      </x:c>
      <x:c r="K26" s="60" t="str">
        <x:v>ph_k8_st01_geschwindigkeit_was_bedeutet_schnell</x:v>
      </x:c>
      <x:c r="L26" s="60" t="str">
        <x:v>https://raw.githubusercontent.com/burgnetz-wq/froebel/main/bilder/physik/023_gleichfoermige_bewegung.jpg</x:v>
      </x:c>
      <x:c r="M26" s="158" t="e">
        <x:f>HYPERLINK("https://burgnetz-wq.github.io/froebel/physik/html/ph8_stunde_01_geschwindigkeit.html","Schüler-Modul öffnen")</x:f>
      </x:c>
      <x:c r="N26" s="159" t="e">
        <x:f>HYPERLINK("lehrer/physik/ph_k8_st01_geschwindigkeit_was_bedeutet_schnell_orga.html","Vorbereitung öffnen")</x:f>
      </x:c>
    </x:row>
    <x:row r="27" ht="70" customHeight="1">
      <x:c r="A27" s="125" t="str">
        <x:v>Physik</x:v>
      </x:c>
      <x:c r="B27" s="126" t="n">
        <x:v>8</x:v>
      </x:c>
      <x:c r="C27" s="60" t="str">
        <x:v>Mechanik</x:v>
      </x:c>
      <x:c r="D27" s="126" t="n">
        <x:v>2</x:v>
      </x:c>
      <x:c r="E27" s="60" t="str">
        <x:v>Bewegungsarten und das Weg-Zeit-Diagramm</x:v>
      </x:c>
      <x:c r="F27" s="60" t="str">
        <x:v>Diagrammraster mit bereits eingezeichneten Achsen und Hilfslinien nutzen, nur die Musterdaten übertragen.</x:v>
      </x:c>
      <x:c r="G27" s="60" t="str">
        <x:v>Eigenes Diagramm mit selbst gewähltem, passendem Maßstab zeichnen und beide Bewegungsabschnitte kennzeichnen. Aus den Diagrammdaten die Geschwindigkeit als Steigung der Geraden berechnen und mit einer direkten Berechnung über $$v=\frac{s}{t}$$ vergleichen.</x:v>
      </x:c>
      <x:c r="H27" s="60" t="str">
        <x:v>Gleichförmige und ungleichförmige Bewegung unterscheiden und ein Weg-Zeit-Diagramm lesen und zeichnen</x:v>
      </x:c>
      <x:c r="I27" s="60" t="str">
        <x:v>LE: Automatisierte Positionsmessung eines rollenden Wagens mit dem Ultraschallsensor
SE: Eigenes Weg-Zeit-Diagramm aus gemessenen Positionsdaten zeichnen</x:v>
      </x:c>
      <x:c r="J27" s="60" t="str">
        <x:v>Fortlaufende Positionsmessung eines Wagens zur Erstellung eines Weg-Zeit-Diagramms (Lehrerdemonstration)</x:v>
      </x:c>
      <x:c r="K27" s="60" t="str">
        <x:v>ph_k8_st02_bewegungsarten_und_das_weg_zeit_diagramm</x:v>
      </x:c>
      <x:c r="L27" s="60" t="str">
        <x:v>https://raw.githubusercontent.com/burgnetz-wq/froebel/main/bilder/physik/023_gleichfoermige_bewegung.jpg</x:v>
      </x:c>
      <x:c r="M27" s="158" t="e">
        <x:f>HYPERLINK("https://burgnetz-wq.github.io/froebel/physik/html/ph8_stunde_02_weg_zeit_diagramm.html","Schüler-Modul öffnen")</x:f>
      </x:c>
      <x:c r="N27" s="159" t="e">
        <x:f>HYPERLINK("lehrer/physik/ph_k8_st02_bewegungsarten_und_das_weg_zeit_diagramm_orga.html","Vorbereitung öffnen")</x:f>
      </x:c>
    </x:row>
    <x:row r="28" ht="70" customHeight="1">
      <x:c r="A28" s="125" t="str">
        <x:v>Physik</x:v>
      </x:c>
      <x:c r="B28" s="126" t="n">
        <x:v>8</x:v>
      </x:c>
      <x:c r="C28" s="60" t="str">
        <x:v>Mechanik</x:v>
      </x:c>
      <x:c r="D28" s="126" t="n">
        <x:v>3</x:v>
      </x:c>
      <x:c r="E28" s="60" t="str">
        <x:v>Durchschnitts- und Momentangeschwindigkeit</x:v>
      </x:c>
      <x:c r="F28" s="60" t="str">
        <x:v>Nur die Durchschnittsgeschwindigkeit über die Gesamtstrecke berechnen, Momentangeschwindigkeit nur qualitativ als „steiler/flacher" beschreiben.</x:v>
      </x:c>
      <x:c r="G28" s="60" t="str">
        <x:v>Vollständige Berechnung von Durchschnitts- und Momentangeschwindigkeit für zwei Abschnitte. Die Zusatzaufgabe zum Autotacho bearbeiten und begründen, warum für die Verkehrssicherheit die Momentangeschwindigkeit entscheidend ist.</x:v>
      </x:c>
      <x:c r="H28" s="60" t="str">
        <x:v>Durchschnittsgeschwindigkeit und Momentangeschwindigkeit unterscheiden und aus einem Weg-Zeit-Diagramm ablesen</x:v>
      </x:c>
      <x:c r="I28" s="60" t="str">
        <x:v>LE: Analyse eines vorgegebenen Weg-Zeit-Diagramms mit unterschiedlich steilen Abschnitten
SE: Durchschnittsgeschwindigkeit aus eigenen Messdaten berechnen und Momentangeschwindigkeit schätzen</x:v>
      </x:c>
      <x:c r="J28" s="60" t="str">
        <x:v>entfällt</x:v>
      </x:c>
      <x:c r="K28" s="60" t="str">
        <x:v>ph_k8_st03_durchschnitts_und_momentangeschwindigkeit</x:v>
      </x:c>
      <x:c r="L28" s="60" t="str">
        <x:v>https://raw.githubusercontent.com/burgnetz-wq/froebel/main/bilder/physik/023_gleichfoermige_bewegung.jpg</x:v>
      </x:c>
      <x:c r="M28" s="158" t="e">
        <x:f>HYPERLINK("https://burgnetz-wq.github.io/froebel/physik/html/ph8_stunde_03_durchschnitt_moment.html","Schüler-Modul öffnen")</x:f>
      </x:c>
      <x:c r="N28" s="159" t="e">
        <x:f>HYPERLINK("lehrer/physik/ph_k8_st03_durchschnitts_und_momentangeschwindigkeit_orga.html","Vorbereitung öffnen")</x:f>
      </x:c>
    </x:row>
    <x:row r="29" ht="70" customHeight="1">
      <x:c r="A29" s="125" t="str">
        <x:v>Physik</x:v>
      </x:c>
      <x:c r="B29" s="126" t="n">
        <x:v>8</x:v>
      </x:c>
      <x:c r="C29" s="60" t="str">
        <x:v>Mechanik</x:v>
      </x:c>
      <x:c r="D29" s="126" t="n">
        <x:v>4</x:v>
      </x:c>
      <x:c r="E29" s="60" t="str">
        <x:v>Beschleunigung – Wenn sich die Geschwindigkeit ändert</x:v>
      </x:c>
      <x:c r="F29" s="60" t="str">
        <x:v>Nur eine Neigung messen, vorgegebenes Rechenschema mit Zwischenschritten nutzen.</x:v>
      </x:c>
      <x:c r="G29" s="60" t="str">
        <x:v>Beide Neigungen selbstständig messen, berechnen und vergleichen. Die Zusatzaufgabe zur reibungsfreien, waagerechten Bahn bearbeiten und den Unterschied zwischen „keine Kraft nötig für gleichförmige Bewegung" und „Kraft nötig für Beschleunigung" in eigenen Worten erklären.</x:v>
      </x:c>
      <x:c r="H29" s="60" t="str">
        <x:v>Die Beschleunigung als Geschwindigkeitsänderung pro Zeit berechnen und mit einem Sensor messen</x:v>
      </x:c>
      <x:c r="I29" s="60" t="str">
        <x:v>LE: Geschwindigkeitszunahme eines Wagens auf einer geneigten Bahn automatisiert messen
SE: Beschleunigung bei unterschiedlicher Neigung berechnen und vergleichen</x:v>
      </x:c>
      <x:c r="J29" s="60" t="str">
        <x:v>Fortlaufende Positionsmessung zur Berechnung der Geschwindigkeitszunahme und daraus der Beschleunigung (Schülerexperiment)</x:v>
      </x:c>
      <x:c r="K29" s="60" t="str">
        <x:v>ph_k8_st04_beschleunigung_wenn_sich_die_geschwindigkeit_andert</x:v>
      </x:c>
      <x:c r="L29" s="60" t="str">
        <x:v>https://raw.githubusercontent.com/burgnetz-wq/froebel/main/bilder/physik/092_beschleunigung.jpg</x:v>
      </x:c>
      <x:c r="M29" s="158" t="e">
        <x:f>HYPERLINK("https://burgnetz-wq.github.io/froebel/physik/html/ph8_stunde_04_beschleunigung.html","Schüler-Modul öffnen")</x:f>
      </x:c>
      <x:c r="N29" s="159" t="e">
        <x:f>HYPERLINK("lehrer/physik/ph_k8_st04_beschleunigung_wenn_sich_die_geschwindigkeit_andert_orga.html","Vorbereitung öffnen")</x:f>
      </x:c>
    </x:row>
    <x:row r="30" ht="70" customHeight="1">
      <x:c r="A30" s="125" t="str">
        <x:v>Physik</x:v>
      </x:c>
      <x:c r="B30" s="126" t="n">
        <x:v>8</x:v>
      </x:c>
      <x:c r="C30" s="60" t="str">
        <x:v>Mechanik</x:v>
      </x:c>
      <x:c r="D30" s="126" t="n">
        <x:v>9</x:v>
      </x:c>
      <x:c r="E30" s="60" t="str">
        <x:v>Wiederholung Dynamik</x:v>
      </x:c>
      <x:c r="F30" s="60" t="str">
        <x:v>Vier ausgewählte Stationen mit Formelsammlung und vereinfachten Zahlenwerten bearbeiten.</x:v>
      </x:c>
      <x:c r="G30" s="60" t="str">
        <x:v>Alle sechs Stationen selbstständig bearbeiten und mit der Lösungskarte kontrollieren. Eigene Zusatzfragen zu mindestens zwei Stationen formulieren und mit einer anderen Gruppe tauschen.</x:v>
      </x:c>
      <x:c r="H30" s="60" t="str">
        <x:v>Die Größen und Gesetze der Bewegungslehre (Geschwindigkeit, Beschleunigung, die drei Newtonschen Gesetze, Impuls) sicher unterscheiden und in gemischten Aufgaben anwenden</x:v>
      </x:c>
      <x:c r="I30" s="60" t="str">
        <x:v>LE: Kurze Recap-Demonstration eines von den Schülern gewählten Lieblingsversuchs aus den Stunden 1–8
SE: Stationenlernen mit gemischten Aufgaben zu Kinematik und Dynamik</x:v>
      </x:c>
      <x:c r="J30" s="60" t="str">
        <x:v>entfällt</x:v>
      </x:c>
      <x:c r="K30" s="60" t="str">
        <x:v>ph_k8_st09_wiederholung_dynamik</x:v>
      </x:c>
      <x:c r="L30" s="60" t="str">
        <x:v>https://raw.githubusercontent.com/burgnetz-wq/froebel/main/bilder/physik/097_formeln_uebersicht.jpg</x:v>
      </x:c>
      <x:c r="M30" s="158" t="e">
        <x:f>HYPERLINK("https://burgnetz-wq.github.io/froebel/physik/html/ph8_stunde_09_wiederholung_dynamik.html","Schüler-Modul öffnen")</x:f>
      </x:c>
      <x:c r="N30" s="159" t="e">
        <x:f>HYPERLINK("lehrer/physik/ph_k8_st09_wiederholung_dynamik_orga.html","Vorbereitung öffnen")</x:f>
      </x:c>
    </x:row>
    <x:row r="31" ht="70" customHeight="1">
      <x:c r="A31" s="125" t="str">
        <x:v>Physik</x:v>
      </x:c>
      <x:c r="B31" s="126" t="n">
        <x:v>8</x:v>
      </x:c>
      <x:c r="C31" s="60" t="str">
        <x:v>Wärmelehre</x:v>
      </x:c>
      <x:c r="D31" s="126" t="n">
        <x:v>10</x:v>
      </x:c>
      <x:c r="E31" s="60" t="str">
        <x:v>Aggregatzustände</x:v>
      </x:c>
      <x:c r="F31" s="60" t="str">
        <x:v>Diagrammraster mit bereits eingezeichneten Achsen und Hilfslinien nutzen, nur die Musterdaten übertragen.</x:v>
      </x:c>
      <x:c r="G31" s="60" t="str">
        <x:v>Eigenes Diagramm mit selbst gewähltem, passendem Maßstab zeichnen und beide Plateaus korrekt beschriften. Die Zusatzaufgabe zu Schmelz- und Siedepunkten anderer Stoffe bearbeiten und die Werte mit Wasser vergleichen.</x:v>
      </x:c>
      <x:c r="H31" s="60" t="str">
        <x:v>Die drei Aggregatzustände und ihre Übergänge beschreiben und die Erhitzungskurve von Eis bis Dampf mit Messwerten belegen</x:v>
      </x:c>
      <x:c r="I31" s="60" t="str">
        <x:v>LE: Erhitzen von Eis bis zum Sieden mit automatisierter Temperaturaufzeichnung
SE: Temperatur-Zeit-Diagramm zeichnen und die Plateaus den Phasenübergängen zuordnen</x:v>
      </x:c>
      <x:c r="J31" s="60" t="str">
        <x:v>Automatisierte Temperaturaufzeichnung beim Erhitzen von Eis bis zum Sieden zur Erstellung einer Erhitzungskurve (Lehrerdemonstration)</x:v>
      </x:c>
      <x:c r="K31" s="60" t="str">
        <x:v>ph_k8_st10_aggregatzustande</x:v>
      </x:c>
      <x:c r="L31" s="60" t="str">
        <x:v>https://raw.githubusercontent.com/burgnetz-wq/froebel/main/bilder/physik/026_temperatur_waerme.jpg</x:v>
      </x:c>
      <x:c r="M31" s="158" t="e">
        <x:f>HYPERLINK("https://burgnetz-wq.github.io/froebel/physik/html/ph8_stunde_10_aggregatzustaende.html","Schüler-Modul öffnen")</x:f>
      </x:c>
      <x:c r="N31" s="159" t="e">
        <x:f>HYPERLINK("lehrer/physik/ph_k8_st10_aggregatzustande_orga.html","Vorbereitung öffnen")</x:f>
      </x:c>
    </x:row>
    <x:row r="32" ht="70" customHeight="1">
      <x:c r="A32" s="125" t="str">
        <x:v>Physik</x:v>
      </x:c>
      <x:c r="B32" s="126" t="n">
        <x:v>8</x:v>
      </x:c>
      <x:c r="C32" s="60" t="str">
        <x:v>Wärmelehre</x:v>
      </x:c>
      <x:c r="D32" s="126" t="n">
        <x:v>11</x:v>
      </x:c>
      <x:c r="E32" s="60" t="str">
        <x:v>Wärmeausdehnung</x:v>
      </x:c>
      <x:c r="F32" s="60" t="str">
        <x:v>Beobachtungstabelle mit vorgegebenen Antwortmöglichkeiten zum Ankreuzen.</x:v>
      </x:c>
      <x:c r="G32" s="60" t="str">
        <x:v>Vollständige eigene Formulierung von Beobachtung und Vergleich für Flüssigkeit und Gas. Die Zusatzaufgabe zu weiteren technischen Anwendungen bearbeiten und mit eigenen Worten erklären, wie die Wärmeausdehnung dabei genutzt wird.</x:v>
      </x:c>
      <x:c r="H32" s="60" t="str">
        <x:v>Die Wärmeausdehnung fester Körper, Flüssigkeiten und Gase beschreiben und technische Anwendungen erklären</x:v>
      </x:c>
      <x:c r="I32" s="60" t="str">
        <x:v>LE: Ringversuch zur Ausdehnung fester Körper und Bimetallstreifen-Versuch
SE: Ausdehnung von Flüssigkeit und Gas bei Erwärmung beobachten</x:v>
      </x:c>
      <x:c r="J32" s="60" t="str">
        <x:v>entfällt</x:v>
      </x:c>
      <x:c r="K32" s="60" t="str">
        <x:v>ph_k8_st11_warmeausdehnung</x:v>
      </x:c>
      <x:c r="L32" s="60" t="str">
        <x:v>https://raw.githubusercontent.com/burgnetz-wq/froebel/main/bilder/physik/026_temperatur_waerme.jpg</x:v>
      </x:c>
      <x:c r="M32" s="158" t="e">
        <x:f>HYPERLINK("https://burgnetz-wq.github.io/froebel/physik/html/ph8_stunde_11_waermeausdehnung.html","Schüler-Modul öffnen")</x:f>
      </x:c>
      <x:c r="N32" s="159" t="e">
        <x:f>HYPERLINK("lehrer/physik/ph_k8_st11_warmeausdehnung_orga.html","Vorbereitung öffnen")</x:f>
      </x:c>
    </x:row>
    <x:row r="33" ht="70" customHeight="1">
      <x:c r="A33" s="125" t="str">
        <x:v>Physik</x:v>
      </x:c>
      <x:c r="B33" s="126" t="n">
        <x:v>8</x:v>
      </x:c>
      <x:c r="C33" s="60" t="str">
        <x:v>Wärmelehre</x:v>
      </x:c>
      <x:c r="D33" s="126" t="n">
        <x:v>12</x:v>
      </x:c>
      <x:c r="E33" s="60" t="str">
        <x:v>Wärmemenge und spezifische Wärmekapazität</x:v>
      </x:c>
      <x:c r="F33" s="60" t="str">
        <x:v>Formel als vorgegebene Rechenvorschrift, nur die Wärmemenge für Wasser berechnen.</x:v>
      </x:c>
      <x:c r="G33" s="60" t="str">
        <x:v>Vollständige Berechnung der Wärmemenge für beide Stoffe und Vergleich. Die Zusatzaufgabe zur Erwärmung von 1 kg Wasser und 1 kg Öl um 20 K bearbeiten und das Ergebnis mit dem Anfangsbeispiel (Sand und Wasser am Strand) in Verbindung bringen.</x:v>
      </x:c>
      <x:c r="H33" s="60" t="str">
        <x:v>Die Wärmemenge Q = c · m · ΔT berechnen und die spezifische Wärmekapazität verschiedener Stoffe vergleichen</x:v>
      </x:c>
      <x:c r="I33" s="60" t="str">
        <x:v>LE: Gleichzeitiges Erwärmen von Wasser und Öl mit gleicher Heizleistung und automatisierter Temperaturmessung
SE: Temperaturanstieg beider Stoffe vergleichen und die Wärmemenge berechnen</x:v>
      </x:c>
      <x:c r="J33" s="60" t="str">
        <x:v>Gleichzeitige, automatisierte Temperaturmessung zweier Stoffe zur Bestimmung der unterschiedlichen spezifischen Wärmekapazität (Schülerexperiment)</x:v>
      </x:c>
      <x:c r="K33" s="60" t="str">
        <x:v>ph_k8_st12_warmemenge_und_spezifische_warmekapazitat</x:v>
      </x:c>
      <x:c r="L33" s="60" t="str">
        <x:v>https://raw.githubusercontent.com/burgnetz-wq/froebel/main/bilder/physik/026_temperatur_waerme.jpg</x:v>
      </x:c>
      <x:c r="M33" s="158" t="e">
        <x:f>HYPERLINK("https://burgnetz-wq.github.io/froebel/physik/html/ph8_stunde_12_waermekapazitaet.html","Schüler-Modul öffnen")</x:f>
      </x:c>
      <x:c r="N33" s="159" t="e">
        <x:f>HYPERLINK("lehrer/physik/ph_k8_st12_warmemenge_und_spezifische_warmekapazitat_orga.html","Vorbereitung öffnen")</x:f>
      </x:c>
    </x:row>
    <x:row r="34" ht="70" customHeight="1">
      <x:c r="A34" s="125" t="str">
        <x:v>Physik</x:v>
      </x:c>
      <x:c r="B34" s="126" t="n">
        <x:v>8</x:v>
      </x:c>
      <x:c r="C34" s="60" t="str">
        <x:v>Physik</x:v>
      </x:c>
      <x:c r="D34" s="126" t="n">
        <x:v>17</x:v>
      </x:c>
      <x:c r="E34" s="60" t="str">
        <x:v>Magnetismus</x:v>
      </x:c>
      <x:c r="F34" s="60" t="str">
        <x:v>Beobachtungstabelle mit vorgegebenen Antwortmöglichkeiten zum Ankreuzen, nur drei Materialproben testen.</x:v>
      </x:c>
      <x:c r="G34" s="60" t="str">
        <x:v>Vollständiger Materialtest und Poluntersuchung mit eigener Formulierung der Ergebnisse. Die Zusatzaufgabe zur fehlenden Magnetisierbarkeit von Aluminium und Kupfer bearbeiten und mit eigenen Worten begründen.</x:v>
      </x:c>
      <x:c r="H34" s="60" t="str">
        <x:v>Magnetpole, das Feldlinienbild eines Magneten und magnetisierbare Stoffe beschreiben</x:v>
      </x:c>
      <x:c r="I34" s="60" t="str">
        <x:v>LE: Sichtbarmachen des Feldlinienbildes eines Stabmagneten mit Eisenspänen
SE: Untersuchung der Magnetisierbarkeit verschiedener Materialien und der Anziehung/Abstoßung zweier Magnete</x:v>
      </x:c>
      <x:c r="J34" s="60" t="str">
        <x:v>entfällt</x:v>
      </x:c>
      <x:c r="K34" s="60" t="str">
        <x:v>ph_k8_st17_magnetismus</x:v>
      </x:c>
      <x:c r="L34" s="60" t="str">
        <x:v>https://raw.githubusercontent.com/burgnetz-wq/froebel/main/bilder/physik/090_physik_klassenraum.jpg</x:v>
      </x:c>
      <x:c r="M34" s="158" t="e">
        <x:f>HYPERLINK("https://burgnetz-wq.github.io/froebel/physik/html/ph8_stunde_17_magnetismus.html","Schüler-Modul öffnen")</x:f>
      </x:c>
      <x:c r="N34" s="159" t="e">
        <x:f>HYPERLINK("lehrer/physik/ph_k8_st17_magnetismus_orga.html","Vorbereitung öffnen")</x:f>
      </x:c>
    </x:row>
    <x:row r="35" ht="70" customHeight="1">
      <x:c r="A35" s="125" t="str">
        <x:v>Physik</x:v>
      </x:c>
      <x:c r="B35" s="126" t="n">
        <x:v>8</x:v>
      </x:c>
      <x:c r="C35" s="60" t="str">
        <x:v>Physik</x:v>
      </x:c>
      <x:c r="D35" s="126" t="n">
        <x:v>18</x:v>
      </x:c>
      <x:c r="E35" s="60" t="str">
        <x:v>Kompass</x:v>
      </x:c>
      <x:c r="F35" s="60" t="str">
        <x:v>Fertig magnetisierte Nadel verwenden, nur den Schwimmversuch durchführen und Beobachtung mit vorgegebenen Antwortmöglichkeiten beschreiben.</x:v>
      </x:c>
      <x:c r="G35" s="60" t="str">
        <x:v>Nadel selbst magnetisieren, vollständigen Kompass bauen und mit einem echten Kompass vergleichen. Die Zusatzaufgabe zum Unterschied zwischen geografischem und magnetischem Nordpol bearbeiten.</x:v>
      </x:c>
      <x:c r="H35" s="60" t="str">
        <x:v>Das Magnetfeld der Erde als Ursache der Kompassausrichtung erklären und einen einfachen Kompass selbst bauen</x:v>
      </x:c>
      <x:c r="I35" s="60" t="str">
        <x:v>LE: Vorführung eines Kompasses und Beobachtung der Störung durch einen Magneten in der Nähe
SE: Bau eines einfachen schwimmenden Kompasses aus einer magnetisierten Nähnadel</x:v>
      </x:c>
      <x:c r="J35" s="60" t="str">
        <x:v>entfällt</x:v>
      </x:c>
      <x:c r="K35" s="60" t="str">
        <x:v>ph_k8_st18_kompass</x:v>
      </x:c>
      <x:c r="L35" s="60" t="str">
        <x:v>https://raw.githubusercontent.com/burgnetz-wq/froebel/main/bilder/physik/018_kompass_erdmagnetfeld.jpg</x:v>
      </x:c>
      <x:c r="M35" s="158" t="e">
        <x:f>HYPERLINK("https://burgnetz-wq.github.io/froebel/physik/html/ph8_stunde_18_kompass.html","Schüler-Modul öffnen")</x:f>
      </x:c>
      <x:c r="N35" s="159" t="e">
        <x:f>HYPERLINK("lehrer/physik/ph_k8_st18_kompass_orga.html","Vorbereitung öffnen")</x:f>
      </x:c>
    </x:row>
    <x:row r="36" ht="70" customHeight="1">
      <x:c r="A36" s="125" t="str">
        <x:v>Physik</x:v>
      </x:c>
      <x:c r="B36" s="126" t="n">
        <x:v>8</x:v>
      </x:c>
      <x:c r="C36" s="60" t="str">
        <x:v>Physik</x:v>
      </x:c>
      <x:c r="D36" s="126" t="n">
        <x:v>19</x:v>
      </x:c>
      <x:c r="E36" s="60" t="str">
        <x:v>Elektromagnet</x:v>
      </x:c>
      <x:c r="F36" s="60" t="str">
        <x:v>Nur eine Windungszahl testen und die Beobachtung beschreiben.</x:v>
      </x:c>
      <x:c r="G36" s="60" t="str">
        <x:v>Beide Windungszahlen testen und den Zusammenhang zwischen Windungszahl und Hubkraft selbstständig formulieren. Die Zusatzaufgabe zu technischen Anwendungen von Elektromagneten bearbeiten und die Funktionsweise in eigenen Worten erklären.</x:v>
      </x:c>
      <x:c r="H36" s="60" t="str">
        <x:v>Den Zusammenhang zwischen elektrischem Strom und Magnetfeld beschreiben und einen steuerbaren Elektromagneten aufbauen</x:v>
      </x:c>
      <x:c r="I36" s="60" t="str">
        <x:v>LE: Oersted-Versuch und einfacher batteriebetriebener Elektromagnet
SE: Über Arduino gesteuerter Elektromagnet, Vergleich der Hubkraft bei unterschiedlicher Windungszahl</x:v>
      </x:c>
      <x:c r="J36" s="60" t="str">
        <x:v>Steuerung eines selbstgewickelten Elektromagneten über einen Transistor zur Untersuchung der Hubkraft bei unterschiedlicher Windungszahl (Schülerexperiment)</x:v>
      </x:c>
      <x:c r="K36" s="60" t="str">
        <x:v>ph_k8_st19_elektromagnet</x:v>
      </x:c>
      <x:c r="L36" s="60" t="str">
        <x:v>https://raw.githubusercontent.com/burgnetz-wq/froebel/main/bilder/physik/019_elektromagnet.jpg</x:v>
      </x:c>
      <x:c r="M36" s="158" t="e">
        <x:f>HYPERLINK("https://burgnetz-wq.github.io/froebel/physik/html/ph8_stunde_19_elektromagnet.html","Schüler-Modul öffnen")</x:f>
      </x:c>
      <x:c r="N36" s="159" t="e">
        <x:f>HYPERLINK("lehrer/physik/ph_k8_st19_elektromagnet_orga.html","Vorbereitung öffnen")</x:f>
      </x:c>
    </x:row>
    <x:row r="37" ht="70" customHeight="1">
      <x:c r="A37" s="125" t="str">
        <x:v>Physik</x:v>
      </x:c>
      <x:c r="B37" s="126" t="n">
        <x:v>8</x:v>
      </x:c>
      <x:c r="C37" s="60" t="str">
        <x:v>Physik</x:v>
      </x:c>
      <x:c r="D37" s="126" t="n">
        <x:v>20</x:v>
      </x:c>
      <x:c r="E37" s="60" t="str">
        <x:v>Induktion</x:v>
      </x:c>
      <x:c r="F37" s="60" t="str">
        <x:v>Nur eine Bewegungsgeschwindigkeit messen und das Ergebnis qualitativ mit dem LED-Versuch vergleichen.</x:v>
      </x:c>
      <x:c r="G37" s="60" t="str">
        <x:v>Beide Geschwindigkeiten messen, Werte vergleichen und den Zusammenhang selbstständig formulieren. Die Zusatzaufgabe zum Fahrraddynamo bearbeiten und mit der gemessenen Geschwindigkeitsabhängigkeit der induzierten Spannung begründen.</x:v>
      </x:c>
      <x:c r="H37" s="60" t="str">
        <x:v>Elektromagnetische Induktion qualitativ beschreiben und das Grundprinzip eines Generators erklären</x:v>
      </x:c>
      <x:c r="I37" s="60" t="str">
        <x:v>LE: Magnet durch eine Spule bewegen und LED-Aufleuchten beobachten
SE: Automatisierte Messung der induzierten Spannung bei unterschiedlicher Bewegungsgeschwindigkeit des Magneten</x:v>
      </x:c>
      <x:c r="J37" s="60" t="str">
        <x:v>Messung der induzierten Spannung über eine Schutzschaltung am Analogeingang bei unterschiedlich schneller Bewegung eines Magneten durch eine Spule (Schülerexperiment)</x:v>
      </x:c>
      <x:c r="K37" s="60" t="str">
        <x:v>ph_k8_st20_induktion</x:v>
      </x:c>
      <x:c r="L37" s="60" t="str">
        <x:v>https://raw.githubusercontent.com/burgnetz-wq/froebel/main/bilder/physik/043_induktion.jpg</x:v>
      </x:c>
      <x:c r="M37" s="158" t="e">
        <x:f>HYPERLINK("https://burgnetz-wq.github.io/froebel/physik/html/ph8_stunde_20_induktion.html","Schüler-Modul öffnen")</x:f>
      </x:c>
      <x:c r="N37" s="159" t="e">
        <x:f>HYPERLINK("lehrer/physik/ph_k8_st20_induktion_orga.html","Vorbereitung öffnen")</x:f>
      </x:c>
    </x:row>
    <x:row r="38" ht="70" customHeight="1">
      <x:c r="A38" s="125" t="str">
        <x:v>Physik</x:v>
      </x:c>
      <x:c r="B38" s="126" t="n">
        <x:v>8</x:v>
      </x:c>
      <x:c r="C38" s="60" t="str">
        <x:v>Physik</x:v>
      </x:c>
      <x:c r="D38" s="126" t="n">
        <x:v>21</x:v>
      </x:c>
      <x:c r="E38" s="60" t="str">
        <x:v>Wiederholung Magnetismus</x:v>
      </x:c>
      <x:c r="F38" s="60" t="str">
        <x:v>Zwei ausgewählte Stationen mit vorgegebenen Antwortmöglichkeiten bearbeiten.</x:v>
      </x:c>
      <x:c r="G38" s="60" t="str">
        <x:v>Alle vier Stationen selbstständig bearbeiten und mit der Lösungskarte kontrollieren. Eigene Zusatzfragen zu mindestens zwei Stationen formulieren und mit einer anderen Gruppe tauschen.</x:v>
      </x:c>
      <x:c r="H38" s="60" t="str">
        <x:v>Magnetpole, Erdmagnetfeld, Elektromagnetismus und Induktion sicher unterscheiden und in gemischten Aufgaben anwenden</x:v>
      </x:c>
      <x:c r="I38" s="60" t="str">
        <x:v>LE: Kurze Recap-Demonstration eines von den Schülern gewählten Lieblingsversuchs aus den Stunden 17–20
SE: Stationenlernen mit gemischten Aufgaben zu Magnetismus, Erdmagnetfeld, Elektromagnet und Induktion</x:v>
      </x:c>
      <x:c r="J38" s="60" t="str">
        <x:v>entfällt</x:v>
      </x:c>
      <x:c r="K38" s="60" t="str">
        <x:v>ph_k8_st21_wiederholung_magnetismus</x:v>
      </x:c>
      <x:c r="L38" s="60" t="str">
        <x:v>https://raw.githubusercontent.com/burgnetz-wq/froebel/main/bilder/physik/097_formeln_uebersicht.jpg</x:v>
      </x:c>
      <x:c r="M38" s="158" t="e">
        <x:f>HYPERLINK("https://burgnetz-wq.github.io/froebel/physik/html/ph8_stunde_21_wiederholung_magnetismus.html","Schüler-Modul öffnen")</x:f>
      </x:c>
      <x:c r="N38" s="159" t="e">
        <x:f>HYPERLINK("lehrer/physik/ph_k8_st21_wiederholung_magnetismus_orga.html","Vorbereitung öffnen")</x:f>
      </x:c>
    </x:row>
    <x:row r="39" ht="70" customHeight="1">
      <x:c r="A39" s="125" t="str">
        <x:v>Physik</x:v>
      </x:c>
      <x:c r="B39" s="126" t="n">
        <x:v>8</x:v>
      </x:c>
      <x:c r="C39" s="60" t="str">
        <x:v>Physik</x:v>
      </x:c>
      <x:c r="D39" s="126" t="n">
        <x:v>22</x:v>
      </x:c>
      <x:c r="E39" s="60" t="str">
        <x:v>Ohmsches Gesetz</x:v>
      </x:c>
      <x:c r="F39" s="60" t="str">
        <x:v>Nur einen Testwiderstand messen, Formel als vorgegebene Rechenvorschrift zur Kontrolle nutzen.</x:v>
      </x:c>
      <x:c r="G39" s="60" t="str">
        <x:v>Mindestens drei Testwiderstände messen und die Werte mit den Angaben vergleichen. Die Zusatzaufgabe zur Stromstärkeberechnung bei 5 V bearbeiten und mit den tatsächlich am Arduino gemessenen Werten vergleichen.</x:v>
      </x:c>
      <x:c r="H39" s="60" t="str">
        <x:v>Das Ohmsche Gesetz U = R · I anwenden und den elektrischen Widerstand aus gemessener Spannung und Stromstärke berechnen</x:v>
      </x:c>
      <x:c r="I39" s="60" t="str">
        <x:v>LE: Klassische Messung von Spannung und Stromstärke an einem Widerstand mit dem Multimeter
SE: Automatisierte Bestimmung des Widerstandswerts über Spannungsmessung an zwei Punkten der Schaltung</x:v>
      </x:c>
      <x:c r="J39" s="60" t="str">
        <x:v>Automatisierte Bestimmung des elektrischen Widerstands über Spannungsmessung an einem bekannten Shunt-Widerstand zur Stromberechnung (Schülerexperiment)</x:v>
      </x:c>
      <x:c r="K39" s="60" t="str">
        <x:v>ph_k8_st22_ohmsches_gesetz</x:v>
      </x:c>
      <x:c r="L39" s="60" t="str">
        <x:v>https://raw.githubusercontent.com/burgnetz-wq/froebel/main/bilder/physik/005_tafelbild_ohm.jpg</x:v>
      </x:c>
      <x:c r="M39" s="158" t="e">
        <x:f>HYPERLINK("https://burgnetz-wq.github.io/froebel/physik/html/ph8_stunde_22_ohmsches_gesetz.html","Schüler-Modul öffnen")</x:f>
      </x:c>
      <x:c r="N39" s="159" t="e">
        <x:f>HYPERLINK("lehrer/physik/ph_k8_st22_ohmsches_gesetz_orga.html","Vorbereitung öffnen")</x:f>
      </x:c>
    </x:row>
    <x:row r="40" ht="70" customHeight="1">
      <x:c r="A40" s="125" t="str">
        <x:v>Physik</x:v>
      </x:c>
      <x:c r="B40" s="126" t="n">
        <x:v>8</x:v>
      </x:c>
      <x:c r="C40" s="60" t="str">
        <x:v>Physik</x:v>
      </x:c>
      <x:c r="D40" s="126" t="n">
        <x:v>23</x:v>
      </x:c>
      <x:c r="E40" s="60" t="str">
        <x:v>Reihe Parallel</x:v>
      </x:c>
      <x:c r="F40" s="60" t="str">
        <x:v>Nur die Reihenschaltung berechnen und messen, Formel als vorgegebene Rechenvorschrift nutzen.</x:v>
      </x:c>
      <x:c r="G40" s="60" t="str">
        <x:v>Beide Schaltungsarten berechnen, messen und vergleichen. Die Zusatzaufgabe zur Parallelschaltung mit drei Widerständen bearbeiten und das Ergebnis mit den Messwerten aus zwei Widerständen vergleichen.</x:v>
      </x:c>
      <x:c r="H40" s="60" t="str">
        <x:v>Den Gesamtwiderstand von Reihen- und Parallelschaltungen berechnen und messtechnisch überprüfen</x:v>
      </x:c>
      <x:c r="I40" s="60" t="str">
        <x:v>LE: Klassische Berechnung und Messung des Gesamtwiderstands einer Reihenschaltung
SE: Automatisierte Messung des Gesamtwiderstands bei Reihen- und Parallelschaltung</x:v>
      </x:c>
      <x:c r="J40" s="60" t="str">
        <x:v>Automatisierte Bestimmung des Gesamtwiderstands von Reihen- und Parallelschaltungen über die in Stunde 22 aufgebaute Shunt-Messschaltung (Schülerexperiment)</x:v>
      </x:c>
      <x:c r="K40" s="60" t="str">
        <x:v>ph_k8_st23_reihe_parallel</x:v>
      </x:c>
      <x:c r="L40" s="60" t="str">
        <x:v>https://raw.githubusercontent.com/burgnetz-wq/froebel/main/bilder/physik/090_physik_klassenraum.jpg</x:v>
      </x:c>
      <x:c r="M40" s="158" t="e">
        <x:f>HYPERLINK("https://burgnetz-wq.github.io/froebel/physik/html/ph8_stunde_23_reihe_parallel.html","Schüler-Modul öffnen")</x:f>
      </x:c>
      <x:c r="N40" s="159" t="e">
        <x:f>HYPERLINK("lehrer/physik/ph_k8_st23_reihe_parallel_orga.html","Vorbereitung öffnen")</x:f>
      </x:c>
    </x:row>
    <x:row r="41" ht="70" customHeight="1">
      <x:c r="A41" s="125" t="str">
        <x:v>Physik</x:v>
      </x:c>
      <x:c r="B41" s="126" t="n">
        <x:v>8</x:v>
      </x:c>
      <x:c r="C41" s="60" t="str">
        <x:v>Physik</x:v>
      </x:c>
      <x:c r="D41" s="126" t="n">
        <x:v>24</x:v>
      </x:c>
      <x:c r="E41" s="60" t="str">
        <x:v>Leistung</x:v>
      </x:c>
      <x:c r="F41" s="60" t="str">
        <x:v>Nur ein Bauteil messen, Formel als vorgegebene Rechenvorschrift nutzen, keine Energieberechnung.</x:v>
      </x:c>
      <x:c r="G41" s="60" t="str">
        <x:v>Mindestens drei Bauteile messen, Leistung und Energie für 10 Minuten berechnen. Die Zusatzaufgabe zum Vergleich mit einem echten Haushaltsgerät bearbeiten und die Größenordnungen begründet einordnen.</x:v>
      </x:c>
      <x:c r="H41" s="60" t="str">
        <x:v>Die elektrische Leistung P = U · I berechnen und mit der elektrischen Energie W = P · t verknüpfen</x:v>
      </x:c>
      <x:c r="I41" s="60" t="str">
        <x:v>LE: Klassische Berechnung der elektrischen Leistung eines Bauteils aus gemessener Spannung und Stromstärke
SE: Automatisierte Leistungsberechnung für verschiedene Bauteile und Vergleich mit Haushaltsgeräten</x:v>
      </x:c>
      <x:c r="J41" s="60" t="str">
        <x:v>Automatisierte Berechnung der elektrischen Leistung aus Spannung und Stromstärke für verschiedene Bauteile (Schülerexperiment)</x:v>
      </x:c>
      <x:c r="K41" s="60" t="str">
        <x:v>ph_k8_st24_leistung</x:v>
      </x:c>
      <x:c r="L41" s="60" t="str">
        <x:v>https://raw.githubusercontent.com/burgnetz-wq/froebel/main/bilder/physik/038_arbeit_leistung.jpg</x:v>
      </x:c>
      <x:c r="M41" s="158" t="e">
        <x:f>HYPERLINK("https://burgnetz-wq.github.io/froebel/physik/html/ph8_stunde_24_leistung.html","Schüler-Modul öffnen")</x:f>
      </x:c>
      <x:c r="N41" s="159" t="e">
        <x:f>HYPERLINK("lehrer/physik/ph_k8_st24_leistung_orga.html","Vorbereitung öffnen")</x:f>
      </x:c>
    </x:row>
    <x:row r="42" ht="70" customHeight="1">
      <x:c r="A42" s="125" t="str">
        <x:v>Physik</x:v>
      </x:c>
      <x:c r="B42" s="126" t="n">
        <x:v>8</x:v>
      </x:c>
      <x:c r="C42" s="60" t="str">
        <x:v>Physik</x:v>
      </x:c>
      <x:c r="D42" s="126" t="n">
        <x:v>25</x:v>
      </x:c>
      <x:c r="E42" s="60" t="str">
        <x:v>Wiederholung Elektrizitaet</x:v>
      </x:c>
      <x:c r="F42" s="60" t="str">
        <x:v>Zwei ausgewählte Stationen mit Formelsammlung und vereinfachten Zahlenwerten bearbeiten.</x:v>
      </x:c>
      <x:c r="G42" s="60" t="str">
        <x:v>Alle vier Stationen selbstständig bearbeiten und mit der Lösungskarte kontrollieren. Eigene Zusatzfragen zu mindestens zwei Stationen formulieren und mit einer anderen Gruppe tauschen.</x:v>
      </x:c>
      <x:c r="H42" s="60" t="str">
        <x:v>Ohmsches Gesetz, Reihen-/Parallelschaltung und elektrische Leistung sicher unterscheiden und in gemischten Aufgaben anwenden</x:v>
      </x:c>
      <x:c r="I42" s="60" t="str">
        <x:v>LE: Kurze Recap-Demonstration eines von den Schülern gewählten Lieblingsversuchs aus den Stunden 22–24
SE: Stationenlernen mit gemischten Aufgaben zu Widerstand, Schaltungen und Leistung</x:v>
      </x:c>
      <x:c r="J42" s="60" t="str">
        <x:v>entfällt</x:v>
      </x:c>
      <x:c r="K42" s="60" t="str">
        <x:v>ph_k8_st25_wiederholung_elektrizitaet</x:v>
      </x:c>
      <x:c r="L42" s="60" t="str">
        <x:v>https://raw.githubusercontent.com/burgnetz-wq/froebel/main/bilder/physik/097_formeln_uebersicht.jpg</x:v>
      </x:c>
      <x:c r="M42" s="158" t="e">
        <x:f>HYPERLINK("https://burgnetz-wq.github.io/froebel/physik/html/ph8_stunde_25_wiederholung_elektrizitaet.html","Schüler-Modul öffnen")</x:f>
      </x:c>
      <x:c r="N42" s="159" t="e">
        <x:f>HYPERLINK("lehrer/physik/ph_k8_st25_wiederholung_elektrizitaet_orga.html","Vorbereitung öffnen")</x:f>
      </x:c>
    </x:row>
    <x:row r="43" ht="70" customHeight="1">
      <x:c r="A43" s="125" t="str">
        <x:v>Physik</x:v>
      </x:c>
      <x:c r="B43" s="126" t="n">
        <x:v>8</x:v>
      </x:c>
      <x:c r="C43" s="60" t="str">
        <x:v>Physik</x:v>
      </x:c>
      <x:c r="D43" s="126" t="n">
        <x:v>26</x:v>
      </x:c>
      <x:c r="E43" s="60" t="str">
        <x:v>Lichtbrechung</x:v>
      </x:c>
      <x:c r="F43" s="60" t="str">
        <x:v>Nur zwei Winkel testen und die Beobachtung mit vorgegebenen Antwortmöglichkeiten beschreiben.</x:v>
      </x:c>
      <x:c r="G43" s="60" t="str">
        <x:v>Systematische Untersuchung mehrerer Winkel und eigene Formulierung des Übergangs zur Totalreflexion. Die Zusatzaufgabe zum Glasfaserkabel bearbeiten und erklären, warum Totalreflexion dort verlustarme Datenübertragung ermöglicht.</x:v>
      </x:c>
      <x:c r="H43" s="60" t="str">
        <x:v>Lichtbrechung beim Übergang zwischen unterschiedlichen Medien beschreiben und Totalreflexion an einem Beispiel erklären</x:v>
      </x:c>
      <x:c r="I43" s="60" t="str">
        <x:v>LE: Sichtbarmachen der Lichtbrechung beim Übergang von Luft zu Wasser
SE: Untersuchung der Totalreflexion an einer Halbkreisscheibe bei zunehmendem Einfallswinkel</x:v>
      </x:c>
      <x:c r="J43" s="60" t="str">
        <x:v>entfällt</x:v>
      </x:c>
      <x:c r="K43" s="60" t="str">
        <x:v>ph_k8_st26_lichtbrechung</x:v>
      </x:c>
      <x:c r="L43" s="60" t="str">
        <x:v>https://raw.githubusercontent.com/burgnetz-wq/froebel/main/bilder/physik/006_lichtbrechung.jpg</x:v>
      </x:c>
      <x:c r="M43" s="158" t="e">
        <x:f>HYPERLINK("https://burgnetz-wq.github.io/froebel/physik/html/ph8_stunde_26_lichtbrechung.html","Schüler-Modul öffnen")</x:f>
      </x:c>
      <x:c r="N43" s="159" t="e">
        <x:f>HYPERLINK("lehrer/physik/ph_k8_st26_lichtbrechung_orga.html","Vorbereitung öffnen")</x:f>
      </x:c>
    </x:row>
    <x:row r="44" ht="70" customHeight="1">
      <x:c r="A44" s="125" t="str">
        <x:v>Physik</x:v>
      </x:c>
      <x:c r="B44" s="126" t="n">
        <x:v>8</x:v>
      </x:c>
      <x:c r="C44" s="60" t="str">
        <x:v>Physik</x:v>
      </x:c>
      <x:c r="D44" s="126" t="n">
        <x:v>27</x:v>
      </x:c>
      <x:c r="E44" s="60" t="str">
        <x:v>Linsen</x:v>
      </x:c>
      <x:c r="F44" s="60" t="str">
        <x:v>Nur Brennpunkt und eine unscharfe Position vergleichen, Beobachtung mit vorgegebenen Antwortmöglichkeiten beschreiben.</x:v>
      </x:c>
      <x:c r="G44" s="60" t="str">
        <x:v>Alle drei Positionen messen und den Zusammenhang mit der Bündelungswirkung der Linse selbstständig erklären. Die Zusatzaufgabe zur Zerstreuungslinse bearbeiten und den Unterschied zur Sammellinse begründen.</x:v>
      </x:c>
      <x:c r="H44" s="60" t="str">
        <x:v>Sammellinse und Zerstreuungslinse anhand ihrer Wirkung auf Licht unterscheiden und die Brennweite einer Sammellinse bestimmen</x:v>
      </x:c>
      <x:c r="I44" s="60" t="str">
        <x:v>LE: Bestimmung der Brennweite einer Sammellinse durch Fokussierung von Licht auf einen Schirm
SE: Automatisierte Helligkeitsmessung im Brennpunkt im Vergleich zu unscharfen Positionen</x:v>
      </x:c>
      <x:c r="J44" s="60" t="str">
        <x:v>Messung der Lichtintensität am Brennpunkt und an unscharfen Positionen zum Vergleich der Bündelungswirkung einer Sammellinse (Schülerexperiment)</x:v>
      </x:c>
      <x:c r="K44" s="60" t="str">
        <x:v>ph_k8_st27_linsen</x:v>
      </x:c>
      <x:c r="L44" s="60" t="str">
        <x:v>https://raw.githubusercontent.com/burgnetz-wq/froebel/main/bilder/physik/093_optische_instrumente.jpg</x:v>
      </x:c>
      <x:c r="M44" s="158" t="e">
        <x:f>HYPERLINK("https://burgnetz-wq.github.io/froebel/physik/html/ph8_stunde_27_linsen.html","Schüler-Modul öffnen")</x:f>
      </x:c>
      <x:c r="N44" s="159" t="e">
        <x:f>HYPERLINK("lehrer/physik/ph_k8_st27_linsen_orga.html","Vorbereitung öffnen")</x:f>
      </x:c>
    </x:row>
    <x:row r="45" ht="70" customHeight="1">
      <x:c r="A45" s="125" t="str">
        <x:v>Physik</x:v>
      </x:c>
      <x:c r="B45" s="126" t="n">
        <x:v>8</x:v>
      </x:c>
      <x:c r="C45" s="60" t="str">
        <x:v>Physik</x:v>
      </x:c>
      <x:c r="D45" s="126" t="n">
        <x:v>28</x:v>
      </x:c>
      <x:c r="E45" s="60" t="str">
        <x:v>Auge</x:v>
      </x:c>
      <x:c r="F45" s="60" t="str">
        <x:v>Nur die Lupen-Station bearbeiten, Beobachtung mit vorgegebenen Antwortmöglichkeiten beschreiben.</x:v>
      </x:c>
      <x:c r="G45" s="60" t="str">
        <x:v>Alle verfügbaren Stationen bearbeiten und das gemeinsame Grundprinzip (Sammellinsen) selbstständig formulieren. Die Zusatzaufgabe zur Anzahl der Linsen bei Fernrohr und Lupe bearbeiten.</x:v>
      </x:c>
      <x:c r="H45" s="60" t="str">
        <x:v>Den Aufbau des Auges als optisches System beschreiben und das Grundprinzip einfacher optischer Geräte erklären</x:v>
      </x:c>
      <x:c r="I45" s="60" t="str">
        <x:v>LE: Vorführung des Augenmodells und Erklärung der Bildentstehung auf der Netzhaut
SE: Stationenlernen zu Lupe, Fernrohr und Mikroskop mit Untersuchung des jeweiligen Grundprinzips</x:v>
      </x:c>
      <x:c r="J45" s="60" t="str">
        <x:v>entfällt</x:v>
      </x:c>
      <x:c r="K45" s="60" t="str">
        <x:v>ph_k8_st28_auge</x:v>
      </x:c>
      <x:c r="L45" s="60" t="str">
        <x:v>https://raw.githubusercontent.com/burgnetz-wq/froebel/main/bilder/physik/093_optische_instrumente.jpg</x:v>
      </x:c>
      <x:c r="M45" s="158" t="e">
        <x:f>HYPERLINK("https://burgnetz-wq.github.io/froebel/physik/html/ph8_stunde_28_auge.html","Schüler-Modul öffnen")</x:f>
      </x:c>
      <x:c r="N45" s="159" t="e">
        <x:f>HYPERLINK("lehrer/physik/ph_k8_st28_auge_orga.html","Vorbereitung öffnen")</x:f>
      </x:c>
    </x:row>
    <x:row r="46" ht="70" customHeight="1">
      <x:c r="A46" s="125" t="str">
        <x:v>Physik</x:v>
      </x:c>
      <x:c r="B46" s="126" t="n">
        <x:v>8</x:v>
      </x:c>
      <x:c r="C46" s="60" t="str">
        <x:v>Optik</x:v>
      </x:c>
      <x:c r="D46" s="126" t="n">
        <x:v>29</x:v>
      </x:c>
      <x:c r="E46" s="60" t="str">
        <x:v>Wiederholung Optik vertieft</x:v>
      </x:c>
      <x:c r="F46" s="60" t="str">
        <x:v>Vorstrukturierte Aufgabe, Hilfekarten und Satzstarter.</x:v>
      </x:c>
      <x:c r="G46" s="60" t="str">
        <x:v>Selbstständige Auswertung mit Fachbegriffen und vollständiger Begründung.</x:v>
      </x:c>
      <x:c r="H46" s="60" t="str">
        <x:v>Reflexion, Brechung, Linsen sowie Auge und Kamera sicher erklären, berechnen und auf neue Situationen anwenden</x:v>
      </x:c>
      <x:c r="I46" s="60" t="str">
        <x:v>LE: Kurze Wiederholung der Strahlenwege an Spiegel, Stoffgrenze und Linse
SE: Brennweite einer Sammellinse näherungsweise bestimmen</x:v>
      </x:c>
      <x:c r="J46" s="60" t="str">
        <x:v>Optional: vorhandene LDR-Messung zur Lichtstärke wiederholen</x:v>
      </x:c>
      <x:c r="K46" s="60" t="str">
        <x:v>ph_k8_st29_wiederholung_optik_vertieft</x:v>
      </x:c>
      <x:c r="L46" s="60" t="str">
        <x:v>https://raw.githubusercontent.com/burgnetz-wq/froebel/main/bilder/physik/097_formeln_uebersicht.jpg</x:v>
      </x:c>
      <x:c r="M46" s="158" t="e">
        <x:f>HYPERLINK("https://burgnetz-wq.github.io/froebel/physik/html/ph8_stunde_29_wiederholung_optik_vertieft.html","Schüler-Modul öffnen")</x:f>
      </x:c>
      <x:c r="N46" s="159" t="e">
        <x:f>HYPERLINK("lehrer/physik/ph_k8_st29_wiederholung_optik_vertieft_orga.html","Vorbereitung öffnen")</x:f>
      </x:c>
    </x:row>
    <x:row r="47" ht="70" customHeight="1">
      <x:c r="A47" s="125" t="str">
        <x:v>Physik</x:v>
      </x:c>
      <x:c r="B47" s="126" t="n">
        <x:v>8</x:v>
      </x:c>
      <x:c r="C47" s="60" t="str">
        <x:v>Abschluss</x:v>
      </x:c>
      <x:c r="D47" s="126" t="n">
        <x:v>30</x:v>
      </x:c>
      <x:c r="E47" s="60" t="str">
        <x:v>Gesamtwiederholung Klasse 8</x:v>
      </x:c>
      <x:c r="F47" s="60" t="str">
        <x:v>Vorstrukturierte Aufgabe, Hilfekarten und Satzstarter.</x:v>
      </x:c>
      <x:c r="G47" s="60" t="str">
        <x:v>Selbstständige Auswertung mit Fachbegriffen und vollständiger Begründung.</x:v>
      </x:c>
      <x:c r="H47" s="60" t="str">
        <x:v>Zentrale Modelle, Formeln, Experimente und Anwendungen aus Mechanik, Energie, Wärmelehre, Elektrizitätslehre, Optik und Astronomie vernetzen</x:v>
      </x:c>
      <x:c r="I47" s="60" t="str">
        <x:v>LE: Drei Kurzversuche zu Trägheit, Wärmeleitung und Bildentstehung
SE: Experiment-Karussell und fachübergreifende Aufgabenrunden</x:v>
      </x:c>
      <x:c r="J47" s="60" t="str">
        <x:v>Optional: Lieblingsmessung des Schuljahres wiederholen</x:v>
      </x:c>
      <x:c r="K47" s="60" t="str">
        <x:v>ph_k8_st30_gesamtwiederholung_klasse_8</x:v>
      </x:c>
      <x:c r="L47" s="60" t="str">
        <x:v>https://raw.githubusercontent.com/burgnetz-wq/froebel/main/bilder/physik/097_formeln_uebersicht.jpg</x:v>
      </x:c>
      <x:c r="M47" s="158" t="e">
        <x:f>HYPERLINK("https://burgnetz-wq.github.io/froebel/physik/html/ph8_stunde_30_gesamtwiederholung_klasse_8.html","Schüler-Modul öffnen")</x:f>
      </x:c>
      <x:c r="N47" s="159" t="e">
        <x:f>HYPERLINK("lehrer/physik/ph_k8_st30_gesamtwiederholung_klasse_8_orga.html","Vorbereitung öffnen")</x:f>
      </x:c>
    </x:row>
    <x:row r="48" ht="70" customHeight="1">
      <x:c r="A48" s="125" t="str">
        <x:v>Physik</x:v>
      </x:c>
      <x:c r="B48" s="126" t="n">
        <x:v>9</x:v>
      </x:c>
      <x:c r="C48" s="60" t="str">
        <x:v>Elektromagnetismus</x:v>
      </x:c>
      <x:c r="D48" s="126" t="n">
        <x:v>1</x:v>
      </x:c>
      <x:c r="E48" s="60" t="str">
        <x:v>Magnetische Pole und Kraftwirkungen</x:v>
      </x:c>
      <x:c r="F48" s="60" t="str">
        <x:v>vorstrukturierte Tabelle, Satzstarter und Hilfekarte.</x:v>
      </x:c>
      <x:c r="G48" s="60" t="str">
        <x:v>selbstständige Auswertung mit Fachbegriffen. Grundniveau mit Bildkarten und Satzstartern; Regelstandard mit Feldbegriff; Erweiterung: Abstandsabhängigkeit des Hall-Rohwerts beurteilen.</x:v>
      </x:c>
      <x:c r="H48" s="60" t="str">
        <x:v>Magnete durch zwei untrennbar verbundene Pole sowie Anziehung und Abstoßung charakterisieren und Kraftwirkungen auf ferromagnetische Stoffe untersuchen.</x:v>
      </x:c>
      <x:c r="I48" s="60" t="str">
        <x:v>LE: Schwebender Ringmagnet bzw. starke Abstoßung zweier Ringmagnete auf einer Führungsstange; Polumkehr demonstrieren.
SE: Stab- und Ringmagnete systematisch paaren, Pole markieren und die Wirkung auf Eisen, Stahl, Aluminium, Kupfer, Holz und Kunststoff protokollieren.</x:v>
      </x:c>
      <x:c r="J48" s="60" t="str">
        <x:v>Magnetwirkung mit analogem Hall-Sensor relativ erfassen</x:v>
      </x:c>
      <x:c r="K48" s="60" t="str">
        <x:v>ph_k9_st01_magnetische_pole_und_kraftwirkungen</x:v>
      </x:c>
      <x:c r="L48" s="60" t="str">
        <x:v>https://raw.githubusercontent.com/burgnetz-wq/froebel/main/bilder/physik/017_magnet_feldlinien.jpg</x:v>
      </x:c>
      <x:c r="M48" s="158" t="e">
        <x:f>HYPERLINK("https://burgnetz-wq.github.io/froebel/physik/html/ph9_stunde_01_magnetische_pole_und_kraftwirkungen.html","Schüler-Modul öffnen")</x:f>
      </x:c>
      <x:c r="N48" s="159" t="e">
        <x:f>HYPERLINK("lehrer/physik/ph_k9_st01_magnetische_pole_und_kraftwirkungen_orga.html","Vorbereitung öffnen")</x:f>
      </x:c>
    </x:row>
    <x:row r="49" ht="70" customHeight="1">
      <x:c r="A49" s="125" t="str">
        <x:v>Physik</x:v>
      </x:c>
      <x:c r="B49" s="126" t="n">
        <x:v>9</x:v>
      </x:c>
      <x:c r="C49" s="60" t="str">
        <x:v>Elektromagnetismus</x:v>
      </x:c>
      <x:c r="D49" s="126" t="n">
        <x:v>2</x:v>
      </x:c>
      <x:c r="E49" s="60" t="str">
        <x:v>Magnetfeld und Feldlinienmodell</x:v>
      </x:c>
      <x:c r="F49" s="60" t="str">
        <x:v>vorstrukturierte Tabelle, Satzstarter und Hilfekarte.</x:v>
      </x:c>
      <x:c r="G49" s="60" t="str">
        <x:v>selbstständige Auswertung mit Fachbegriffen. Grundniveau ergänzt Pfeile; Regelstandard erklärt Feldlinienregeln; Erweiterung vergleicht Rohwerte an verschiedenen Orten und benennt Modellgrenzen.</x:v>
      </x:c>
      <x:c r="H49" s="60" t="str">
        <x:v>Das magnetische Feld als Raum berührungsfreier Kraftwirkung beschreiben und Feldlinien als Modell zur Darstellung von Richtung und relativer Stärke nutzen.</x:v>
      </x:c>
      <x:c r="I49" s="60" t="str">
        <x:v>LE: Eisenfeilspäne auf einer transparenten Platte über einem Stabmagneten ausrichten und das Muster projizieren.
SE: Mit mehreren kleinen Kompassen ein Feldlinienbild um einen Stabmagneten aufnehmen und Pfeilrichtungen einzeichnen.</x:v>
      </x:c>
      <x:c r="J49" s="60" t="str">
        <x:v>Magnetfeld an Messpunkten mit Hall-Sensor kartieren</x:v>
      </x:c>
      <x:c r="K49" s="60" t="str">
        <x:v>ph_k9_st02_magnetfeld_und_feldlinienmodell</x:v>
      </x:c>
      <x:c r="L49" s="60" t="str">
        <x:v>https://raw.githubusercontent.com/burgnetz-wq/froebel/main/bilder/physik/017_magnet_feldlinien.jpg</x:v>
      </x:c>
      <x:c r="M49" s="158" t="e">
        <x:f>HYPERLINK("https://burgnetz-wq.github.io/froebel/physik/html/ph9_stunde_02_magnetfeld_und_feldlinienmodell.html","Schüler-Modul öffnen")</x:f>
      </x:c>
      <x:c r="N49" s="159" t="e">
        <x:f>HYPERLINK("lehrer/physik/ph_k9_st02_magnetfeld_und_feldlinienmodell_orga.html","Vorbereitung öffnen")</x:f>
      </x:c>
    </x:row>
    <x:row r="50" ht="70" customHeight="1">
      <x:c r="A50" s="125" t="str">
        <x:v>Physik</x:v>
      </x:c>
      <x:c r="B50" s="126" t="n">
        <x:v>9</x:v>
      </x:c>
      <x:c r="C50" s="60" t="str">
        <x:v>Elektromagnetismus</x:v>
      </x:c>
      <x:c r="D50" s="126" t="n">
        <x:v>3</x:v>
      </x:c>
      <x:c r="E50" s="60" t="str">
        <x:v>Erdmagnetfeld und Kompass</x:v>
      </x:c>
      <x:c r="F50" s="60" t="str">
        <x:v>vorstrukturierte Tabelle, Satzstarter und Hilfekarte.</x:v>
      </x:c>
      <x:c r="G50" s="60" t="str">
        <x:v>selbstständige Auswertung mit Fachbegriffen. Grundniveau liest Himmelsrichtungen ab; Regelstandard erklärt Störungen; Erweiterung vergleicht Sensorachsen und diskutiert Kalibrierung.</x:v>
      </x:c>
      <x:c r="H50" s="60" t="str">
        <x:v>Das Magnetfeld der Erde beschreiben, die Orientierung einer Kompassnadel erklären und geografische sowie magnetische Richtung unterscheiden.</x:v>
      </x:c>
      <x:c r="I50" s="60" t="str">
        <x:v>LE: Kompassausrichtung im Raum zeigen und mit einem Magneten gezielt stören; anschließend Störquelle entfernen.
SE: Kompassmessungen an mehreren Orten des Fachraums durchführen, Störquellen finden und eine einfache Karte erstellen.</x:v>
      </x:c>
      <x:c r="J50" s="60" t="str">
        <x:v>Magnetische Raumrichtungen mit QMC5883L-Modul erfassen</x:v>
      </x:c>
      <x:c r="K50" s="60" t="str">
        <x:v>ph_k9_st03_erdmagnetfeld_und_kompass</x:v>
      </x:c>
      <x:c r="L50" s="60" t="str">
        <x:v>https://raw.githubusercontent.com/burgnetz-wq/froebel/main/bilder/physik/018_kompass_erdmagnetfeld.jpg</x:v>
      </x:c>
      <x:c r="M50" s="158" t="e">
        <x:f>HYPERLINK("https://burgnetz-wq.github.io/froebel/physik/html/ph9_stunde_03_erdmagnetfeld_und_kompass.html","Schüler-Modul öffnen")</x:f>
      </x:c>
      <x:c r="N50" s="159" t="e">
        <x:f>HYPERLINK("lehrer/physik/ph_k9_st03_erdmagnetfeld_und_kompass_orga.html","Vorbereitung öffnen")</x:f>
      </x:c>
    </x:row>
    <x:row r="51" ht="70" customHeight="1">
      <x:c r="A51" s="125" t="str">
        <x:v>Physik</x:v>
      </x:c>
      <x:c r="B51" s="126" t="n">
        <x:v>9</x:v>
      </x:c>
      <x:c r="C51" s="60" t="str">
        <x:v>Elektromagnetismus</x:v>
      </x:c>
      <x:c r="D51" s="126" t="n">
        <x:v>4</x:v>
      </x:c>
      <x:c r="E51" s="60" t="str">
        <x:v>Elektrisches und magnetisches Feld vergleichen</x:v>
      </x:c>
      <x:c r="F51" s="60" t="str">
        <x:v>vorstrukturierte Tabelle, Satzstarter und Hilfekarte.</x:v>
      </x:c>
      <x:c r="G51" s="60" t="str">
        <x:v>selbstständige Auswertung mit Fachbegriffen. Grundniveau ordnet Aussagen zu; Regelstandard formuliert Gemeinsamkeiten; Erweiterung erläutert, warum Feldlinien keine realen Fäden sind.</x:v>
      </x:c>
      <x:c r="H51" s="60" t="str">
        <x:v>Elektrisches und magnetisches Feld als Modelle berührungsfreier Wechselwirkungen vergleichen und Gemeinsamkeiten sowie Unterschiede fachsprachlich darstellen.</x:v>
      </x:c>
      <x:c r="I51" s="60" t="str">
        <x:v>LE: Geladenen Kunststoffstab mit Papierschnipseln und daneben Magnet mit Büroklammern demonstrieren.
SE: Stationenvergleich: elektrische Anziehung leichter Körper, Magnetwirkung durch Papier, Abschirmungsversuche mit verschiedenen Materialien.</x:v>
      </x:c>
      <x:c r="J51" s="60" t="str">
        <x:v>—</x:v>
      </x:c>
      <x:c r="K51" s="60" t="str">
        <x:v>ph_k9_st04_elektrisches_und_magnetisches_feld_vergleichen</x:v>
      </x:c>
      <x:c r="L51" s="60" t="str">
        <x:v>https://raw.githubusercontent.com/burgnetz-wq/froebel/main/bilder/physik/090_physik_klassenraum.jpg</x:v>
      </x:c>
      <x:c r="M51" s="158" t="e">
        <x:f>HYPERLINK("https://burgnetz-wq.github.io/froebel/physik/html/ph9_stunde_04_elektrisches_und_magnetisches_feld_vergleichen.html","Schüler-Modul öffnen")</x:f>
      </x:c>
      <x:c r="N51" s="159" t="e">
        <x:f>HYPERLINK("lehrer/physik/ph_k9_st04_elektrisches_und_magnetisches_feld_vergleichen_orga.html","Vorbereitung öffnen")</x:f>
      </x:c>
    </x:row>
    <x:row r="52" ht="70" customHeight="1">
      <x:c r="A52" s="125" t="str">
        <x:v>Physik</x:v>
      </x:c>
      <x:c r="B52" s="126" t="n">
        <x:v>9</x:v>
      </x:c>
      <x:c r="C52" s="60" t="str">
        <x:v>Elektromagnetismus</x:v>
      </x:c>
      <x:c r="D52" s="126" t="n">
        <x:v>5</x:v>
      </x:c>
      <x:c r="E52" s="60" t="str">
        <x:v>Elektromagnet – Aufbau und Wirkungsweise</x:v>
      </x:c>
      <x:c r="F52" s="60" t="str">
        <x:v>vorstrukturierte Tabelle, Satzstarter und Hilfekarte.</x:v>
      </x:c>
      <x:c r="G52" s="60" t="str">
        <x:v>selbstständige Auswertung mit Fachbegriffen. Grundniveau folgt Aufbaukarten; Regelstandard erklärt Eisenkern und Stromwirkung; Erweiterung ergänzt Treiberstufe und begründet die Freilaufdiode.</x:v>
      </x:c>
      <x:c r="H52" s="60" t="str">
        <x:v>Aufbau und Wirkungsweise eines Elektromagneten beschreiben und die Magnetwirkung einer stromdurchflossenen Spule nachweisen.</x:v>
      </x:c>
      <x:c r="I52" s="60" t="str">
        <x:v>LE: Spule mit Eisenkern kurzzeitig einschalten und Büroklammern anheben; Wirkung nach dem Ausschalten beobachten.
SE: Elektromagnet aus isoliertem Draht und Eisennagel bauen, bei Schutzkleinspannung testen und angehobene Büroklammern zählen.</x:v>
      </x:c>
      <x:c r="J52" s="60" t="str">
        <x:v>Elektromagnet sicher über MOSFET und Freilaufdiode schalten</x:v>
      </x:c>
      <x:c r="K52" s="60" t="str">
        <x:v>ph_k9_st05_elektromagnet_aufbau_und_wirkungsweise</x:v>
      </x:c>
      <x:c r="L52" s="60" t="str">
        <x:v>https://raw.githubusercontent.com/burgnetz-wq/froebel/main/bilder/physik/019_elektromagnet.jpg</x:v>
      </x:c>
      <x:c r="M52" s="158" t="e">
        <x:f>HYPERLINK("https://burgnetz-wq.github.io/froebel/physik/html/ph9_stunde_05_elektromagnet_aufbau_und_wirkungsweise.html","Schüler-Modul öffnen")</x:f>
      </x:c>
      <x:c r="N52" s="159" t="e">
        <x:f>HYPERLINK("lehrer/physik/ph_k9_st05_elektromagnet_aufbau_und_wirkungsweise_orga.html","Vorbereitung öffnen")</x:f>
      </x:c>
    </x:row>
    <x:row r="53" ht="70" customHeight="1">
      <x:c r="A53" s="125" t="str">
        <x:v>Physik</x:v>
      </x:c>
      <x:c r="B53" s="126" t="n">
        <x:v>9</x:v>
      </x:c>
      <x:c r="C53" s="60" t="str">
        <x:v>Elektromagnetismus</x:v>
      </x:c>
      <x:c r="D53" s="126" t="n">
        <x:v>6</x:v>
      </x:c>
      <x:c r="E53" s="60" t="str">
        <x:v>Stärke eines Elektromagneten untersuchen</x:v>
      </x:c>
      <x:c r="F53" s="60" t="str">
        <x:v>vorstrukturierte Tabelle, Satzstarter und Hilfekarte.</x:v>
      </x:c>
      <x:c r="G53" s="60" t="str">
        <x:v>selbstständige Auswertung mit Fachbegriffen. Grundniveau untersucht eine Variable; Regelstandard erstellt Diagramm; Erweiterung beurteilt PWM, Stromstärke und Grenzen der Büroklammermethode.</x:v>
      </x:c>
      <x:c r="H53" s="60" t="str">
        <x:v>Einfluss von Windungszahl, Stromstärke und Eisenkern auf die Wirkung eines Elektromagneten experimentell untersuchen und kontrollierte Variablen benennen.</x:v>
      </x:c>
      <x:c r="I53" s="60" t="str">
        <x:v>LE: Zwei vorbereitete Spulen mit unterschiedlicher Windungszahl bei gleicher Strombegrenzung vergleichen.
SE: Jeweils nur eine Größe verändern: Windungszahl, Kernmaterial oder Einschaltdauer; Anzahl angehobener Büroklammern protokollieren.</x:v>
      </x:c>
      <x:c r="J53" s="60" t="str">
        <x:v>PWM-Stufen und Hall-Sensor zur relativen Feldmessung nutzen</x:v>
      </x:c>
      <x:c r="K53" s="60" t="str">
        <x:v>ph_k9_st06_starke_eines_elektromagneten_untersuchen</x:v>
      </x:c>
      <x:c r="L53" s="60" t="str">
        <x:v>https://raw.githubusercontent.com/burgnetz-wq/froebel/main/bilder/physik/019_elektromagnet.jpg</x:v>
      </x:c>
      <x:c r="M53" s="158" t="e">
        <x:f>HYPERLINK("https://burgnetz-wq.github.io/froebel/physik/html/ph9_stunde_06_staerke_eines_elektromagneten_untersuchen.html","Schüler-Modul öffnen")</x:f>
      </x:c>
      <x:c r="N53" s="159" t="e">
        <x:f>HYPERLINK("lehrer/physik/ph_k9_st06_starke_eines_elektromagneten_untersuchen_orga.html","Vorbereitung öffnen")</x:f>
      </x:c>
    </x:row>
    <x:row r="54" ht="70" customHeight="1">
      <x:c r="A54" s="125" t="str">
        <x:v>Physik</x:v>
      </x:c>
      <x:c r="B54" s="126" t="n">
        <x:v>9</x:v>
      </x:c>
      <x:c r="C54" s="60" t="str">
        <x:v>Elektromagnetismus</x:v>
      </x:c>
      <x:c r="D54" s="126" t="n">
        <x:v>7</x:v>
      </x:c>
      <x:c r="E54" s="60" t="str">
        <x:v>Kraft auf einen stromdurchflossenen Leiter im Magnetfeld</x:v>
      </x:c>
      <x:c r="F54" s="60" t="str">
        <x:v>vorstrukturierte Tabelle, Satzstarter und Hilfekarte.</x:v>
      </x:c>
      <x:c r="G54" s="60" t="str">
        <x:v>selbstständige Auswertung mit Fachbegriffen. Grundniveau beschreibt Richtungswechsel; Regelstandard verwendet Strom- und Feldrichtung; Erweiterung entwickelt eine qualitative Drei-Finger-Regel ohne Überfrachtung.</x:v>
      </x:c>
      <x:c r="H54" s="60" t="str">
        <x:v>Die Kraftwirkung auf einen stromdurchflossenen Leiter im Magnetfeld beobachten und die Abhängigkeit von Stromrichtung und Feldrichtung qualitativ beschreiben.</x:v>
      </x:c>
      <x:c r="I54" s="60" t="str">
        <x:v>LE: Leiterschaukel zwischen Magnetpolen kurzzeitig bestromen und Stromrichtung umkehren.
SE: Kleine Leiterschaukel mit Schutzkleinspannung untersuchen; Bewegungsrichtung für zwei Stromrichtungen protokollieren.</x:v>
      </x:c>
      <x:c r="J54" s="60" t="str">
        <x:v>Kurze definierte Stromimpulse über MOSFET ausgeben</x:v>
      </x:c>
      <x:c r="K54" s="60" t="str">
        <x:v>ph_k9_st07_kraft_auf_einen_stromdurchflossenen_leiter_im_magnetfeld</x:v>
      </x:c>
      <x:c r="L54" s="60" t="str">
        <x:v>https://raw.githubusercontent.com/burgnetz-wq/froebel/main/bilder/physik/017_magnet_feldlinien.jpg</x:v>
      </x:c>
      <x:c r="M54" s="158" t="e">
        <x:f>HYPERLINK("https://burgnetz-wq.github.io/froebel/physik/html/ph9_stunde_07_kraft_auf_einen_stromdurchflossenen_leiter_im_magnetfeld.html","Schüler-Modul öffnen")</x:f>
      </x:c>
      <x:c r="N54" s="159" t="e">
        <x:f>HYPERLINK("lehrer/physik/ph_k9_st07_kraft_auf_einen_stromdurchflossenen_leiter_im_magnetfeld_orga.html","Vorbereitung öffnen")</x:f>
      </x:c>
    </x:row>
    <x:row r="55" ht="70" customHeight="1">
      <x:c r="A55" s="125" t="str">
        <x:v>Physik</x:v>
      </x:c>
      <x:c r="B55" s="126" t="n">
        <x:v>9</x:v>
      </x:c>
      <x:c r="C55" s="60" t="str">
        <x:v>Elektromagnetismus</x:v>
      </x:c>
      <x:c r="D55" s="126" t="n">
        <x:v>8</x:v>
      </x:c>
      <x:c r="E55" s="60" t="str">
        <x:v>Elektromotor – elektrische Energie erzeugt Bewegung</x:v>
      </x:c>
      <x:c r="F55" s="60" t="str">
        <x:v>vorstrukturierte Tabelle, Satzstarter und Hilfekarte.</x:v>
      </x:c>
      <x:c r="G55" s="60" t="str">
        <x:v>selbstständige Auswertung mit Fachbegriffen. Grundniveau ordnet Bauteile; Regelstandard erklärt Kommutator; Erweiterung verändert PWM und diskutiert Lastabhängigkeit.</x:v>
      </x:c>
      <x:c r="H55" s="60" t="str">
        <x:v>Das Motorprinzip aus der Kraft auf stromdurchflossene Leiter erklären und Aufbau sowie Energieumwandlung eines einfachen Gleichstrommotors beschreiben.</x:v>
      </x:c>
      <x:c r="I55" s="60" t="str">
        <x:v>LE: Zerlegbaren Schulmotor betreiben und nacheinander Magnet, Spule, Kommutator und Bürsten zeigen.
SE: Kleinen Gleichstrommotor über Motortreiber betreiben, Drehrichtung umkehren und Einfluss der PWM-Stufe beobachten.</x:v>
      </x:c>
      <x:c r="J55" s="60" t="str">
        <x:v>Gleichstrommotor über Transistortreiber oder H-Brücke steuern</x:v>
      </x:c>
      <x:c r="K55" s="60" t="str">
        <x:v>ph_k9_st08_elektromotor_elektrische_energie_erzeugt_bewegung</x:v>
      </x:c>
      <x:c r="L55" s="60" t="str">
        <x:v>https://raw.githubusercontent.com/burgnetz-wq/froebel/main/bilder/physik/044_generator_motor.jpg</x:v>
      </x:c>
      <x:c r="M55" s="158" t="e">
        <x:f>HYPERLINK("https://burgnetz-wq.github.io/froebel/physik/html/ph9_stunde_08_elektromotor_elektrische_energie_erzeugt_bewegung.html","Schüler-Modul öffnen")</x:f>
      </x:c>
      <x:c r="N55" s="159" t="e">
        <x:f>HYPERLINK("lehrer/physik/ph_k9_st08_elektromotor_elektrische_energie_erzeugt_bewegung_orga.html","Vorbereitung öffnen")</x:f>
      </x:c>
    </x:row>
    <x:row r="56" ht="70" customHeight="1">
      <x:c r="A56" s="125" t="str">
        <x:v>Physik</x:v>
      </x:c>
      <x:c r="B56" s="126" t="n">
        <x:v>9</x:v>
      </x:c>
      <x:c r="C56" s="60" t="str">
        <x:v>Elektromagnetismus</x:v>
      </x:c>
      <x:c r="D56" s="126" t="n">
        <x:v>9</x:v>
      </x:c>
      <x:c r="E56" s="60" t="str">
        <x:v>Relais und elektromagnetischer Türöffner</x:v>
      </x:c>
      <x:c r="F56" s="60" t="str">
        <x:v>vorstrukturierte Tabelle, Satzstarter und Hilfekarte.</x:v>
      </x:c>
      <x:c r="G56" s="60" t="str">
        <x:v>selbstständige Auswertung mit Fachbegriffen. Grundniveau benennt zwei Stromkreise; Regelstandard erklärt galvanische Trennung; Erweiterung programmiert eine zeitliche Verriegelung.</x:v>
      </x:c>
      <x:c r="H56" s="60" t="str">
        <x:v>Aufbau und Funktion eines Relais bzw. elektromagnetischen Türöffners beschreiben und Steuer- sowie Arbeitsstromkreis unterscheiden.</x:v>
      </x:c>
      <x:c r="I56" s="60" t="str">
        <x:v>LE: Transparentes Relais schalten und Kontaktbewegung sichtbar machen.
SE: 5-V-Relaismodul mit Taster ansteuern und damit eine getrennte LED-Last schalten; Steuer- und Lastkreis farbig markieren.</x:v>
      </x:c>
      <x:c r="J56" s="60" t="str">
        <x:v>Relaismodul mit Taster und Status-LED steuern</x:v>
      </x:c>
      <x:c r="K56" s="60" t="str">
        <x:v>ph_k9_st09_relais_und_elektromagnetischer_turoffner</x:v>
      </x:c>
      <x:c r="L56" s="60" t="str">
        <x:v>https://raw.githubusercontent.com/burgnetz-wq/froebel/main/bilder/physik/044_generator_motor.jpg</x:v>
      </x:c>
      <x:c r="M56" s="158" t="e">
        <x:f>HYPERLINK("https://burgnetz-wq.github.io/froebel/physik/html/ph9_stunde_09_relais_und_elektromagnetischer_tueroeffner.html","Schüler-Modul öffnen")</x:f>
      </x:c>
      <x:c r="N56" s="159" t="e">
        <x:f>HYPERLINK("lehrer/physik/ph_k9_st09_relais_und_elektromagnetischer_turoffner_orga.html","Vorbereitung öffnen")</x:f>
      </x:c>
    </x:row>
    <x:row r="57" ht="70" customHeight="1">
      <x:c r="A57" s="125" t="str">
        <x:v>Physik</x:v>
      </x:c>
      <x:c r="B57" s="126" t="n">
        <x:v>9</x:v>
      </x:c>
      <x:c r="C57" s="60" t="str">
        <x:v>Elektromagnetismus</x:v>
      </x:c>
      <x:c r="D57" s="126" t="n">
        <x:v>10</x:v>
      </x:c>
      <x:c r="E57" s="60" t="str">
        <x:v>Lautsprecher und Anwendungen des Elektromagnetismus</x:v>
      </x:c>
      <x:c r="F57" s="60" t="str">
        <x:v>vorstrukturierte Tabelle, Satzstarter und Hilfekarte.</x:v>
      </x:c>
      <x:c r="G57" s="60" t="str">
        <x:v>selbstständige Auswertung mit Fachbegriffen. Grundniveau ordnet Geräte; Regelstandard formuliert gemeinsames Wirkprinzip; Erweiterung erklärt Frequenzänderung im Sketch.</x:v>
      </x:c>
      <x:c r="H57" s="60" t="str">
        <x:v>Die Wirkungsweise eines Lautsprechers beschreiben und Elektromagnet, Motor, Relais sowie Lautsprecher nach ihrem gemeinsamen Wirkprinzip vergleichen.</x:v>
      </x:c>
      <x:c r="I57" s="60" t="str">
        <x:v>LE: Lautsprechermembran mit niederfrequentem Signal sichtbar schwingen lassen; Papierkügelchen als Bewegungsanzeiger nutzen.
SE: Piezo oder Kleinlautsprecher mit verschiedenen Frequenzen ansteuern und Tonhöhe, Lautstärke und Membranbewegung vergleichen.</x:v>
      </x:c>
      <x:c r="J57" s="60" t="str">
        <x:v>Töne mit einstellbarer Frequenz erzeugen</x:v>
      </x:c>
      <x:c r="K57" s="60" t="str">
        <x:v>ph_k9_st10_lautsprecher_und_anwendungen_des_elektromagnetismus</x:v>
      </x:c>
      <x:c r="L57" s="60" t="str">
        <x:v>https://raw.githubusercontent.com/burgnetz-wq/froebel/main/bilder/physik/044_generator_motor.jpg</x:v>
      </x:c>
      <x:c r="M57" s="158" t="e">
        <x:f>HYPERLINK("https://burgnetz-wq.github.io/froebel/physik/html/ph9_stunde_10_lautsprecher_und_anwendungen_des_elektromagnetismus.html","Schüler-Modul öffnen")</x:f>
      </x:c>
      <x:c r="N57" s="159" t="e">
        <x:f>HYPERLINK("lehrer/physik/ph_k9_st10_lautsprecher_und_anwendungen_des_elektromagnetismus_orga.html","Vorbereitung öffnen")</x:f>
      </x:c>
    </x:row>
    <x:row r="58" ht="70" customHeight="1">
      <x:c r="A58" s="125" t="str">
        <x:v>Physik</x:v>
      </x:c>
      <x:c r="B58" s="126" t="n">
        <x:v>9</x:v>
      </x:c>
      <x:c r="C58" s="60" t="str">
        <x:v>Mechanik</x:v>
      </x:c>
      <x:c r="D58" s="126" t="n">
        <x:v>11</x:v>
      </x:c>
      <x:c r="E58" s="60" t="str">
        <x:v>Bewegung, Bezugssystem, Weg und Zeit</x:v>
      </x:c>
      <x:c r="F58" s="60" t="str">
        <x:v>vorstrukturierte Tabelle, Satzstarter und Hilfekarte.</x:v>
      </x:c>
      <x:c r="G58" s="60" t="str">
        <x:v>selbstständige Auswertung mit Fachbegriffen. Grundniveau benennt Bezugssystem; Regelstandard misst Weg und Zeit; Erweiterung vergleicht Sensor- und Handmessung.</x:v>
      </x:c>
      <x:c r="H58" s="60" t="str">
        <x:v>Bewegung als Ortsänderung relativ zu einem Bezugssystem definieren sowie Weg und Zeit als physikalische Größen charakterisieren und messen.</x:v>
      </x:c>
      <x:c r="I58" s="60" t="str">
        <x:v>LE: Rollwagen aus zwei Bezugssystemen filmen bzw. beobachten: ruhender Raum und mitbewegte Kamera.
SE: Geradlinige Bewegung eines Spielzeugfahrzeugs mit Maßband und Stoppuhr in festen Zeitabständen markieren.</x:v>
      </x:c>
      <x:c r="J58" s="60" t="str">
        <x:v>Abstand eines Fahrzeugs mit HC-SR04 zeitabhängig erfassen</x:v>
      </x:c>
      <x:c r="K58" s="60" t="str">
        <x:v>ph_k9_st11_bewegung_bezugssystem_weg_und_zeit</x:v>
      </x:c>
      <x:c r="L58" s="60" t="str">
        <x:v>https://raw.githubusercontent.com/burgnetz-wq/froebel/main/bilder/physik/023_gleichfoermige_bewegung.jpg</x:v>
      </x:c>
      <x:c r="M58" s="158" t="e">
        <x:f>HYPERLINK("https://burgnetz-wq.github.io/froebel/physik/html/ph9_stunde_11_bewegung_bezugssystem_weg_und_zeit.html","Schüler-Modul öffnen")</x:f>
      </x:c>
      <x:c r="N58" s="159" t="e">
        <x:f>HYPERLINK("lehrer/physik/ph_k9_st11_bewegung_bezugssystem_weg_und_zeit_orga.html","Vorbereitung öffnen")</x:f>
      </x:c>
    </x:row>
    <x:row r="59" ht="70" customHeight="1">
      <x:c r="A59" s="125" t="str">
        <x:v>Physik</x:v>
      </x:c>
      <x:c r="B59" s="126" t="n">
        <x:v>9</x:v>
      </x:c>
      <x:c r="C59" s="60" t="str">
        <x:v>Mechanik</x:v>
      </x:c>
      <x:c r="D59" s="126" t="n">
        <x:v>12</x:v>
      </x:c>
      <x:c r="E59" s="60" t="str">
        <x:v>Geschwindigkeit messen und berechnen</x:v>
      </x:c>
      <x:c r="F59" s="60" t="str">
        <x:v>vorstrukturierte Tabelle, Satzstarter und Hilfekarte.</x:v>
      </x:c>
      <x:c r="G59" s="60" t="str">
        <x:v>selbstständige Auswertung mit Fachbegriffen. Grundniveau rechnet mit vorgegebenen Werten; Regelstandard wertet eigene Daten aus; Erweiterung vergleicht mittlere und momentane Geschwindigkeit qualitativ.</x:v>
      </x:c>
      <x:c r="H59" s="60" t="str">
        <x:v>Geschwindigkeit als Quotient aus Weg und Zeit charakterisieren, messen und mit passenden Einheiten berechnen.</x:v>
      </x:c>
      <x:c r="I59" s="60" t="str">
        <x:v>LE: Zwei Fahrzeuge legen gleiche Wege in unterschiedlichen Zeiten zurück; Geschwindigkeit vergleichen.
SE: Für mehrere Fahrten Weg und Zeit messen, v = s/t berechnen und Messunsicherheiten benennen.</x:v>
      </x:c>
      <x:c r="J59" s="60" t="str">
        <x:v>Geschwindigkeit aus zwei Ultraschall-Abstandswerten bestimmen</x:v>
      </x:c>
      <x:c r="K59" s="60" t="str">
        <x:v>ph_k9_st12_geschwindigkeit_messen_und_berechnen</x:v>
      </x:c>
      <x:c r="L59" s="60" t="str">
        <x:v>https://raw.githubusercontent.com/burgnetz-wq/froebel/main/bilder/physik/023_gleichfoermige_bewegung.jpg</x:v>
      </x:c>
      <x:c r="M59" s="158" t="e">
        <x:f>HYPERLINK("https://burgnetz-wq.github.io/froebel/physik/html/ph9_stunde_12_geschwindigkeit_messen_und_berechnen.html","Schüler-Modul öffnen")</x:f>
      </x:c>
      <x:c r="N59" s="159" t="e">
        <x:f>HYPERLINK("lehrer/physik/ph_k9_st12_geschwindigkeit_messen_und_berechnen_orga.html","Vorbereitung öffnen")</x:f>
      </x:c>
    </x:row>
    <x:row r="60" ht="70" customHeight="1">
      <x:c r="A60" s="125" t="str">
        <x:v>Physik</x:v>
      </x:c>
      <x:c r="B60" s="126" t="n">
        <x:v>9</x:v>
      </x:c>
      <x:c r="C60" s="60" t="str">
        <x:v>Mechanik</x:v>
      </x:c>
      <x:c r="D60" s="126" t="n">
        <x:v>13</x:v>
      </x:c>
      <x:c r="E60" s="60" t="str">
        <x:v>Geradlinig gleichförmige Bewegung und s-t-Diagramm</x:v>
      </x:c>
      <x:c r="F60" s="60" t="str">
        <x:v>vorstrukturierte Tabelle, Satzstarter und Hilfekarte.</x:v>
      </x:c>
      <x:c r="G60" s="60" t="str">
        <x:v>selbstständige Auswertung mit Fachbegriffen. Grundniveau erkennt Gerade; Regelstandard bestimmt v aus Steigung; Erweiterung diskutiert Offset und Messrauschen.</x:v>
      </x:c>
      <x:c r="H60" s="60" t="str">
        <x:v>Die geradlinig gleichförmige Bewegung durch konstante Geschwindigkeit, Gleichung und Weg-Zeit-Diagramm beschreiben.</x:v>
      </x:c>
      <x:c r="I60" s="60" t="str">
        <x:v>LE: Motorwagen mit möglichst konstanter Geschwindigkeit; Messpunkte in gleichen Zeitabständen projizieren.
SE: Messreihe s(t) aufnehmen, Punkte in ein Koordinatensystem eintragen und die Steigung als Geschwindigkeit deuten.</x:v>
      </x:c>
      <x:c r="J60" s="60" t="str">
        <x:v>Weg-Zeit-Daten mit HC-SR04 protokollieren</x:v>
      </x:c>
      <x:c r="K60" s="60" t="str">
        <x:v>ph_k9_st13_geradlinig_gleichformige_bewegung_und_s_t_diagramm</x:v>
      </x:c>
      <x:c r="L60" s="60" t="str">
        <x:v>https://raw.githubusercontent.com/burgnetz-wq/froebel/main/bilder/physik/023_gleichfoermige_bewegung.jpg</x:v>
      </x:c>
      <x:c r="M60" s="158" t="e">
        <x:f>HYPERLINK("https://burgnetz-wq.github.io/froebel/physik/html/ph9_stunde_13_geradlinig_gleichfoermige_bewegung_und_s_t_diagramm.html","Schüler-Modul öffnen")</x:f>
      </x:c>
      <x:c r="N60" s="159" t="e">
        <x:f>HYPERLINK("lehrer/physik/ph_k9_st13_geradlinig_gleichformige_bewegung_und_s_t_diagramm_orga.html","Vorbereitung öffnen")</x:f>
      </x:c>
    </x:row>
    <x:row r="61" ht="70" customHeight="1">
      <x:c r="A61" s="125" t="str">
        <x:v>Physik</x:v>
      </x:c>
      <x:c r="B61" s="126" t="n">
        <x:v>9</x:v>
      </x:c>
      <x:c r="C61" s="60" t="str">
        <x:v>Mechanik</x:v>
      </x:c>
      <x:c r="D61" s="126" t="n">
        <x:v>14</x:v>
      </x:c>
      <x:c r="E61" s="60" t="str">
        <x:v>Gleichförmige Bewegung – Gleichungen und Diagramme anwenden</x:v>
      </x:c>
      <x:c r="F61" s="60" t="str">
        <x:v>vorstrukturierte Tabelle, Satzstarter und Hilfekarte.</x:v>
      </x:c>
      <x:c r="G61" s="60" t="str">
        <x:v>selbstständige Auswertung mit Fachbegriffen. Hauptschulniveau mit ganzzahligen Werten und Satzstartern; Realschulniveau mit Einheitenumrechnung und unbekannter Größe; Erweiterung mit abschnittsweiser Bewegung.</x:v>
      </x:c>
      <x:c r="H61" s="60" t="str">
        <x:v>Weg, Zeit und Geschwindigkeit bei gleichförmigen Bewegungen berechnen sowie s-t- und v-t-Diagramme lesen und ineinander übertragen.</x:v>
      </x:c>
      <x:c r="I61" s="60" t="str">
        <x:v>LE: Live-Diagramm einer gleichförmigen Bewegung zeigen und anhalten; Werte ablesen lassen.
SE: Aufgabenstationen mit realen Fahrplänen, Fahrradfahrt und Laufbewegung; Diagramme ergänzen und Rechenwege kontrollieren.</x:v>
      </x:c>
      <x:c r="J61" s="60" t="str">
        <x:v>—</x:v>
      </x:c>
      <x:c r="K61" s="60" t="str">
        <x:v>ph_k9_st14_gleichformige_bewegung_gleichungen_und_diagramme_anwenden</x:v>
      </x:c>
      <x:c r="L61" s="60" t="str">
        <x:v>https://raw.githubusercontent.com/burgnetz-wq/froebel/main/bilder/physik/023_gleichfoermige_bewegung.jpg</x:v>
      </x:c>
      <x:c r="M61" s="158" t="e">
        <x:f>HYPERLINK("https://burgnetz-wq.github.io/froebel/physik/html/ph9_stunde_14_gleichfoermige_bewegung_gleichungen_und_diagramme_anwenden.html","Schüler-Modul öffnen")</x:f>
      </x:c>
      <x:c r="N61" s="159" t="e">
        <x:f>HYPERLINK("lehrer/physik/ph_k9_st14_gleichformige_bewegung_gleichungen_und_diagramme_anwenden_orga.html","Vorbereitung öffnen")</x:f>
      </x:c>
    </x:row>
    <x:row r="62" ht="70" customHeight="1">
      <x:c r="A62" s="125" t="str">
        <x:v>Physik</x:v>
      </x:c>
      <x:c r="B62" s="126" t="n">
        <x:v>9</x:v>
      </x:c>
      <x:c r="C62" s="60" t="str">
        <x:v>Mechanik</x:v>
      </x:c>
      <x:c r="D62" s="126" t="n">
        <x:v>15</x:v>
      </x:c>
      <x:c r="E62" s="60" t="str">
        <x:v>Beschleunigung als Änderung der Geschwindigkeit</x:v>
      </x:c>
      <x:c r="F62" s="60" t="str">
        <x:v>vorstrukturierte Tabelle, Satzstarter und Hilfekarte.</x:v>
      </x:c>
      <x:c r="G62" s="60" t="str">
        <x:v>selbstständige Auswertung mit Fachbegriffen. Grundniveau beschreibt schneller werden; Regelstandard berechnet einfache Beschleunigungen; Erweiterung kalibriert Sensorlage und diskutiert Erdbeschleunigung.</x:v>
      </x:c>
      <x:c r="H62" s="60" t="str">
        <x:v>Beschleunigung als Änderung der Geschwindigkeit pro Zeit charakterisieren und Bewegungen mit größerer oder kleinerer Beschleunigung vergleichen.</x:v>
      </x:c>
      <x:c r="I62" s="60" t="str">
        <x:v>LE: Rollwagen auf unterschiedlich steilen Rampen; Geschwindigkeitszunahme sichtbar bzw. akustisch vergleichen.
SE: Fahrzeug auf einer flachen Rampe in gleichen Zeitabständen beobachten und zunehmende Wegabschnitte markieren.</x:v>
      </x:c>
      <x:c r="J62" s="60" t="str">
        <x:v>Beschleunigungswerte mit MPU6050 als Rohdaten erfassen</x:v>
      </x:c>
      <x:c r="K62" s="60" t="str">
        <x:v>ph_k9_st15_beschleunigung_als_anderung_der_geschwindigkeit</x:v>
      </x:c>
      <x:c r="L62" s="60" t="str">
        <x:v>https://raw.githubusercontent.com/burgnetz-wq/froebel/main/bilder/physik/092_beschleunigung.jpg</x:v>
      </x:c>
      <x:c r="M62" s="158" t="e">
        <x:f>HYPERLINK("https://burgnetz-wq.github.io/froebel/physik/html/ph9_stunde_15_beschleunigung_als_aenderung_der_geschwindigkeit.html","Schüler-Modul öffnen")</x:f>
      </x:c>
      <x:c r="N62" s="159" t="e">
        <x:f>HYPERLINK("lehrer/physik/ph_k9_st15_beschleunigung_als_anderung_der_geschwindigkeit_orga.html","Vorbereitung öffnen")</x:f>
      </x:c>
    </x:row>
    <x:row r="63" ht="70" customHeight="1">
      <x:c r="A63" s="125" t="str">
        <x:v>Physik</x:v>
      </x:c>
      <x:c r="B63" s="126" t="n">
        <x:v>9</x:v>
      </x:c>
      <x:c r="C63" s="60" t="str">
        <x:v>Mechanik</x:v>
      </x:c>
      <x:c r="D63" s="126" t="n">
        <x:v>16</x:v>
      </x:c>
      <x:c r="E63" s="60" t="str">
        <x:v>Geradlinig gleichmäßig beschleunigte Bewegung</x:v>
      </x:c>
      <x:c r="F63" s="60" t="str">
        <x:v>vorstrukturierte Tabelle, Satzstarter und Hilfekarte.</x:v>
      </x:c>
      <x:c r="G63" s="60" t="str">
        <x:v>selbstständige Auswertung mit Fachbegriffen. Grundniveau erkennt Diagrammformen; Regelstandard berechnet v = a·t; Erweiterung nutzt s = 1/2·a·t² und prüft Modellabweichungen.</x:v>
      </x:c>
      <x:c r="H63" s="60" t="str">
        <x:v>Eine geradlinig gleichmäßig beschleunigte Bewegung mit v-t- und s-t-Diagrammen sowie geeigneten Gleichungen beschreiben.</x:v>
      </x:c>
      <x:c r="I63" s="60" t="str">
        <x:v>LE: Luftkissenbahn oder Rollwagen auf leicht geneigter Bahn mit Zeitmarken demonstrieren.
SE: Aus vorbereiteten oder selbst aufgenommenen Daten v-t- und s-t-Diagramme erstellen und typische Form erkennen.</x:v>
      </x:c>
      <x:c r="J63" s="60" t="str">
        <x:v>Beschleunigungsdaten mit MPU6050 aufzeichnen und mitteln</x:v>
      </x:c>
      <x:c r="K63" s="60" t="str">
        <x:v>ph_k9_st16_geradlinig_gleichmaig_beschleunigte_bewegung</x:v>
      </x:c>
      <x:c r="L63" s="60" t="str">
        <x:v>https://raw.githubusercontent.com/burgnetz-wq/froebel/main/bilder/physik/023_gleichfoermige_bewegung.jpg</x:v>
      </x:c>
      <x:c r="M63" s="158" t="e">
        <x:f>HYPERLINK("https://burgnetz-wq.github.io/froebel/physik/html/ph9_stunde_16_geradlinig_gleichmaessig_beschleunigte_bewegung.html","Schüler-Modul öffnen")</x:f>
      </x:c>
      <x:c r="N63" s="159" t="e">
        <x:f>HYPERLINK("lehrer/physik/ph_k9_st16_geradlinig_gleichmaig_beschleunigte_bewegung_orga.html","Vorbereitung öffnen")</x:f>
      </x:c>
    </x:row>
    <x:row r="64" ht="70" customHeight="1">
      <x:c r="A64" s="125" t="str">
        <x:v>Physik</x:v>
      </x:c>
      <x:c r="B64" s="126" t="n">
        <x:v>9</x:v>
      </x:c>
      <x:c r="C64" s="60" t="str">
        <x:v>Mechanik</x:v>
      </x:c>
      <x:c r="D64" s="126" t="n">
        <x:v>17</x:v>
      </x:c>
      <x:c r="E64" s="60" t="str">
        <x:v>Freier Fall als beschleunigte Bewegung</x:v>
      </x:c>
      <x:c r="F64" s="60" t="str">
        <x:v>vorstrukturierte Tabelle, Satzstarter und Hilfekarte.</x:v>
      </x:c>
      <x:c r="G64" s="60" t="str">
        <x:v>selbstständige Auswertung mit Fachbegriffen. Grundniveau beschreibt Beobachtung; Regelstandard interpretiert Zeiten; Erweiterung vergleicht Messung mit idealisiertem Fallgesetz.</x:v>
      </x:c>
      <x:c r="H64" s="60" t="str">
        <x:v>Den freien Fall als annähernd gleichmäßig beschleunigte Bewegung beschreiben, Fallzeiten messen und Diagramme interpretieren.</x:v>
      </x:c>
      <x:c r="I64" s="60" t="str">
        <x:v>LE: Gleichzeitiger Fall unterschiedlich schwerer, ähnlich geformter Körper; Einfluss des Luftwiderstands durch Papiervergleich.
SE: Fallzeit aus kleiner, sicherer Höhe mehrfach messen oder mit Lichtschranke erfassen; Mittelwert bilden.</x:v>
      </x:c>
      <x:c r="J64" s="60" t="str">
        <x:v>Fallzeit mit zwei Lichtschranken bzw. Photogates messen</x:v>
      </x:c>
      <x:c r="K64" s="60" t="str">
        <x:v>ph_k9_st17_freier_fall_als_beschleunigte_bewegung</x:v>
      </x:c>
      <x:c r="L64" s="60" t="str">
        <x:v>https://raw.githubusercontent.com/burgnetz-wq/froebel/main/bilder/physik/092_beschleunigung.jpg</x:v>
      </x:c>
      <x:c r="M64" s="158" t="e">
        <x:f>HYPERLINK("https://burgnetz-wq.github.io/froebel/physik/html/ph9_stunde_17_freier_fall_als_beschleunigte_bewegung.html","Schüler-Modul öffnen")</x:f>
      </x:c>
      <x:c r="N64" s="159" t="e">
        <x:f>HYPERLINK("lehrer/physik/ph_k9_st17_freier_fall_als_beschleunigte_bewegung_orga.html","Vorbereitung öffnen")</x:f>
      </x:c>
    </x:row>
    <x:row r="65" ht="70" customHeight="1">
      <x:c r="A65" s="125" t="str">
        <x:v>Physik</x:v>
      </x:c>
      <x:c r="B65" s="126" t="n">
        <x:v>9</x:v>
      </x:c>
      <x:c r="C65" s="60" t="str">
        <x:v>Mechanik</x:v>
      </x:c>
      <x:c r="D65" s="126" t="n">
        <x:v>18</x:v>
      </x:c>
      <x:c r="E65" s="60" t="str">
        <x:v>Bewegungsformen, Bewegungsarten und Verkehrssicherheit</x:v>
      </x:c>
      <x:c r="F65" s="60" t="str">
        <x:v>vorstrukturierte Tabelle, Satzstarter und Hilfekarte.</x:v>
      </x:c>
      <x:c r="G65" s="60" t="str">
        <x:v>selbstständige Auswertung mit Fachbegriffen. Grundniveau ordnet Bewegungsarten; Regelstandard erklärt Anhalteweg; Erweiterung beurteilt Grenzen eines Ultraschall-Abstandsmodells.</x:v>
      </x:c>
      <x:c r="H65" s="60" t="str">
        <x:v>Bewegungsformen und Bewegungsarten unterscheiden und Kenntnisse über Geschwindigkeit und Beschleunigung auf sichere Entscheidungen im Straßenverkehr übertragen.</x:v>
      </x:c>
      <x:c r="I65" s="60" t="str">
        <x:v>LE: Modellfahrzeug bremst aus verschiedenen Startgeschwindigkeiten; Bremsweg vergleichen.
SE: Reaktionsweg und vereinfachten Anhalteweg an Stationen messen bzw. aus Datensätzen auswerten.</x:v>
      </x:c>
      <x:c r="J65" s="60" t="str">
        <x:v>Abstandswarnung mit HC-SR04 und Piezo-Summer modellieren</x:v>
      </x:c>
      <x:c r="K65" s="60" t="str">
        <x:v>ph_k9_st18_bewegungsformen_bewegungsarten_und_verkehrssicherheit</x:v>
      </x:c>
      <x:c r="L65" s="60" t="str">
        <x:v>https://raw.githubusercontent.com/burgnetz-wq/froebel/main/bilder/physik/023_gleichfoermige_bewegung.jpg</x:v>
      </x:c>
      <x:c r="M65" s="158" t="e">
        <x:f>HYPERLINK("https://burgnetz-wq.github.io/froebel/physik/html/ph9_stunde_18_bewegungsformen_bewegungsarten_und_verkehrssicherheit.html","Schüler-Modul öffnen")</x:f>
      </x:c>
      <x:c r="N65" s="159" t="e">
        <x:f>HYPERLINK("lehrer/physik/ph_k9_st18_bewegungsformen_bewegungsarten_und_verkehrssicherheit_orga.html","Vorbereitung öffnen")</x:f>
      </x:c>
    </x:row>
    <x:row r="66" ht="70" customHeight="1">
      <x:c r="A66" s="125" t="str">
        <x:v>Physik</x:v>
      </x:c>
      <x:c r="B66" s="126" t="n">
        <x:v>9</x:v>
      </x:c>
      <x:c r="C66" s="60" t="str">
        <x:v>Mechanik</x:v>
      </x:c>
      <x:c r="D66" s="126" t="n">
        <x:v>19</x:v>
      </x:c>
      <x:c r="E66" s="60" t="str">
        <x:v>Kraft als Wechselwirkung und physikalische Größe</x:v>
      </x:c>
      <x:c r="F66" s="60" t="str">
        <x:v>vorstrukturierte Tabelle, Satzstarter und Hilfekarte.</x:v>
      </x:c>
      <x:c r="G66" s="60" t="str">
        <x:v>selbstständige Auswertung mit Fachbegriffen. Grundniveau benennt Kraftwirkungen; Regelstandard zeichnet Kraftpfeile; Erweiterung kalibriert eine Wägezelle mit bekannten Massen.</x:v>
      </x:c>
      <x:c r="H66" s="60" t="str">
        <x:v>Kraft als Wechselwirkung charakterisieren, Wirkungen von Kräften unterscheiden und Kräfte mit Betrag, Richtung und Angriffspunkt darstellen und messen.</x:v>
      </x:c>
      <x:c r="I66" s="60" t="str">
        <x:v>LE: Federkraftmesser zieht einen Wagen; Verformungs- und Bewegungswirkung zeigen.
SE: Verschiedene Kräfte mit Federkraftmessern messen und als Kraftpfeile maßstäblich darstellen.</x:v>
      </x:c>
      <x:c r="J66" s="60" t="str">
        <x:v>Kraft mit Wägezelle und HX711 nach Kalibrierung messen</x:v>
      </x:c>
      <x:c r="K66" s="60" t="str">
        <x:v>ph_k9_st19_kraft_als_wechselwirkung_und_physikalische_groe</x:v>
      </x:c>
      <x:c r="L66" s="60" t="str">
        <x:v>https://raw.githubusercontent.com/burgnetz-wq/froebel/main/bilder/physik/024_newton_krafte.jpg</x:v>
      </x:c>
      <x:c r="M66" s="158" t="e">
        <x:f>HYPERLINK("https://burgnetz-wq.github.io/froebel/physik/html/ph9_stunde_19_kraft_als_wechselwirkung_und_physikalische_groesse.html","Schüler-Modul öffnen")</x:f>
      </x:c>
      <x:c r="N66" s="159" t="e">
        <x:f>HYPERLINK("lehrer/physik/ph_k9_st19_kraft_als_wechselwirkung_und_physikalische_groe_orga.html","Vorbereitung öffnen")</x:f>
      </x:c>
    </x:row>
    <x:row r="67" ht="70" customHeight="1">
      <x:c r="A67" s="125" t="str">
        <x:v>Physik</x:v>
      </x:c>
      <x:c r="B67" s="126" t="n">
        <x:v>9</x:v>
      </x:c>
      <x:c r="C67" s="60" t="str">
        <x:v>Mechanik</x:v>
      </x:c>
      <x:c r="D67" s="126" t="n">
        <x:v>20</x:v>
      </x:c>
      <x:c r="E67" s="60" t="str">
        <x:v>Erstes Newtonsches Gesetz – Trägheit</x:v>
      </x:c>
      <x:c r="F67" s="60" t="str">
        <x:v>vorstrukturierte Tabelle, Satzstarter und Hilfekarte.</x:v>
      </x:c>
      <x:c r="G67" s="60" t="str">
        <x:v>selbstständige Auswertung mit Fachbegriffen. Grundniveau beschreibt Trägheit; Regelstandard erklärt Kraftbilanz; Erweiterung analysiert Sicherheitsgurt und Kopfstütze.</x:v>
      </x:c>
      <x:c r="H67" s="60" t="str">
        <x:v>Alltagsvorgänge mit dem Trägheitsgesetz erklären und zwischen fehlender resultierender Kraft und fehlender Bewegung unterscheiden.</x:v>
      </x:c>
      <x:c r="I67" s="60" t="str">
        <x:v>LE: Münze-Karte-Glas-Versuch oder Tischdeckenversuch in sicherer Kleinform.
SE: Trägheitsstationen: Münze auf Karte, Rollwagen mit losem Klotz, gefülltes Gefäß sanft und abrupt bewegen.</x:v>
      </x:c>
      <x:c r="J67" s="60" t="str">
        <x:v>—</x:v>
      </x:c>
      <x:c r="K67" s="60" t="str">
        <x:v>ph_k9_st20_erstes_newtonsches_gesetz_tragheit</x:v>
      </x:c>
      <x:c r="L67" s="60" t="str">
        <x:v>https://raw.githubusercontent.com/burgnetz-wq/froebel/main/bilder/physik/024_newton_krafte.jpg</x:v>
      </x:c>
      <x:c r="M67" s="158" t="e">
        <x:f>HYPERLINK("https://burgnetz-wq.github.io/froebel/physik/html/ph9_stunde_20_erstes_newtonsches_gesetz_traegheit.html","Schüler-Modul öffnen")</x:f>
      </x:c>
      <x:c r="N67" s="159" t="e">
        <x:f>HYPERLINK("lehrer/physik/ph_k9_st20_erstes_newtonsches_gesetz_tragheit_orga.html","Vorbereitung öffnen")</x:f>
      </x:c>
    </x:row>
    <x:row r="68" ht="70" customHeight="1">
      <x:c r="A68" s="125" t="str">
        <x:v>Physik</x:v>
      </x:c>
      <x:c r="B68" s="126" t="n">
        <x:v>9</x:v>
      </x:c>
      <x:c r="C68" s="60" t="str">
        <x:v>Mechanik</x:v>
      </x:c>
      <x:c r="D68" s="126" t="n">
        <x:v>21</x:v>
      </x:c>
      <x:c r="E68" s="60" t="str">
        <x:v>Zweites Newtonsches Gesetz – Kraft, Masse und Beschleunigung</x:v>
      </x:c>
      <x:c r="F68" s="60" t="str">
        <x:v>vorstrukturierte Tabelle, Satzstarter und Hilfekarte.</x:v>
      </x:c>
      <x:c r="G68" s="60" t="str">
        <x:v>selbstständige Auswertung mit Fachbegriffen. Hauptschulniveau qualitativ; Realschulniveau F = m·a; Erweiterung analysiert Messunsicherheiten und Reibung.</x:v>
      </x:c>
      <x:c r="H68" s="60" t="str">
        <x:v>Das newtonsche Grundgesetz qualitativ und auf Realschulniveau quantitativ anwenden, um Kraft, Masse und Beschleunigung bei Bewegungsvorgängen zu verknüpfen.</x:v>
      </x:c>
      <x:c r="I68" s="60" t="str">
        <x:v>LE: Gleiche Zugkraft bei unterschiedlichen Wagenmassen bzw. unterschiedliche Zugkraft bei gleicher Masse vergleichen.
SE: Rollwagen mit Zuggewicht untersuchen; eine Variable konstant halten und Beschleunigungswirkung vergleichen.</x:v>
      </x:c>
      <x:c r="J68" s="60" t="str">
        <x:v>Zugkraft mit Wägezelle und Bewegung mit Ultraschall erfassen</x:v>
      </x:c>
      <x:c r="K68" s="60" t="str">
        <x:v>ph_k9_st21_zweites_newtonsches_gesetz_kraft_masse_und_beschleunigung</x:v>
      </x:c>
      <x:c r="L68" s="60" t="str">
        <x:v>https://raw.githubusercontent.com/burgnetz-wq/froebel/main/bilder/physik/092_beschleunigung.jpg</x:v>
      </x:c>
      <x:c r="M68" s="158" t="e">
        <x:f>HYPERLINK("https://burgnetz-wq.github.io/froebel/physik/html/ph9_stunde_21_zweites_newtonsches_gesetz_kraft_masse_und_beschleunigung.html","Schüler-Modul öffnen")</x:f>
      </x:c>
      <x:c r="N68" s="159" t="e">
        <x:f>HYPERLINK("lehrer/physik/ph_k9_st21_zweites_newtonsches_gesetz_kraft_masse_und_beschleunigung_orga.html","Vorbereitung öffnen")</x:f>
      </x:c>
    </x:row>
    <x:row r="69" ht="70" customHeight="1">
      <x:c r="A69" s="125" t="str">
        <x:v>Physik</x:v>
      </x:c>
      <x:c r="B69" s="126" t="n">
        <x:v>9</x:v>
      </x:c>
      <x:c r="C69" s="60" t="str">
        <x:v>Mechanik</x:v>
      </x:c>
      <x:c r="D69" s="126" t="n">
        <x:v>22</x:v>
      </x:c>
      <x:c r="E69" s="60" t="str">
        <x:v>Drittes Newtonsches Gesetz – Actio und Reactio</x:v>
      </x:c>
      <x:c r="F69" s="60" t="str">
        <x:v>vorstrukturierte Tabelle, Satzstarter und Hilfekarte.</x:v>
      </x:c>
      <x:c r="G69" s="60" t="str">
        <x:v>selbstständige Auswertung mit Fachbegriffen. Grundniveau erkennt Kräftepaare; Regelstandard ordnet Kräfte verschiedenen Körpern zu; Erweiterung erklärt Rückstoß und Fortbewegung.</x:v>
      </x:c>
      <x:c r="H69" s="60" t="str">
        <x:v>Kraft und Gegenkraft als gleich große, entgegengesetzt gerichtete Kräfte an verschiedenen Körpern beschreiben und Alltagssituationen erklären.</x:v>
      </x:c>
      <x:c r="I69" s="60" t="str">
        <x:v>LE: Zwei gekoppelte Federkraftmesser auseinanderziehen und gleiche Anzeigen zeigen.
SE: Paarweise Federkraftmesser untersuchen; zusätzlich zwei Rollwagen mit gespannter Feder auseinanderfahren lassen.</x:v>
      </x:c>
      <x:c r="J69" s="60" t="str">
        <x:v>—</x:v>
      </x:c>
      <x:c r="K69" s="60" t="str">
        <x:v>ph_k9_st22_drittes_newtonsches_gesetz_actio_und_reactio</x:v>
      </x:c>
      <x:c r="L69" s="60" t="str">
        <x:v>https://raw.githubusercontent.com/burgnetz-wq/froebel/main/bilder/physik/024_newton_krafte.jpg</x:v>
      </x:c>
      <x:c r="M69" s="158" t="e">
        <x:f>HYPERLINK("https://burgnetz-wq.github.io/froebel/physik/html/ph9_stunde_22_drittes_newtonsches_gesetz_actio_und_reactio.html","Schüler-Modul öffnen")</x:f>
      </x:c>
      <x:c r="N69" s="159" t="e">
        <x:f>HYPERLINK("lehrer/physik/ph_k9_st22_drittes_newtonsches_gesetz_actio_und_reactio_orga.html","Vorbereitung öffnen")</x:f>
      </x:c>
    </x:row>
    <x:row r="70" ht="70" customHeight="1">
      <x:c r="A70" s="125" t="str">
        <x:v>Physik</x:v>
      </x:c>
      <x:c r="B70" s="126" t="n">
        <x:v>9</x:v>
      </x:c>
      <x:c r="C70" s="60" t="str">
        <x:v>Mechanik</x:v>
      </x:c>
      <x:c r="D70" s="126" t="n">
        <x:v>23</x:v>
      </x:c>
      <x:c r="E70" s="60" t="str">
        <x:v>Gravitation, Masse und Gewichtskraft</x:v>
      </x:c>
      <x:c r="F70" s="60" t="str">
        <x:v>vorstrukturierte Tabelle, Satzstarter und Hilfekarte.</x:v>
      </x:c>
      <x:c r="G70" s="60" t="str">
        <x:v>selbstständige Auswertung mit Fachbegriffen. Grundniveau unterscheidet Masse und Gewicht; Regelstandard nutzt F_G = m·g; Erweiterung diskutiert Ortsabhängigkeit von g und Planetenbewegung.</x:v>
      </x:c>
      <x:c r="H70" s="60" t="str">
        <x:v>Gravitation als elementare Grunderscheinung beschreiben, Masse und Gewichtskraft unterscheiden und Beispiele wie Gewicht, Gezeiten und Planetenbewegung einordnen.</x:v>
      </x:c>
      <x:c r="I70" s="60" t="str">
        <x:v>LE: Federkraftmesser mit gleicher Masse in verschiedenen Orientierungen; Modellvergleich Gewichtskraft auf Erde und Mond.
SE: Gewichtskraft verschiedener Massen messen, F_G gegen m auftragen und Zusammenhang bestimmen.</x:v>
      </x:c>
      <x:c r="J70" s="60" t="str">
        <x:v>Gewichtskraft mit kalibrierter Wägezelle messen</x:v>
      </x:c>
      <x:c r="K70" s="60" t="str">
        <x:v>ph_k9_st23_gravitation_masse_und_gewichtskraft</x:v>
      </x:c>
      <x:c r="L70" s="60" t="str">
        <x:v>https://raw.githubusercontent.com/burgnetz-wq/froebel/main/bilder/physik/091_gravitation.jpg</x:v>
      </x:c>
      <x:c r="M70" s="158" t="e">
        <x:f>HYPERLINK("https://burgnetz-wq.github.io/froebel/physik/html/ph9_stunde_23_gravitation_masse_und_gewichtskraft.html","Schüler-Modul öffnen")</x:f>
      </x:c>
      <x:c r="N70" s="159" t="e">
        <x:f>HYPERLINK("lehrer/physik/ph_k9_st23_gravitation_masse_und_gewichtskraft_orga.html","Vorbereitung öffnen")</x:f>
      </x:c>
    </x:row>
    <x:row r="71" ht="70" customHeight="1">
      <x:c r="A71" s="125" t="str">
        <x:v>Physik</x:v>
      </x:c>
      <x:c r="B71" s="126" t="n">
        <x:v>9</x:v>
      </x:c>
      <x:c r="C71" s="60" t="str">
        <x:v>Mechanik</x:v>
      </x:c>
      <x:c r="D71" s="126" t="n">
        <x:v>24</x:v>
      </x:c>
      <x:c r="E71" s="60" t="str">
        <x:v>Projekt und Lernkontrolle – Bewegungen und Kräfte im Alltag</x:v>
      </x:c>
      <x:c r="F71" s="60" t="str">
        <x:v>vorstrukturierte Tabelle, Satzstarter und Hilfekarte.</x:v>
      </x:c>
      <x:c r="G71" s="60" t="str">
        <x:v>selbstständige Auswertung mit Fachbegriffen. Grundniveau arbeitet mit vorgegebenem Plan; Regelstandard plant Variablen selbst; Erweiterung vergleicht zwei Messmethoden und bewertet Unsicherheiten.</x:v>
      </x:c>
      <x:c r="H71" s="60" t="str">
        <x:v>Bewegungs- und Kraftzusammenhänge in einem selbst geplanten Kurzexperiment untersuchen, Daten auswerten und Ergebnisse adressatengerecht präsentieren.</x:v>
      </x:c>
      <x:c r="I71" s="60" t="str">
        <x:v>LE: Beispielmessung am Fahrradmodell oder Rollwagen vollständig von Fragestellung bis Ergebnissatz vormachen.
SE: Gruppen wählen eine Station: Geschwindigkeit, Beschleunigung, Bremsweg, Kraftmessung oder Gravitation; sie planen, messen, dokumentieren und präsentieren kurz.</x:v>
      </x:c>
      <x:c r="J71" s="60" t="str">
        <x:v>Wahlstationen mit Ultraschall, Lichtschranke oder Wägezelle</x:v>
      </x:c>
      <x:c r="K71" s="60" t="str">
        <x:v>ph_k9_st24_projekt_und_lernkontrolle_bewegungen_und_krafte_im_alltag</x:v>
      </x:c>
      <x:c r="L71" s="60" t="str">
        <x:v>https://raw.githubusercontent.com/burgnetz-wq/froebel/main/bilder/physik/023_gleichfoermige_bewegung.jpg</x:v>
      </x:c>
      <x:c r="M71" s="158" t="e">
        <x:f>HYPERLINK("https://burgnetz-wq.github.io/froebel/physik/html/ph9_stunde_24_projekt_und_lernkontrolle_bewegungen_und_kraefte_im_alltag.html","Schüler-Modul öffnen")</x:f>
      </x:c>
      <x:c r="N71" s="159" t="e">
        <x:f>HYPERLINK("lehrer/physik/ph_k9_st24_projekt_und_lernkontrolle_bewegungen_und_krafte_im_alltag_orga.html","Vorbereitung öffnen")</x:f>
      </x:c>
    </x:row>
    <x:row r="72" ht="70" customHeight="1">
      <x:c r="A72" s="125" t="str">
        <x:v>Physik</x:v>
      </x:c>
      <x:c r="B72" s="126" t="n">
        <x:v>10</x:v>
      </x:c>
      <x:c r="C72" s="60" t="str">
        <x:v>Elektromagnetismus</x:v>
      </x:c>
      <x:c r="D72" s="126" t="n">
        <x:v>1</x:v>
      </x:c>
      <x:c r="E72" s="60" t="str">
        <x:v>Magnetische Pole, Kräfte und Erdmagnetfeld</x:v>
      </x:c>
      <x:c r="F72" s="60" t="str">
        <x:v>vorstrukturierte Tabelle, Satzstarter und Hilfekarte.</x:v>
      </x:c>
      <x:c r="G72" s="60" t="str">
        <x:v>selbstständige Auswertung mit Fachbegriffen. Grundniveau: vorgezeichnetes Raster; Erweiterung: Feldstärkeprofil interpretieren.</x:v>
      </x:c>
      <x:c r="H72" s="60" t="str">
        <x:v>Magnete charakterisieren; magnetische Wechselwirkungen und das Erdmagnetfeld beschreiben.</x:v>
      </x:c>
      <x:c r="I72" s="60" t="str">
        <x:v>LE: Schwebender Ringmagnet bzw. Kraftwirkung verschiedener Magnetanordnungen.
SE: Magnetpole prüfen und Feldrichtungen mit Kompassnadeln kartieren.</x:v>
      </x:c>
      <x:c r="J72" s="60" t="str">
        <x:v>Magnetfeld mit linearem Hall-Sensor erfassen</x:v>
      </x:c>
      <x:c r="K72" s="60" t="str">
        <x:v>ph_k10_st01_magnetische_pole_krafte_und_erdmagnetfeld</x:v>
      </x:c>
      <x:c r="L72" s="60" t="str">
        <x:v>https://raw.githubusercontent.com/burgnetz-wq/froebel/main/bilder/physik/018_kompass_erdmagnetfeld.jpg</x:v>
      </x:c>
      <x:c r="M72" s="158" t="e">
        <x:f>HYPERLINK("https://burgnetz-wq.github.io/froebel/physik/html/ph10_stunde_01_magnetische_pole_kraefte_und_erdmagnetfeld.html","Schüler-Modul öffnen")</x:f>
      </x:c>
      <x:c r="N72" s="159" t="e">
        <x:f>HYPERLINK("lehrer/physik/ph_k10_st01_magnetische_pole_krafte_und_erdmagnetfeld_orga.html","Vorbereitung öffnen")</x:f>
      </x:c>
    </x:row>
    <x:row r="73" ht="70" customHeight="1">
      <x:c r="A73" s="125" t="str">
        <x:v>Physik</x:v>
      </x:c>
      <x:c r="B73" s="126" t="n">
        <x:v>10</x:v>
      </x:c>
      <x:c r="C73" s="60" t="str">
        <x:v>Elektromagnetismus</x:v>
      </x:c>
      <x:c r="D73" s="126" t="n">
        <x:v>2</x:v>
      </x:c>
      <x:c r="E73" s="60" t="str">
        <x:v>Elektrisches und magnetisches Feld vergleichen</x:v>
      </x:c>
      <x:c r="F73" s="60" t="str">
        <x:v>vorstrukturierte Tabelle, Satzstarter und Hilfekarte.</x:v>
      </x:c>
      <x:c r="G73" s="60" t="str">
        <x:v>selbstständige Auswertung mit Fachbegriffen. Satzstarter und Begriffskarten; Erweiterung: Grenzen der Feldlinienmodelle.</x:v>
      </x:c>
      <x:c r="H73" s="60" t="str">
        <x:v>Elektrisches und magnetisches Feld als Modelle berührungsfreier Wechselwirkungen vergleichen.</x:v>
      </x:c>
      <x:c r="I73" s="60" t="str">
        <x:v>LE: Geladener Kunststoffstab und Magnet wirken ohne Berührung auf geeignete Probekörper.
SE: Beobachtungen ordnen und Gemeinsamkeiten/Unterschiede in einer Vergleichsmatrix sichern.</x:v>
      </x:c>
      <x:c r="J73" s="60" t="str">
        <x:v>nein</x:v>
      </x:c>
      <x:c r="K73" s="60" t="str">
        <x:v>ph_k10_st02_elektrisches_und_magnetisches_feld_vergleichen</x:v>
      </x:c>
      <x:c r="L73" s="60" t="str">
        <x:v>https://raw.githubusercontent.com/burgnetz-wq/froebel/main/bilder/physik/090_physik_klassenraum.jpg</x:v>
      </x:c>
      <x:c r="M73" s="158" t="e">
        <x:f>HYPERLINK("https://burgnetz-wq.github.io/froebel/physik/html/ph10_stunde_02_elektrisches_und_magnetisches_feld_vergleichen.html","Schüler-Modul öffnen")</x:f>
      </x:c>
      <x:c r="N73" s="159" t="e">
        <x:f>HYPERLINK("lehrer/physik/ph_k10_st02_elektrisches_und_magnetisches_feld_vergleichen_orga.html","Vorbereitung öffnen")</x:f>
      </x:c>
    </x:row>
    <x:row r="74" ht="70" customHeight="1">
      <x:c r="A74" s="125" t="str">
        <x:v>Physik</x:v>
      </x:c>
      <x:c r="B74" s="126" t="n">
        <x:v>10</x:v>
      </x:c>
      <x:c r="C74" s="60" t="str">
        <x:v>Elektromagnetismus</x:v>
      </x:c>
      <x:c r="D74" s="126" t="n">
        <x:v>3</x:v>
      </x:c>
      <x:c r="E74" s="60" t="str">
        <x:v>Elektromagnet: Windungszahl, Stromstärke und Eisenkern</x:v>
      </x:c>
      <x:c r="F74" s="60" t="str">
        <x:v>vorstrukturierte Tabelle, Satzstarter und Hilfekarte.</x:v>
      </x:c>
      <x:c r="G74" s="60" t="str">
        <x:v>selbstständige Auswertung mit Fachbegriffen. Vorbereitete Spule/Sketch; Erweiterung: Kennlinie und Energiebedarf.</x:v>
      </x:c>
      <x:c r="H74" s="60" t="str">
        <x:v>Aufbau und Wirkungsweise von Elektromagneten beschreiben und Einflussgrößen experimentell untersuchen.</x:v>
      </x:c>
      <x:c r="I74" s="60" t="str">
        <x:v>LE: Hebemagnet mit veränderbarer Windungszahl und Eisenkern.
SE: Gruppen messen die Zahl angehobener Büroklammern bei veränderter Windungszahl/Kernart.</x:v>
      </x:c>
      <x:c r="J74" s="60" t="str">
        <x:v>zeitgesteuerte Ansteuerung über MOSFET-Modul und Strommessung</x:v>
      </x:c>
      <x:c r="K74" s="60" t="str">
        <x:v>ph_k10_st03_elektromagnet_windungszahl_stromstarke_und_eisenkern</x:v>
      </x:c>
      <x:c r="L74" s="60" t="str">
        <x:v>https://raw.githubusercontent.com/burgnetz-wq/froebel/main/bilder/physik/019_elektromagnet.jpg</x:v>
      </x:c>
      <x:c r="M74" s="158" t="e">
        <x:f>HYPERLINK("https://burgnetz-wq.github.io/froebel/physik/html/ph10_stunde_03_elektromagnet_windungszahl_stromstaerke_und_eisenkern.html","Schüler-Modul öffnen")</x:f>
      </x:c>
      <x:c r="N74" s="159" t="e">
        <x:f>HYPERLINK("lehrer/physik/ph_k10_st03_elektromagnet_windungszahl_stromstarke_und_eisenkern_orga.html","Vorbereitung öffnen")</x:f>
      </x:c>
    </x:row>
    <x:row r="75" ht="70" customHeight="1">
      <x:c r="A75" s="125" t="str">
        <x:v>Physik</x:v>
      </x:c>
      <x:c r="B75" s="126" t="n">
        <x:v>10</x:v>
      </x:c>
      <x:c r="C75" s="60" t="str">
        <x:v>Elektromagnetismus</x:v>
      </x:c>
      <x:c r="D75" s="126" t="n">
        <x:v>4</x:v>
      </x:c>
      <x:c r="E75" s="60" t="str">
        <x:v>Kraft auf einen stromdurchflossenen Leiter</x:v>
      </x:c>
      <x:c r="F75" s="60" t="str">
        <x:v>vorstrukturierte Tabelle, Satzstarter und Hilfekarte.</x:v>
      </x:c>
      <x:c r="G75" s="60" t="str">
        <x:v>selbstständige Auswertung mit Fachbegriffen. Pfeilkarten; Erweiterung: Richtung für neue Fälle vorhersagen.</x:v>
      </x:c>
      <x:c r="H75" s="60" t="str">
        <x:v>Kraftwirkung auf stromdurchflossene Leiter im Magnetfeld beschreiben und Richtung untersuchen.</x:v>
      </x:c>
      <x:c r="I75" s="60" t="str">
        <x:v>LE: Leiterschaukel im Hufeisenmagneten mit Umpolung.
SE: Leiterschaukel aufbauen; Strom- und Magnetrichtung variieren; Beobachtungsmatrix ausfüllen.</x:v>
      </x:c>
      <x:c r="J75" s="60" t="str">
        <x:v>kurze Stromimpulse per MOSFET-Modul</x:v>
      </x:c>
      <x:c r="K75" s="60" t="str">
        <x:v>ph_k10_st04_kraft_auf_einen_stromdurchflossenen_leiter</x:v>
      </x:c>
      <x:c r="L75" s="60" t="str">
        <x:v>https://raw.githubusercontent.com/burgnetz-wq/froebel/main/bilder/physik/019_elektromagnet.jpg</x:v>
      </x:c>
      <x:c r="M75" s="158" t="e">
        <x:f>HYPERLINK("https://burgnetz-wq.github.io/froebel/physik/html/ph10_stunde_04_kraft_auf_einen_stromdurchflossenen_leiter.html","Schüler-Modul öffnen")</x:f>
      </x:c>
      <x:c r="N75" s="159" t="e">
        <x:f>HYPERLINK("lehrer/physik/ph_k10_st04_kraft_auf_einen_stromdurchflossenen_leiter_orga.html","Vorbereitung öffnen")</x:f>
      </x:c>
    </x:row>
    <x:row r="76" ht="70" customHeight="1">
      <x:c r="A76" s="125" t="str">
        <x:v>Physik</x:v>
      </x:c>
      <x:c r="B76" s="126" t="n">
        <x:v>10</x:v>
      </x:c>
      <x:c r="C76" s="60" t="str">
        <x:v>Elektromagnetismus</x:v>
      </x:c>
      <x:c r="D76" s="126" t="n">
        <x:v>5</x:v>
      </x:c>
      <x:c r="E76" s="60" t="str">
        <x:v>Elektromotor, Lautsprecher und Relais</x:v>
      </x:c>
      <x:c r="F76" s="60" t="str">
        <x:v>vorstrukturierte Tabelle, Satzstarter und Hilfekarte.</x:v>
      </x:c>
      <x:c r="G76" s="60" t="str">
        <x:v>selbstständige Auswertung mit Fachbegriffen. Verdrahtungskarte; Erweiterung: PWM-Drehzahlkennlinie.</x:v>
      </x:c>
      <x:c r="H76" s="60" t="str">
        <x:v>Anwendungen magnetischer Wirkungen beschreiben und Energieumwandlungen erklären.</x:v>
      </x:c>
      <x:c r="I76" s="60" t="str">
        <x:v>LE: Geöffneter Gleichstrommotor, Lautsprecher und Relais im Funktionsvergleich.
SE: Einfachen Motor oder Papierlautsprecher aufbauen und Funktionskette beschriften.</x:v>
      </x:c>
      <x:c r="J76" s="60" t="str">
        <x:v>Motor-PWM und Tonerzeugung; Relais nur über Treibermodul</x:v>
      </x:c>
      <x:c r="K76" s="60" t="str">
        <x:v>ph_k10_st05_elektromotor_lautsprecher_und_relais</x:v>
      </x:c>
      <x:c r="L76" s="60" t="str">
        <x:v>https://raw.githubusercontent.com/burgnetz-wq/froebel/main/bilder/physik/044_generator_motor.jpg</x:v>
      </x:c>
      <x:c r="M76" s="158" t="e">
        <x:f>HYPERLINK("https://burgnetz-wq.github.io/froebel/physik/html/ph10_stunde_05_elektromotor_lautsprecher_und_relais.html","Schüler-Modul öffnen")</x:f>
      </x:c>
      <x:c r="N76" s="159" t="e">
        <x:f>HYPERLINK("lehrer/physik/ph_k10_st05_elektromotor_lautsprecher_und_relais_orga.html","Vorbereitung öffnen")</x:f>
      </x:c>
    </x:row>
    <x:row r="77" ht="70" customHeight="1">
      <x:c r="A77" s="125" t="str">
        <x:v>Physik</x:v>
      </x:c>
      <x:c r="B77" s="126" t="n">
        <x:v>10</x:v>
      </x:c>
      <x:c r="C77" s="60" t="str">
        <x:v>Elektromagnetismus</x:v>
      </x:c>
      <x:c r="D77" s="126" t="n">
        <x:v>6</x:v>
      </x:c>
      <x:c r="E77" s="60" t="str">
        <x:v>Elektromagnetische Induktion</x:v>
      </x:c>
      <x:c r="F77" s="60" t="str">
        <x:v>vorstrukturierte Tabelle, Satzstarter und Hilfekarte.</x:v>
      </x:c>
      <x:c r="G77" s="60" t="str">
        <x:v>selbstständige Auswertung mit Fachbegriffen. Beobachtungstabelle; Erweiterung: qualitative Abhängigkeiten begründen.</x:v>
      </x:c>
      <x:c r="H77" s="60" t="str">
        <x:v>Induktionsbedingungen benennen und das Induktionsgesetz qualitativ formulieren.</x:v>
      </x:c>
      <x:c r="I77" s="60" t="str">
        <x:v>LE: Magnet fällt durch Spule; Galvanometer zeigt Ausschläge.
SE: Magnetgeschwindigkeit, Polung und Windungszahl systematisch variieren.</x:v>
      </x:c>
      <x:c r="J77" s="60" t="str">
        <x:v>geschütztes Induktions-Messinterface mit Mittelpunktvorspannung</x:v>
      </x:c>
      <x:c r="K77" s="60" t="str">
        <x:v>ph_k10_st06_elektromagnetische_induktion</x:v>
      </x:c>
      <x:c r="L77" s="60" t="str">
        <x:v>https://raw.githubusercontent.com/burgnetz-wq/froebel/main/bilder/physik/043_induktion.jpg</x:v>
      </x:c>
      <x:c r="M77" s="158" t="e">
        <x:f>HYPERLINK("https://burgnetz-wq.github.io/froebel/physik/html/ph10_stunde_06_elektromagnetische_induktion.html","Schüler-Modul öffnen")</x:f>
      </x:c>
      <x:c r="N77" s="159" t="e">
        <x:f>HYPERLINK("lehrer/physik/ph_k10_st06_elektromagnetische_induktion_orga.html","Vorbereitung öffnen")</x:f>
      </x:c>
    </x:row>
    <x:row r="78" ht="70" customHeight="1">
      <x:c r="A78" s="125" t="str">
        <x:v>Physik</x:v>
      </x:c>
      <x:c r="B78" s="126" t="n">
        <x:v>10</x:v>
      </x:c>
      <x:c r="C78" s="60" t="str">
        <x:v>Elektromagnetismus</x:v>
      </x:c>
      <x:c r="D78" s="126" t="n">
        <x:v>7</x:v>
      </x:c>
      <x:c r="E78" s="60" t="str">
        <x:v>Generator und Wechselspannung</x:v>
      </x:c>
      <x:c r="F78" s="60" t="str">
        <x:v>vorstrukturierte Tabelle, Satzstarter und Hilfekarte.</x:v>
      </x:c>
      <x:c r="G78" s="60" t="str">
        <x:v>selbstständige Auswertung mit Fachbegriffen. Vorgegebene Kurven; Erweiterung: T=1/f anwenden.</x:v>
      </x:c>
      <x:c r="H78" s="60" t="str">
        <x:v>Generatorprinzip erklären; Gleich- und Wechselspannung vergleichen; Amplitude, Periodendauer und Frequenz beschreiben.</x:v>
      </x:c>
      <x:c r="I78" s="60" t="str">
        <x:v>LE: Handgenerator am Oszilloskop bzw. Spannungs-Zeit-Diagramm.
SE: Kurbelgeschwindigkeit verändern und Frequenz/Amplitude vergleichen.</x:v>
      </x:c>
      <x:c r="J78" s="60" t="str">
        <x:v>Frequenzmessung über Komparator-/Optokoppler-Modul</x:v>
      </x:c>
      <x:c r="K78" s="60" t="str">
        <x:v>ph_k10_st07_generator_und_wechselspannung</x:v>
      </x:c>
      <x:c r="L78" s="60" t="str">
        <x:v>https://raw.githubusercontent.com/burgnetz-wq/froebel/main/bilder/physik/044_generator_motor.jpg</x:v>
      </x:c>
      <x:c r="M78" s="158" t="e">
        <x:f>HYPERLINK("https://burgnetz-wq.github.io/froebel/physik/html/ph10_stunde_07_generator_und_wechselspannung.html","Schüler-Modul öffnen")</x:f>
      </x:c>
      <x:c r="N78" s="159" t="e">
        <x:f>HYPERLINK("lehrer/physik/ph_k10_st07_generator_und_wechselspannung_orga.html","Vorbereitung öffnen")</x:f>
      </x:c>
    </x:row>
    <x:row r="79" ht="70" customHeight="1">
      <x:c r="A79" s="125" t="str">
        <x:v>Physik</x:v>
      </x:c>
      <x:c r="B79" s="126" t="n">
        <x:v>10</x:v>
      </x:c>
      <x:c r="C79" s="60" t="str">
        <x:v>Elektromagnetismus</x:v>
      </x:c>
      <x:c r="D79" s="126" t="n">
        <x:v>8</x:v>
      </x:c>
      <x:c r="E79" s="60" t="str">
        <x:v>Transformator und Stromverbundnetz</x:v>
      </x:c>
      <x:c r="F79" s="60" t="str">
        <x:v>vorstrukturierte Tabelle, Satzstarter und Hilfekarte.</x:v>
      </x:c>
      <x:c r="G79" s="60" t="str">
        <x:v>selbstständige Auswertung mit Fachbegriffen. Tabelle mit Hilfsformel; Erweiterung: Leitungsverluste qualitativ bewerten.</x:v>
      </x:c>
      <x:c r="H79" s="60" t="str">
        <x:v>Aufbau und Wirkungsweise des Transformators sowie Energieübertragung im Stromnetz erklären.</x:v>
      </x:c>
      <x:c r="I79" s="60" t="str">
        <x:v>LE: Niederspannungs-Transformator mit verschiedenen Windungszahlen.
SE: Spannungsverhältnis bei mehreren Spulenpaaren messen und vergleichen.</x:v>
      </x:c>
      <x:c r="J79" s="60" t="str">
        <x:v>Messwerterfassung hinter Gleichrichter und Spannungsteiler</x:v>
      </x:c>
      <x:c r="K79" s="60" t="str">
        <x:v>ph_k10_st08_transformator_und_stromverbundnetz</x:v>
      </x:c>
      <x:c r="L79" s="60" t="str">
        <x:v>https://raw.githubusercontent.com/burgnetz-wq/froebel/main/bilder/physik/045_transformator.jpg</x:v>
      </x:c>
      <x:c r="M79" s="158" t="e">
        <x:f>HYPERLINK("https://burgnetz-wq.github.io/froebel/physik/html/ph10_stunde_08_transformator_und_stromverbundnetz.html","Schüler-Modul öffnen")</x:f>
      </x:c>
      <x:c r="N79" s="159" t="e">
        <x:f>HYPERLINK("lehrer/physik/ph_k10_st08_transformator_und_stromverbundnetz_orga.html","Vorbereitung öffnen")</x:f>
      </x:c>
    </x:row>
    <x:row r="80" ht="70" customHeight="1">
      <x:c r="A80" s="125" t="str">
        <x:v>Physik</x:v>
      </x:c>
      <x:c r="B80" s="126" t="n">
        <x:v>10</x:v>
      </x:c>
      <x:c r="C80" s="60" t="str">
        <x:v>Mechanik</x:v>
      </x:c>
      <x:c r="D80" s="126" t="n">
        <x:v>9</x:v>
      </x:c>
      <x:c r="E80" s="60" t="str">
        <x:v>Bewegung, Bezugssystem, Weg, Zeit und Geschwindigkeit</x:v>
      </x:c>
      <x:c r="F80" s="60" t="str">
        <x:v>vorstrukturierte Tabelle, Satzstarter und Hilfekarte.</x:v>
      </x:c>
      <x:c r="G80" s="60" t="str">
        <x:v>selbstständige Auswertung mit Fachbegriffen. Formeldreieck; Erweiterung: relative Bewegung.</x:v>
      </x:c>
      <x:c r="H80" s="60" t="str">
        <x:v>Bewegung definieren; Weg, Zeit und Geschwindigkeit charakterisieren, messen und berechnen.</x:v>
      </x:c>
      <x:c r="I80" s="60" t="str">
        <x:v>LE: Spielzeugauto wird aus verschiedenen Bezugssystemen beobachtet.
SE: Weg-Zeit-Messung mit Maßband und Stoppuhr.</x:v>
      </x:c>
      <x:c r="J80" s="60" t="str">
        <x:v>Abstandsmessung mit HC-SR04</x:v>
      </x:c>
      <x:c r="K80" s="60" t="str">
        <x:v>ph_k10_st09_bewegung_bezugssystem_weg_zeit_und_geschwindigkeit</x:v>
      </x:c>
      <x:c r="L80" s="60" t="str">
        <x:v>https://raw.githubusercontent.com/burgnetz-wq/froebel/main/bilder/physik/023_gleichfoermige_bewegung.jpg</x:v>
      </x:c>
      <x:c r="M80" s="158" t="e">
        <x:f>HYPERLINK("https://burgnetz-wq.github.io/froebel/physik/html/ph10_stunde_09_bewegung_bezugssystem_weg_zeit_und_geschwindigkeit.html","Schüler-Modul öffnen")</x:f>
      </x:c>
      <x:c r="N80" s="159" t="e">
        <x:f>HYPERLINK("lehrer/physik/ph_k10_st09_bewegung_bezugssystem_weg_zeit_und_geschwindigkeit_orga.html","Vorbereitung öffnen")</x:f>
      </x:c>
    </x:row>
    <x:row r="81" ht="70" customHeight="1">
      <x:c r="A81" s="125" t="str">
        <x:v>Physik</x:v>
      </x:c>
      <x:c r="B81" s="126" t="n">
        <x:v>10</x:v>
      </x:c>
      <x:c r="C81" s="60" t="str">
        <x:v>Mechanik</x:v>
      </x:c>
      <x:c r="D81" s="126" t="n">
        <x:v>10</x:v>
      </x:c>
      <x:c r="E81" s="60" t="str">
        <x:v>Geradlinig gleichförmige Bewegung und Diagramme</x:v>
      </x:c>
      <x:c r="F81" s="60" t="str">
        <x:v>vorstrukturierte Tabelle, Satzstarter und Hilfekarte.</x:v>
      </x:c>
      <x:c r="G81" s="60" t="str">
        <x:v>selbstständige Auswertung mit Fachbegriffen. Vorstrukturierte Tabelle; Erweiterung: lineare Regression.</x:v>
      </x:c>
      <x:c r="H81" s="60" t="str">
        <x:v>Gleichförmige Bewegung mit Gleichung und s-t-/v-t-Diagramm beschreiben.</x:v>
      </x:c>
      <x:c r="I81" s="60" t="str">
        <x:v>LE: Motorwagen fährt mit nahezu konstanter Geschwindigkeit.
SE: Messreihe aufnehmen und aus Steigung die Geschwindigkeit bestimmen.</x:v>
      </x:c>
      <x:c r="J81" s="60" t="str">
        <x:v>Ultraschall-Datenlogger</x:v>
      </x:c>
      <x:c r="K81" s="60" t="str">
        <x:v>ph_k10_st10_geradlinig_gleichformige_bewegung_und_diagramme</x:v>
      </x:c>
      <x:c r="L81" s="60" t="str">
        <x:v>https://raw.githubusercontent.com/burgnetz-wq/froebel/main/bilder/physik/023_gleichfoermige_bewegung.jpg</x:v>
      </x:c>
      <x:c r="M81" s="158" t="e">
        <x:f>HYPERLINK("https://burgnetz-wq.github.io/froebel/physik/html/ph10_stunde_10_geradlinig_gleichfoermige_bewegung_und_diagramme.html","Schüler-Modul öffnen")</x:f>
      </x:c>
      <x:c r="N81" s="159" t="e">
        <x:f>HYPERLINK("lehrer/physik/ph_k10_st10_geradlinig_gleichformige_bewegung_und_diagramme_orga.html","Vorbereitung öffnen")</x:f>
      </x:c>
    </x:row>
    <x:row r="82" ht="70" customHeight="1">
      <x:c r="A82" s="125" t="str">
        <x:v>Physik</x:v>
      </x:c>
      <x:c r="B82" s="126" t="n">
        <x:v>10</x:v>
      </x:c>
      <x:c r="C82" s="60" t="str">
        <x:v>Mechanik</x:v>
      </x:c>
      <x:c r="D82" s="126" t="n">
        <x:v>11</x:v>
      </x:c>
      <x:c r="E82" s="60" t="str">
        <x:v>Geradlinig gleichmäßig beschleunigte Bewegung</x:v>
      </x:c>
      <x:c r="F82" s="60" t="str">
        <x:v>vorstrukturierte Tabelle, Satzstarter und Hilfekarte.</x:v>
      </x:c>
      <x:c r="G82" s="60" t="str">
        <x:v>selbstständige Auswertung mit Fachbegriffen. Vorgegebene Diagrammachsen; Erweiterung: a aus v-t-Steigung.</x:v>
      </x:c>
      <x:c r="H82" s="60" t="str">
        <x:v>Beschleunigte Bewegung in s-t- und v-t-Diagrammen beschreiben und interpretieren.</x:v>
      </x:c>
      <x:c r="I82" s="60" t="str">
        <x:v>LE: Wagen auf leicht geneigter Bahn.
SE: Messwerte aufnehmen, Geschwindigkeitsänderungen bestimmen und Diagramme vergleichen.</x:v>
      </x:c>
      <x:c r="J82" s="60" t="str">
        <x:v>Ultraschall-Datenlogger</x:v>
      </x:c>
      <x:c r="K82" s="60" t="str">
        <x:v>ph_k10_st11_geradlinig_gleichmaig_beschleunigte_bewegung</x:v>
      </x:c>
      <x:c r="L82" s="60" t="str">
        <x:v>https://raw.githubusercontent.com/burgnetz-wq/froebel/main/bilder/physik/023_gleichfoermige_bewegung.jpg</x:v>
      </x:c>
      <x:c r="M82" s="158" t="e">
        <x:f>HYPERLINK("https://burgnetz-wq.github.io/froebel/physik/html/ph10_stunde_11_geradlinig_gleichmaessig_beschleunigte_bewegung.html","Schüler-Modul öffnen")</x:f>
      </x:c>
      <x:c r="N82" s="159" t="e">
        <x:f>HYPERLINK("lehrer/physik/ph_k10_st11_geradlinig_gleichmaig_beschleunigte_bewegung_orga.html","Vorbereitung öffnen")</x:f>
      </x:c>
    </x:row>
    <x:row r="83" ht="70" customHeight="1">
      <x:c r="A83" s="125" t="str">
        <x:v>Physik</x:v>
      </x:c>
      <x:c r="B83" s="126" t="n">
        <x:v>10</x:v>
      </x:c>
      <x:c r="C83" s="60" t="str">
        <x:v>Mechanik</x:v>
      </x:c>
      <x:c r="D83" s="126" t="n">
        <x:v>12</x:v>
      </x:c>
      <x:c r="E83" s="60" t="str">
        <x:v>Freier Fall</x:v>
      </x:c>
      <x:c r="F83" s="60" t="str">
        <x:v>vorstrukturierte Tabelle, Satzstarter und Hilfekarte.</x:v>
      </x:c>
      <x:c r="G83" s="60" t="str">
        <x:v>selbstständige Auswertung mit Fachbegriffen. Vorgegebene Auswertungsformel; Erweiterung: Unsicherheit von g.</x:v>
      </x:c>
      <x:c r="H83" s="60" t="str">
        <x:v>Bewegungsgesetze auf den freien Fall anwenden und Diagramme interpretieren.</x:v>
      </x:c>
      <x:c r="I83" s="60" t="str">
        <x:v>LE: Fallkörper und Stroboskop-/Videoaufnahme.
SE: Fallzeit für verschiedene Höhen messen und auswerten.</x:v>
      </x:c>
      <x:c r="J83" s="60" t="str">
        <x:v>Lichtschranke mit Interrupt</x:v>
      </x:c>
      <x:c r="K83" s="60" t="str">
        <x:v>ph_k10_st12_freier_fall</x:v>
      </x:c>
      <x:c r="L83" s="60" t="str">
        <x:v>https://raw.githubusercontent.com/burgnetz-wq/froebel/main/bilder/physik/092_beschleunigung.jpg</x:v>
      </x:c>
      <x:c r="M83" s="158" t="e">
        <x:f>HYPERLINK("https://burgnetz-wq.github.io/froebel/physik/html/ph10_stunde_12_freier_fall.html","Schüler-Modul öffnen")</x:f>
      </x:c>
      <x:c r="N83" s="159" t="e">
        <x:f>HYPERLINK("lehrer/physik/ph_k10_st12_freier_fall_orga.html","Vorbereitung öffnen")</x:f>
      </x:c>
    </x:row>
    <x:row r="84" ht="70" customHeight="1">
      <x:c r="A84" s="125" t="str">
        <x:v>Physik</x:v>
      </x:c>
      <x:c r="B84" s="126" t="n">
        <x:v>10</x:v>
      </x:c>
      <x:c r="C84" s="60" t="str">
        <x:v>Mechanik</x:v>
      </x:c>
      <x:c r="D84" s="126" t="n">
        <x:v>13</x:v>
      </x:c>
      <x:c r="E84" s="60" t="str">
        <x:v>Erstes newtonsches Gesetz und Trägheit</x:v>
      </x:c>
      <x:c r="F84" s="60" t="str">
        <x:v>vorstrukturierte Tabelle, Satzstarter und Hilfekarte.</x:v>
      </x:c>
      <x:c r="G84" s="60" t="str">
        <x:v>selbstständige Auswertung mit Fachbegriffen. Satzstarter; Erweiterung: Bezug zum Sicherheitsgurt.</x:v>
      </x:c>
      <x:c r="H84" s="60" t="str">
        <x:v>Alltagsvorgänge mit dem Trägheitsgesetz erklären.</x:v>
      </x:c>
      <x:c r="I84" s="60" t="str">
        <x:v>LE: Tischtuch-/Münzexperiment und Wagen mit plötzlichem Stopp.
SE: Mehrere Trägheitsversuche durchführen und Ursache-Wirkungs-Sätze formulieren.</x:v>
      </x:c>
      <x:c r="J84" s="60" t="str">
        <x:v>nein</x:v>
      </x:c>
      <x:c r="K84" s="60" t="str">
        <x:v>ph_k10_st13_erstes_newtonsches_gesetz_und_tragheit</x:v>
      </x:c>
      <x:c r="L84" s="60" t="str">
        <x:v>https://raw.githubusercontent.com/burgnetz-wq/froebel/main/bilder/physik/024_newton_krafte.jpg</x:v>
      </x:c>
      <x:c r="M84" s="158" t="e">
        <x:f>HYPERLINK("https://burgnetz-wq.github.io/froebel/physik/html/ph10_stunde_13_erstes_newtonsches_gesetz_und_traegheit.html","Schüler-Modul öffnen")</x:f>
      </x:c>
      <x:c r="N84" s="159" t="e">
        <x:f>HYPERLINK("lehrer/physik/ph_k10_st13_erstes_newtonsches_gesetz_und_tragheit_orga.html","Vorbereitung öffnen")</x:f>
      </x:c>
    </x:row>
    <x:row r="85" ht="70" customHeight="1">
      <x:c r="A85" s="125" t="str">
        <x:v>Physik</x:v>
      </x:c>
      <x:c r="B85" s="126" t="n">
        <x:v>10</x:v>
      </x:c>
      <x:c r="C85" s="60" t="str">
        <x:v>Mechanik</x:v>
      </x:c>
      <x:c r="D85" s="126" t="n">
        <x:v>14</x:v>
      </x:c>
      <x:c r="E85" s="60" t="str">
        <x:v>Zweites newtonsches Gesetz: F = m · a</x:v>
      </x:c>
      <x:c r="F85" s="60" t="str">
        <x:v>vorstrukturierte Tabelle, Satzstarter und Hilfekarte.</x:v>
      </x:c>
      <x:c r="G85" s="60" t="str">
        <x:v>selbstständige Auswertung mit Fachbegriffen. Teilweise ausgefüllte Tabelle; Erweiterung: Proportionalitäten.</x:v>
      </x:c>
      <x:c r="H85" s="60" t="str">
        <x:v>Newtonsches Grundgesetz experimentell prüfen und zur Berechnung anwenden.</x:v>
      </x:c>
      <x:c r="I85" s="60" t="str">
        <x:v>LE: Wagen mit Zugkraft und veränderlicher Masse.
SE: Einfluss von Kraft und Masse auf die Beschleunigung untersuchen.</x:v>
      </x:c>
      <x:c r="J85" s="60" t="str">
        <x:v>Ultraschall plus optional Loadcell/HX711</x:v>
      </x:c>
      <x:c r="K85" s="60" t="str">
        <x:v>ph_k10_st14_zweites_newtonsches_gesetz_f_m_a</x:v>
      </x:c>
      <x:c r="L85" s="60" t="str">
        <x:v>https://raw.githubusercontent.com/burgnetz-wq/froebel/main/bilder/physik/024_newton_krafte.jpg</x:v>
      </x:c>
      <x:c r="M85" s="158" t="e">
        <x:f>HYPERLINK("https://burgnetz-wq.github.io/froebel/physik/html/ph10_stunde_14_zweites_newtonsches_gesetz_f_m_a.html","Schüler-Modul öffnen")</x:f>
      </x:c>
      <x:c r="N85" s="159" t="e">
        <x:f>HYPERLINK("lehrer/physik/ph_k10_st14_zweites_newtonsches_gesetz_f_m_a_orga.html","Vorbereitung öffnen")</x:f>
      </x:c>
    </x:row>
    <x:row r="86" ht="70" customHeight="1">
      <x:c r="A86" s="125" t="str">
        <x:v>Physik</x:v>
      </x:c>
      <x:c r="B86" s="126" t="n">
        <x:v>10</x:v>
      </x:c>
      <x:c r="C86" s="60" t="str">
        <x:v>Mechanik</x:v>
      </x:c>
      <x:c r="D86" s="126" t="n">
        <x:v>15</x:v>
      </x:c>
      <x:c r="E86" s="60" t="str">
        <x:v>Drittes newtonsches Gesetz: Actio und Reactio</x:v>
      </x:c>
      <x:c r="F86" s="60" t="str">
        <x:v>vorstrukturierte Tabelle, Satzstarter und Hilfekarte.</x:v>
      </x:c>
      <x:c r="G86" s="60" t="str">
        <x:v>selbstständige Auswertung mit Fachbegriffen. Pfeilvorlagen; Erweiterung: Kräfte an verschiedenen Körpern trennen.</x:v>
      </x:c>
      <x:c r="H86" s="60" t="str">
        <x:v>Wechselwirkungskräfte als gleich groß und entgegengesetzt gerichtet erklären.</x:v>
      </x:c>
      <x:c r="I86" s="60" t="str">
        <x:v>LE: Zwei gekoppelte Federkraftmesser bzw. Wagenstoß.
SE: Ballonrakete und Kraftpaar-Skizzen.</x:v>
      </x:c>
      <x:c r="J86" s="60" t="str">
        <x:v>zwei Kraftsensoren</x:v>
      </x:c>
      <x:c r="K86" s="60" t="str">
        <x:v>ph_k10_st15_drittes_newtonsches_gesetz_actio_und_reactio</x:v>
      </x:c>
      <x:c r="L86" s="60" t="str">
        <x:v>https://raw.githubusercontent.com/burgnetz-wq/froebel/main/bilder/physik/024_newton_krafte.jpg</x:v>
      </x:c>
      <x:c r="M86" s="158" t="e">
        <x:f>HYPERLINK("https://burgnetz-wq.github.io/froebel/physik/html/ph10_stunde_15_drittes_newtonsches_gesetz_actio_und_reactio.html","Schüler-Modul öffnen")</x:f>
      </x:c>
      <x:c r="N86" s="159" t="e">
        <x:f>HYPERLINK("lehrer/physik/ph_k10_st15_drittes_newtonsches_gesetz_actio_und_reactio_orga.html","Vorbereitung öffnen")</x:f>
      </x:c>
    </x:row>
    <x:row r="87" ht="70" customHeight="1">
      <x:c r="A87" s="125" t="str">
        <x:v>Physik</x:v>
      </x:c>
      <x:c r="B87" s="126" t="n">
        <x:v>10</x:v>
      </x:c>
      <x:c r="C87" s="60" t="str">
        <x:v>Mechanik</x:v>
      </x:c>
      <x:c r="D87" s="126" t="n">
        <x:v>16</x:v>
      </x:c>
      <x:c r="E87" s="60" t="str">
        <x:v>Gravitation, Gewichtskraft und Planetenbewegung</x:v>
      </x:c>
      <x:c r="F87" s="60" t="str">
        <x:v>vorstrukturierte Tabelle, Satzstarter und Hilfekarte.</x:v>
      </x:c>
      <x:c r="G87" s="60" t="str">
        <x:v>selbstständige Auswertung mit Fachbegriffen. Rechentabelle; Erweiterung: g aus M und r.</x:v>
      </x:c>
      <x:c r="H87" s="60" t="str">
        <x:v>Gravitation beschreiben und Beispiele wie Gewichtskraft, Gezeiten und Planetenbewegung erklären.</x:v>
      </x:c>
      <x:c r="I87" s="60" t="str">
        <x:v>LE: Orbit-/Gravitationstrichter als qualitatives Modell.
SE: Gewichtskräfte auf Erde, Mond und Planeten berechnen; Modellgrenzen diskutieren.</x:v>
      </x:c>
      <x:c r="J87" s="60" t="str">
        <x:v>nein</x:v>
      </x:c>
      <x:c r="K87" s="60" t="str">
        <x:v>ph_k10_st16_gravitation_gewichtskraft_und_planetenbewegung</x:v>
      </x:c>
      <x:c r="L87" s="60" t="str">
        <x:v>https://raw.githubusercontent.com/burgnetz-wq/froebel/main/bilder/physik/004_sonnensystem.jpg</x:v>
      </x:c>
      <x:c r="M87" s="158" t="e">
        <x:f>HYPERLINK("https://burgnetz-wq.github.io/froebel/physik/html/ph10_stunde_16_gravitation_gewichtskraft_und_planetenbewegung.html","Schüler-Modul öffnen")</x:f>
      </x:c>
      <x:c r="N87" s="159" t="e">
        <x:f>HYPERLINK("lehrer/physik/ph_k10_st16_gravitation_gewichtskraft_und_planetenbewegung_orga.html","Vorbereitung öffnen")</x:f>
      </x:c>
    </x:row>
    <x:row r="88" ht="70" customHeight="1">
      <x:c r="A88" s="125" t="str">
        <x:v>Physik</x:v>
      </x:c>
      <x:c r="B88" s="126" t="n">
        <x:v>10</x:v>
      </x:c>
      <x:c r="C88" s="60" t="str">
        <x:v>Mechanik</x:v>
      </x:c>
      <x:c r="D88" s="126" t="n">
        <x:v>17</x:v>
      </x:c>
      <x:c r="E88" s="60" t="str">
        <x:v>Gleichförmige Kreisbewegung</x:v>
      </x:c>
      <x:c r="F88" s="60" t="str">
        <x:v>vorstrukturierte Tabelle, Satzstarter und Hilfekarte.</x:v>
      </x:c>
      <x:c r="G88" s="60" t="str">
        <x:v>selbstständige Auswertung mit Fachbegriffen. Rechenschritte; Erweiterung: Einfluss des Radius.</x:v>
      </x:c>
      <x:c r="H88" s="60" t="str">
        <x:v>Kreisbewegung mit Bahngeschwindigkeit, Umlaufzeit und Drehzahl beschreiben.</x:v>
      </x:c>
      <x:c r="I88" s="60" t="str">
        <x:v>LE: Rotierender Körper mit sichtbarer Umlaufbahn.
SE: Umlaufzeit messen und Bahngeschwindigkeit berechnen.</x:v>
      </x:c>
      <x:c r="J88" s="60" t="str">
        <x:v>Drehzahlmessung mit Hall-Sensor</x:v>
      </x:c>
      <x:c r="K88" s="60" t="str">
        <x:v>ph_k10_st17_gleichformige_kreisbewegung</x:v>
      </x:c>
      <x:c r="L88" s="60" t="str">
        <x:v>https://raw.githubusercontent.com/burgnetz-wq/froebel/main/bilder/physik/023_gleichfoermige_bewegung.jpg</x:v>
      </x:c>
      <x:c r="M88" s="158" t="e">
        <x:f>HYPERLINK("https://burgnetz-wq.github.io/froebel/physik/html/ph10_stunde_17_gleichfoermige_kreisbewegung.html","Schüler-Modul öffnen")</x:f>
      </x:c>
      <x:c r="N88" s="159" t="e">
        <x:f>HYPERLINK("lehrer/physik/ph_k10_st17_gleichformige_kreisbewegung_orga.html","Vorbereitung öffnen")</x:f>
      </x:c>
    </x:row>
    <x:row r="89" ht="70" customHeight="1">
      <x:c r="A89" s="125" t="str">
        <x:v>Physik</x:v>
      </x:c>
      <x:c r="B89" s="126" t="n">
        <x:v>10</x:v>
      </x:c>
      <x:c r="C89" s="60" t="str">
        <x:v>Mechanik</x:v>
      </x:c>
      <x:c r="D89" s="126" t="n">
        <x:v>18</x:v>
      </x:c>
      <x:c r="E89" s="60" t="str">
        <x:v>Schwingungen und ihre Kenngrößen</x:v>
      </x:c>
      <x:c r="F89" s="60" t="str">
        <x:v>vorstrukturierte Tabelle, Satzstarter und Hilfekarte.</x:v>
      </x:c>
      <x:c r="G89" s="60" t="str">
        <x:v>selbstständige Auswertung mit Fachbegriffen. Markierte Kurven; Erweiterung: Phasenlage.</x:v>
      </x:c>
      <x:c r="H89" s="60" t="str">
        <x:v>Schwingungen als periodische Bewegungen mit Amplitude, Periodendauer und Frequenz beschreiben.</x:v>
      </x:c>
      <x:c r="I89" s="60" t="str">
        <x:v>LE: Federpendel und Fadenpendel im Vergleich.
SE: Amplitude, Periodendauer und Frequenz an mehreren Systemen bestimmen.</x:v>
      </x:c>
      <x:c r="J89" s="60" t="str">
        <x:v>Abstandssensor zeichnet Schwingung auf</x:v>
      </x:c>
      <x:c r="K89" s="60" t="str">
        <x:v>ph_k10_st18_schwingungen_und_ihre_kenngroen</x:v>
      </x:c>
      <x:c r="L89" s="60" t="str">
        <x:v>https://raw.githubusercontent.com/burgnetz-wq/froebel/main/bilder/physik/094_schwingung_welle.jpg</x:v>
      </x:c>
      <x:c r="M89" s="158" t="e">
        <x:f>HYPERLINK("https://burgnetz-wq.github.io/froebel/physik/html/ph10_stunde_18_schwingungen_und_ihre_kenngroessen.html","Schüler-Modul öffnen")</x:f>
      </x:c>
      <x:c r="N89" s="159" t="e">
        <x:f>HYPERLINK("lehrer/physik/ph_k10_st18_schwingungen_und_ihre_kenngroen_orga.html","Vorbereitung öffnen")</x:f>
      </x:c>
    </x:row>
    <x:row r="90" ht="70" customHeight="1">
      <x:c r="A90" s="125" t="str">
        <x:v>Physik</x:v>
      </x:c>
      <x:c r="B90" s="126" t="n">
        <x:v>10</x:v>
      </x:c>
      <x:c r="C90" s="60" t="str">
        <x:v>Mechanik</x:v>
      </x:c>
      <x:c r="D90" s="126" t="n">
        <x:v>19</x:v>
      </x:c>
      <x:c r="E90" s="60" t="str">
        <x:v>Schwingungsdauer des Fadenpendels</x:v>
      </x:c>
      <x:c r="F90" s="60" t="str">
        <x:v>vorstrukturierte Tabelle, Satzstarter und Hilfekarte.</x:v>
      </x:c>
      <x:c r="G90" s="60" t="str">
        <x:v>selbstständige Auswertung mit Fachbegriffen. Vorgegebene Variablenkontrolle; Erweiterung: T² gegen l.</x:v>
      </x:c>
      <x:c r="H90" s="60" t="str">
        <x:v>Abhängigkeit der Schwingungsdauer experimentell untersuchen und Messfehler betrachten.</x:v>
      </x:c>
      <x:c r="I90" s="60" t="str">
        <x:v>LE: Pendel mit deutlich verschiedenen Längen.
SE: Messreihe T(l) aufnehmen; Einfluss von Masse und Auslenkung prüfen.</x:v>
      </x:c>
      <x:c r="J90" s="60" t="str">
        <x:v>IR-Lichtschranke misst Periodendauer</x:v>
      </x:c>
      <x:c r="K90" s="60" t="str">
        <x:v>ph_k10_st19_schwingungsdauer_des_fadenpendels</x:v>
      </x:c>
      <x:c r="L90" s="60" t="str">
        <x:v>https://raw.githubusercontent.com/burgnetz-wq/froebel/main/bilder/physik/094_schwingung_welle.jpg</x:v>
      </x:c>
      <x:c r="M90" s="158" t="e">
        <x:f>HYPERLINK("https://burgnetz-wq.github.io/froebel/physik/html/ph10_stunde_19_schwingungsdauer_des_fadenpendels.html","Schüler-Modul öffnen")</x:f>
      </x:c>
      <x:c r="N90" s="159" t="e">
        <x:f>HYPERLINK("lehrer/physik/ph_k10_st19_schwingungsdauer_des_fadenpendels_orga.html","Vorbereitung öffnen")</x:f>
      </x:c>
    </x:row>
    <x:row r="91" ht="70" customHeight="1">
      <x:c r="A91" s="125" t="str">
        <x:v>Physik</x:v>
      </x:c>
      <x:c r="B91" s="126" t="n">
        <x:v>10</x:v>
      </x:c>
      <x:c r="C91" s="60" t="str">
        <x:v>Mechanik</x:v>
      </x:c>
      <x:c r="D91" s="126" t="n">
        <x:v>20</x:v>
      </x:c>
      <x:c r="E91" s="60" t="str">
        <x:v>Wellen als Ausbreitung von Schwingungen</x:v>
      </x:c>
      <x:c r="F91" s="60" t="str">
        <x:v>vorstrukturierte Tabelle, Satzstarter und Hilfekarte.</x:v>
      </x:c>
      <x:c r="G91" s="60" t="str">
        <x:v>selbstständige Auswertung mit Fachbegriffen. Begriffskarten; Erweiterung: v=λf.</x:v>
      </x:c>
      <x:c r="H91" s="60" t="str">
        <x:v>Wellen mit Wellenlänge, Frequenz und Ausbreitungsgeschwindigkeit beschreiben; Energieübertragung erklären.</x:v>
      </x:c>
      <x:c r="I91" s="60" t="str">
        <x:v>LE: Slinky- und Wasserwellen-Demonstration.
SE: Transversal- und Longitudinalwellen erzeugen, messen und vergleichen.</x:v>
      </x:c>
      <x:c r="J91" s="60" t="str">
        <x:v>nein</x:v>
      </x:c>
      <x:c r="K91" s="60" t="str">
        <x:v>ph_k10_st20_wellen_als_ausbreitung_von_schwingungen</x:v>
      </x:c>
      <x:c r="L91" s="60" t="str">
        <x:v>https://raw.githubusercontent.com/burgnetz-wq/froebel/main/bilder/physik/094_schwingung_welle.jpg</x:v>
      </x:c>
      <x:c r="M91" s="158" t="e">
        <x:f>HYPERLINK("https://burgnetz-wq.github.io/froebel/physik/html/ph10_stunde_20_wellen_als_ausbreitung_von_schwingungen.html","Schüler-Modul öffnen")</x:f>
      </x:c>
      <x:c r="N91" s="159" t="e">
        <x:f>HYPERLINK("lehrer/physik/ph_k10_st20_wellen_als_ausbreitung_von_schwingungen_orga.html","Vorbereitung öffnen")</x:f>
      </x:c>
    </x:row>
    <x:row r="92" ht="70" customHeight="1">
      <x:c r="A92" s="125" t="str">
        <x:v>Physik</x:v>
      </x:c>
      <x:c r="B92" s="126" t="n">
        <x:v>10</x:v>
      </x:c>
      <x:c r="C92" s="60" t="str">
        <x:v>Mechanik</x:v>
      </x:c>
      <x:c r="D92" s="126" t="n">
        <x:v>21</x:v>
      </x:c>
      <x:c r="E92" s="60" t="str">
        <x:v>Schall, Frequenz, Tonhöhe und Lärmschutz</x:v>
      </x:c>
      <x:c r="F92" s="60" t="str">
        <x:v>vorstrukturierte Tabelle, Satzstarter und Hilfekarte.</x:v>
      </x:c>
      <x:c r="G92" s="60" t="str">
        <x:v>selbstständige Auswertung mit Fachbegriffen. Vorgegebene Frequenzbereiche; Erweiterung: Abtastrate und Aliasing.</x:v>
      </x:c>
      <x:c r="H92" s="60" t="str">
        <x:v>Schall als Welle beschreiben, Frequenz und Tonhöhe verknüpfen und Lärmschutz bewerten.</x:v>
      </x:c>
      <x:c r="I92" s="60" t="str">
        <x:v>LE: Frequenzgenerator/Lautsprecher und Stimmgabeln.
SE: Töne erzeugen, Frequenzen vergleichen und relative Schallpegel im Raum untersuchen.</x:v>
      </x:c>
      <x:c r="J92" s="60" t="str">
        <x:v>Piezo-Ausgabe und Mikrofonmodul</x:v>
      </x:c>
      <x:c r="K92" s="60" t="str">
        <x:v>ph_k10_st21_schall_frequenz_tonhohe_und_larmschutz</x:v>
      </x:c>
      <x:c r="L92" s="60" t="str">
        <x:v>https://raw.githubusercontent.com/burgnetz-wq/froebel/main/bilder/physik/031_schall_wellen.jpg</x:v>
      </x:c>
      <x:c r="M92" s="158" t="e">
        <x:f>HYPERLINK("https://burgnetz-wq.github.io/froebel/physik/html/ph10_stunde_21_schall_frequenz_tonhoehe_und_laermschutz.html","Schüler-Modul öffnen")</x:f>
      </x:c>
      <x:c r="N92" s="159" t="e">
        <x:f>HYPERLINK("lehrer/physik/ph_k10_st21_schall_frequenz_tonhohe_und_larmschutz_orga.html","Vorbereitung öffnen")</x:f>
      </x:c>
    </x:row>
    <x:row r="93" ht="70" customHeight="1">
      <x:c r="A93" s="125" t="str">
        <x:v>Physik</x:v>
      </x:c>
      <x:c r="B93" s="126" t="n">
        <x:v>10</x:v>
      </x:c>
      <x:c r="C93" s="60" t="str">
        <x:v>Mechanik</x:v>
      </x:c>
      <x:c r="D93" s="126" t="n">
        <x:v>22</x:v>
      </x:c>
      <x:c r="E93" s="60" t="str">
        <x:v>Arbeit, Energieformen und Energie als Zustandsgröße</x:v>
      </x:c>
      <x:c r="F93" s="60" t="str">
        <x:v>vorstrukturierte Tabelle, Satzstarter und Hilfekarte.</x:v>
      </x:c>
      <x:c r="G93" s="60" t="str">
        <x:v>selbstständige Auswertung mit Fachbegriffen. Formelhilfe; Erweiterung: Arbeit aus F-s-Diagramm.</x:v>
      </x:c>
      <x:c r="H93" s="60" t="str">
        <x:v>Arbeit und Energie verknüpfen; Energieformen benennen und Beispielen zuordnen.</x:v>
      </x:c>
      <x:c r="I93" s="60" t="str">
        <x:v>LE: Wagen wird auf verschiedene Höhen gezogen.
SE: Hubarbeit messen/berechnen und Energieformen in Prozessketten identifizieren.</x:v>
      </x:c>
      <x:c r="J93" s="60" t="str">
        <x:v>Kraftsensor und Wegsensor</x:v>
      </x:c>
      <x:c r="K93" s="60" t="str">
        <x:v>ph_k10_st22_arbeit_energieformen_und_energie_als_zustandsgroe</x:v>
      </x:c>
      <x:c r="L93" s="60" t="str">
        <x:v>https://raw.githubusercontent.com/burgnetz-wq/froebel/main/bilder/physik/038_arbeit_leistung.jpg</x:v>
      </x:c>
      <x:c r="M93" s="158" t="e">
        <x:f>HYPERLINK("https://burgnetz-wq.github.io/froebel/physik/html/ph10_stunde_22_arbeit_energieformen_und_energie_als_zustandsgroesse.html","Schüler-Modul öffnen")</x:f>
      </x:c>
      <x:c r="N93" s="159" t="e">
        <x:f>HYPERLINK("lehrer/physik/ph_k10_st22_arbeit_energieformen_und_energie_als_zustandsgroe_orga.html","Vorbereitung öffnen")</x:f>
      </x:c>
    </x:row>
    <x:row r="94" ht="70" customHeight="1">
      <x:c r="A94" s="125" t="str">
        <x:v>Physik</x:v>
      </x:c>
      <x:c r="B94" s="126" t="n">
        <x:v>10</x:v>
      </x:c>
      <x:c r="C94" s="60" t="str">
        <x:v>Mechanik</x:v>
      </x:c>
      <x:c r="D94" s="126" t="n">
        <x:v>23</x:v>
      </x:c>
      <x:c r="E94" s="60" t="str">
        <x:v>Allgemeiner Energieerhaltungssatz</x:v>
      </x:c>
      <x:c r="F94" s="60" t="str">
        <x:v>vorstrukturierte Tabelle, Satzstarter und Hilfekarte.</x:v>
      </x:c>
      <x:c r="G94" s="60" t="str">
        <x:v>selbstständige Auswertung mit Fachbegriffen. Vorgegebene Energiepfeile; Erweiterung: dissipierte Energie.</x:v>
      </x:c>
      <x:c r="H94" s="60" t="str">
        <x:v>Energieumwandlung, -übertragung und -speicherung beschreiben und Energieerhaltung anwenden.</x:v>
      </x:c>
      <x:c r="I94" s="60" t="str">
        <x:v>LE: Pendel oder Kugelbahn mit mehreren Energieformen.
SE: Energieflussdiagramm für eine Kugelbahn erstellen und Messwerte vergleichen.</x:v>
      </x:c>
      <x:c r="J94" s="60" t="str">
        <x:v>Ultraschall-/Lichtschranken-Datenlogger</x:v>
      </x:c>
      <x:c r="K94" s="60" t="str">
        <x:v>ph_k10_st23_allgemeiner_energieerhaltungssatz</x:v>
      </x:c>
      <x:c r="L94" s="60" t="str">
        <x:v>https://raw.githubusercontent.com/burgnetz-wq/froebel/main/bilder/physik/036_energie_formen.jpg</x:v>
      </x:c>
      <x:c r="M94" s="158" t="e">
        <x:f>HYPERLINK("https://burgnetz-wq.github.io/froebel/physik/html/ph10_stunde_23_allgemeiner_energieerhaltungssatz.html","Schüler-Modul öffnen")</x:f>
      </x:c>
      <x:c r="N94" s="159" t="e">
        <x:f>HYPERLINK("lehrer/physik/ph_k10_st23_allgemeiner_energieerhaltungssatz_orga.html","Vorbereitung öffnen")</x:f>
      </x:c>
    </x:row>
    <x:row r="95" ht="70" customHeight="1">
      <x:c r="A95" s="125" t="str">
        <x:v>Physik</x:v>
      </x:c>
      <x:c r="B95" s="126" t="n">
        <x:v>10</x:v>
      </x:c>
      <x:c r="C95" s="60" t="str">
        <x:v>Mechanik</x:v>
      </x:c>
      <x:c r="D95" s="126" t="n">
        <x:v>24</x:v>
      </x:c>
      <x:c r="E95" s="60" t="str">
        <x:v>Wirkungsgrad und Versorgung mit elektrischer Energie</x:v>
      </x:c>
      <x:c r="F95" s="60" t="str">
        <x:v>vorstrukturierte Tabelle, Satzstarter und Hilfekarte.</x:v>
      </x:c>
      <x:c r="G95" s="60" t="str">
        <x:v>selbstständige Auswertung mit Fachbegriffen. Berechnungsschablone; Erweiterung: Unsicherheit und Systemgrenzen.</x:v>
      </x:c>
      <x:c r="H95" s="60" t="str">
        <x:v>Wirkungsgrad beschreiben/berechnen und Energieversorgung sachlich bewerten.</x:v>
      </x:c>
      <x:c r="I95" s="60" t="str">
        <x:v>LE: Motor treibt Generator; Eingangs- und Ausgangsleistung werden verglichen.
SE: Kleinverbraucher oder Solarzelle messen und Wirkungsgrad bzw. Nutzanteil bestimmen.</x:v>
      </x:c>
      <x:c r="J95" s="60" t="str">
        <x:v>Strom-/Spannungsmessung mit INA219</x:v>
      </x:c>
      <x:c r="K95" s="60" t="str">
        <x:v>ph_k10_st24_wirkungsgrad_und_versorgung_mit_elektrischer_energie</x:v>
      </x:c>
      <x:c r="L95" s="60" t="str">
        <x:v>https://raw.githubusercontent.com/burgnetz-wq/froebel/main/bilder/physik/064_elektrische_energie.jpg</x:v>
      </x:c>
      <x:c r="M95" s="158" t="e">
        <x:f>HYPERLINK("https://burgnetz-wq.github.io/froebel/physik/html/ph10_stunde_24_wirkungsgrad_und_versorgung_mit_elektrischer_energie.html","Schüler-Modul öffnen")</x:f>
      </x:c>
      <x:c r="N95" s="159" t="e">
        <x:f>HYPERLINK("lehrer/physik/ph_k10_st24_wirkungsgrad_und_versorgung_mit_elektrischer_energie_orga.html","Vorbereitung öffnen")</x:f>
      </x:c>
    </x:row>
    <x:row r="96" ht="70" customHeight="1">
      <x:c r="A96" s="125" t="str">
        <x:v>Physik</x:v>
      </x:c>
      <x:c r="B96" s="126" t="n">
        <x:v>10</x:v>
      </x:c>
      <x:c r="C96" s="60" t="str">
        <x:v>Atomphysik</x:v>
      </x:c>
      <x:c r="D96" s="126" t="n">
        <x:v>25</x:v>
      </x:c>
      <x:c r="E96" s="60" t="str">
        <x:v>Atomkern und Nuklidschreibweise</x:v>
      </x:c>
      <x:c r="F96" s="60" t="str">
        <x:v>vorstrukturierte Tabelle, Satzstarter und Hilfekarte.</x:v>
      </x:c>
      <x:c r="G96" s="60" t="str">
        <x:v>selbstständige Auswertung mit Fachbegriffen. Farbcodierte Karten; Erweiterung: Massendefekt qualitativ.</x:v>
      </x:c>
      <x:c r="H96" s="60" t="str">
        <x:v>Protonen und Neutronen unterscheiden und Atomkerne in Symbolschreibweise bestimmen.</x:v>
      </x:c>
      <x:c r="I96" s="60" t="str">
        <x:v>LE: Kernmodell mit austauschbaren Protonen/Neutronen.
SE: Nuklide aus Karten bauen, Isotope vergleichen und Symbolschreibweise üben.</x:v>
      </x:c>
      <x:c r="J96" s="60" t="str">
        <x:v>nein</x:v>
      </x:c>
      <x:c r="K96" s="60" t="str">
        <x:v>ph_k10_st25_atomkern_und_nuklidschreibweise</x:v>
      </x:c>
      <x:c r="L96" s="60" t="str">
        <x:v>https://raw.githubusercontent.com/burgnetz-wq/froebel/main/bilder/physik/042_radioaktivitaet.jpg</x:v>
      </x:c>
      <x:c r="M96" s="158" t="e">
        <x:f>HYPERLINK("https://burgnetz-wq.github.io/froebel/physik/html/ph10_stunde_25_atomkern_und_nuklidschreibweise.html","Schüler-Modul öffnen")</x:f>
      </x:c>
      <x:c r="N96" s="159" t="e">
        <x:f>HYPERLINK("lehrer/physik/ph_k10_st25_atomkern_und_nuklidschreibweise_orga.html","Vorbereitung öffnen")</x:f>
      </x:c>
    </x:row>
    <x:row r="97" ht="70" customHeight="1">
      <x:c r="A97" s="125" t="str">
        <x:v>Physik</x:v>
      </x:c>
      <x:c r="B97" s="126" t="n">
        <x:v>10</x:v>
      </x:c>
      <x:c r="C97" s="60" t="str">
        <x:v>Atomphysik</x:v>
      </x:c>
      <x:c r="D97" s="126" t="n">
        <x:v>26</x:v>
      </x:c>
      <x:c r="E97" s="60" t="str">
        <x:v>α-, β- und γ-Strahlung: Eigenschaften, Nachweis und Abschirmung</x:v>
      </x:c>
      <x:c r="F97" s="60" t="str">
        <x:v>vorstrukturierte Tabelle, Satzstarter und Hilfekarte.</x:v>
      </x:c>
      <x:c r="G97" s="60" t="str">
        <x:v>selbstständige Auswertung mit Fachbegriffen. Tabelle mit Auswahlfeldern; Erweiterung: Modellgrenzen der Lichtanalogie.</x:v>
      </x:c>
      <x:c r="H97" s="60" t="str">
        <x:v>Strahlungsarten unterscheiden, Nachweisverfahren nennen und Strahlenschutzmaßnahmen ableiten.</x:v>
      </x:c>
      <x:c r="I97" s="60" t="str">
        <x:v>LE: Nur zugelassenes Demonstrationsgerät bzw. Video/Cloud-Chamber-Aufnahme; Lichtanalogie für Abschirmung.
SE: Eigenschaftskarten zuordnen und Lichtabsorption durch Materialien als Modell untersuchen.</x:v>
      </x:c>
      <x:c r="J97" s="60" t="str">
        <x:v>LDR/Photodiode als sicheres Abschirmungsmodell</x:v>
      </x:c>
      <x:c r="K97" s="60" t="str">
        <x:v>ph_k10_st26_und_strahlung_eigenschaften_nachweis_und_abschirmung</x:v>
      </x:c>
      <x:c r="L97" s="60" t="str">
        <x:v>https://raw.githubusercontent.com/burgnetz-wq/froebel/main/bilder/physik/042_radioaktivitaet.jpg</x:v>
      </x:c>
      <x:c r="M97" s="158" t="e">
        <x:f>HYPERLINK("https://burgnetz-wq.github.io/froebel/physik/html/ph10_stunde_26_und_strahlung_eigenschaften_nachweis_und_abschirmung.html","Schüler-Modul öffnen")</x:f>
      </x:c>
      <x:c r="N97" s="159" t="e">
        <x:f>HYPERLINK("lehrer/physik/ph_k10_st26_und_strahlung_eigenschaften_nachweis_und_abschirmung_orga.html","Vorbereitung öffnen")</x:f>
      </x:c>
    </x:row>
    <x:row r="98" ht="70" customHeight="1">
      <x:c r="A98" s="125" t="str">
        <x:v>Physik</x:v>
      </x:c>
      <x:c r="B98" s="126" t="n">
        <x:v>10</x:v>
      </x:c>
      <x:c r="C98" s="60" t="str">
        <x:v>Atomphysik</x:v>
      </x:c>
      <x:c r="D98" s="126" t="n">
        <x:v>27</x:v>
      </x:c>
      <x:c r="E98" s="60" t="str">
        <x:v>Radioaktiver Zerfall und Halbwertszeit</x:v>
      </x:c>
      <x:c r="F98" s="60" t="str">
        <x:v>vorstrukturierte Tabelle, Satzstarter und Hilfekarte.</x:v>
      </x:c>
      <x:c r="G98" s="60" t="str">
        <x:v>selbstständige Auswertung mit Fachbegriffen. Vorbereitete Achsen; Erweiterung: exponentielle Modellfunktion.</x:v>
      </x:c>
      <x:c r="H98" s="60" t="str">
        <x:v>Kernumwandlung beschreiben und Halbwertszeit definieren.</x:v>
      </x:c>
      <x:c r="I98" s="60" t="str">
        <x:v>LE: Zerfall mit vielen Münzen/Würfeln demonstrieren.
SE: Würfelzerfall in Gruppen durchführen, Werte auftragen und Halbwertszeit abschätzen.</x:v>
      </x:c>
      <x:c r="J98" s="60" t="str">
        <x:v>Arduino-Zufallssimulation als Vergleich</x:v>
      </x:c>
      <x:c r="K98" s="60" t="str">
        <x:v>ph_k10_st27_radioaktiver_zerfall_und_halbwertszeit</x:v>
      </x:c>
      <x:c r="L98" s="60" t="str">
        <x:v>https://raw.githubusercontent.com/burgnetz-wq/froebel/main/bilder/physik/042_radioaktivitaet.jpg</x:v>
      </x:c>
      <x:c r="M98" s="158" t="e">
        <x:f>HYPERLINK("https://burgnetz-wq.github.io/froebel/physik/html/ph10_stunde_27_radioaktiver_zerfall_und_halbwertszeit.html","Schüler-Modul öffnen")</x:f>
      </x:c>
      <x:c r="N98" s="159" t="e">
        <x:f>HYPERLINK("lehrer/physik/ph_k10_st27_radioaktiver_zerfall_und_halbwertszeit_orga.html","Vorbereitung öffnen")</x:f>
      </x:c>
    </x:row>
    <x:row r="99" ht="70" customHeight="1">
      <x:c r="A99" s="127" t="str">
        <x:v>Physik</x:v>
      </x:c>
      <x:c r="B99" s="128" t="n">
        <x:v>10</x:v>
      </x:c>
      <x:c r="C99" s="63" t="str">
        <x:v>Atomphysik</x:v>
      </x:c>
      <x:c r="D99" s="128" t="n">
        <x:v>28</x:v>
      </x:c>
      <x:c r="E99" s="63" t="str">
        <x:v>Anwendungen, Strahlenschutz, Kernspaltung und Kernfusion</x:v>
      </x:c>
      <x:c r="F99" s="63" t="str">
        <x:v>vorstrukturierte Tabelle, Satzstarter und Hilfekarte.</x:v>
      </x:c>
      <x:c r="G99" s="63" t="str">
        <x:v>selbstständige Auswertung mit Fachbegriffen. Pro-/Contra-Karten; Erweiterung: Kriteriengewichtung.</x:v>
      </x:c>
      <x:c r="H99" s="63" t="str">
        <x:v>Anwendungen von Radionukliden beschreiben, Strahlenschutz bewerten und begründet Stellung beziehen.</x:v>
      </x:c>
      <x:c r="I99" s="63" t="str">
        <x:v>LE: Abstandsgesetz als Lichtmodell; Dosisreduktion durch Abstand und Abschirmung.
SE: Stationenlernen Medizin/Technik/Energie; abschließende strukturierte Diskussion.</x:v>
      </x:c>
      <x:c r="J99" s="63" t="str">
        <x:v>LDR-Datenlogger für Abstandsgesetz-Modell</x:v>
      </x:c>
      <x:c r="K99" s="63" t="str">
        <x:v>ph_k10_st28_anwendungen_strahlenschutz_kernspaltung_und_kernfusion</x:v>
      </x:c>
      <x:c r="L99" s="63" t="str">
        <x:v>https://raw.githubusercontent.com/burgnetz-wq/froebel/main/bilder/physik/054_sonne_aufbau.jpg</x:v>
      </x:c>
      <x:c r="M99" s="160" t="e">
        <x:f>HYPERLINK("https://burgnetz-wq.github.io/froebel/physik/html/ph10_stunde_28_anwendungen_strahlenschutz_kernspaltung_und_kernfusion.html","Schüler-Modul öffnen")</x:f>
      </x:c>
      <x:c r="N99" s="161" t="e">
        <x:f>HYPERLINK("lehrer/physik/ph_k10_st28_anwendungen_strahlenschutz_kernspaltung_und_kernfusion_orga.html","Vorbereitung öffnen")</x:f>
      </x:c>
    </x:row>
  </x:sheetData>
  <x:mergeCells>
    <x:mergeCell ref="A1:N1"/>
    <x:mergeCell ref="A2:N2"/>
  </x:mergeCells>
  <x:pageMargins left="0.7" right="0.7" top="0.75" bottom="0.75" header="0.3" footer="0.3"/>
  <x:tableParts count="1">
    <x:tablePart xmlns:r="http://schemas.openxmlformats.org/officeDocument/2006/relationships" r:id="R8f9586a887be459a"/>
  </x:tableParts>
</x:worksheet>
</file>

<file path=xl/worksheets/sheet3.xml><?xml version="1.0" encoding="utf-8"?>
<x:worksheet xmlns:x="http://schemas.openxmlformats.org/spreadsheetml/2006/main">
  <x:sheetFormatPr defaultRowHeight="15"/>
  <x:cols>
    <x:col min="1" max="1" width="13" hidden="0" customWidth="1"/>
    <x:col min="2" max="2" width="9" hidden="0" customWidth="1"/>
    <x:col min="3" max="3" width="26" hidden="0" customWidth="1"/>
    <x:col min="4" max="4" width="9" hidden="0" customWidth="1"/>
    <x:col min="5" max="5" width="42" hidden="0" customWidth="1"/>
    <x:col min="6" max="6" width="42" hidden="0" customWidth="1"/>
    <x:col min="7" max="7" width="45" hidden="0" customWidth="1"/>
    <x:col min="8" max="8" width="44" hidden="0" customWidth="1"/>
    <x:col min="9" max="9" width="50" hidden="0" customWidth="1"/>
    <x:col min="10" max="10" width="36" hidden="0" customWidth="1"/>
    <x:col min="11" max="11" width="42" hidden="0" customWidth="1"/>
    <x:col min="12" max="12" width="52" hidden="0" customWidth="1"/>
    <x:col min="13" max="13" width="22" hidden="0" customWidth="1"/>
    <x:col min="14" max="14" width="24" hidden="0" customWidth="1"/>
  </x:cols>
  <x:sheetData>
    <x:row r="1" ht="34" customHeight="1">
      <x:c r="A1" s="111" t="str">
        <x:v>Physik Klasse 7 – kombinierter Stoffverteilungsplan HSA/RSA</x:v>
      </x:c>
      <x:c r="B1" s="111"/>
      <x:c r="C1" s="111"/>
      <x:c r="D1" s="111"/>
      <x:c r="E1" s="111"/>
      <x:c r="F1" s="111"/>
      <x:c r="G1" s="111"/>
      <x:c r="H1" s="111"/>
      <x:c r="I1" s="111"/>
      <x:c r="J1" s="111"/>
      <x:c r="K1" s="111"/>
      <x:c r="L1" s="111"/>
      <x:c r="M1" s="111"/>
      <x:c r="N1" s="111"/>
    </x:row>
    <x:row r="2" ht="42" customHeight="1">
      <x:c r="A2" s="115" t="str">
        <x:v>Jede Zeile entspricht einer Unterrichtsstunde. Die Schüler-Module werden aus der bestehenden GitHub-Pages-Struktur geöffnet; die Lehrer-Vorbereitungen liegen im beigefügten Ordner.</x:v>
      </x:c>
      <x:c r="B2" s="115"/>
      <x:c r="C2" s="115"/>
      <x:c r="D2" s="115"/>
      <x:c r="E2" s="115"/>
      <x:c r="F2" s="115"/>
      <x:c r="G2" s="115"/>
      <x:c r="H2" s="115"/>
      <x:c r="I2" s="115"/>
      <x:c r="J2" s="115"/>
      <x:c r="K2" s="115"/>
      <x:c r="L2" s="115"/>
      <x:c r="M2" s="115"/>
      <x:c r="N2" s="115"/>
    </x:row>
    <x:row r="4" ht="42" customHeight="1">
      <x:c r="A4" s="117" t="str">
        <x:v>Fach</x:v>
      </x:c>
      <x:c r="B4" s="118" t="str">
        <x:v>Klasse</x:v>
      </x:c>
      <x:c r="C4" s="118" t="str">
        <x:v>Lernbereich</x:v>
      </x:c>
      <x:c r="D4" s="118" t="str">
        <x:v>Stunde</x:v>
      </x:c>
      <x:c r="E4" s="118" t="str">
        <x:v>Thema der Unterrichtsstunde</x:v>
      </x:c>
      <x:c r="F4" s="118" t="str">
        <x:v>Inhalt HSA</x:v>
      </x:c>
      <x:c r="G4" s="118" t="str">
        <x:v>Inhalt RSA</x:v>
      </x:c>
      <x:c r="H4" s="118" t="str">
        <x:v>Kompetenz</x:v>
      </x:c>
      <x:c r="I4" s="118" t="str">
        <x:v>Experiment / Material</x:v>
      </x:c>
      <x:c r="J4" s="118" t="str">
        <x:v>Arduino-Einsatz</x:v>
      </x:c>
      <x:c r="K4" s="118" t="str">
        <x:v>Modul-ID</x:v>
      </x:c>
      <x:c r="L4" s="118" t="str">
        <x:v>Bild aus GitHub</x:v>
      </x:c>
      <x:c r="M4" s="118" t="str">
        <x:v>Schüler-Modul</x:v>
      </x:c>
      <x:c r="N4" s="119" t="str">
        <x:v>Lehrer-Vorbereitung</x:v>
      </x:c>
    </x:row>
    <x:row r="5" ht="70" customHeight="1">
      <x:c r="A5" s="123" t="str">
        <x:v>Physik</x:v>
      </x:c>
      <x:c r="B5" s="124" t="n">
        <x:v>7</x:v>
      </x:c>
      <x:c r="C5" s="57" t="str">
        <x:v>Arbeitsweisen</x:v>
      </x:c>
      <x:c r="D5" s="124" t="n">
        <x:v>1</x:v>
      </x:c>
      <x:c r="E5" s="57" t="str">
        <x:v>Was ist Physik? Beobachten und Beschreiben</x:v>
      </x:c>
      <x:c r="F5" s="57" t="str">
        <x:v>Beobachtungstabelle mit vorgegebenen Satzanfängen („Ich sehe, dass ..."), Teilgebiete als Auswahlliste.</x:v>
      </x:c>
      <x:c r="G5" s="57" t="str">
        <x:v>Tabelle selbstständig ausfüllen, Zuordnung mit kurzer Begründung. Zu einer Station eine eigene Untersuchungsfrage formulieren und einen Versuchsplan skizzieren.</x:v>
      </x:c>
      <x:c r="H5" s="57" t="str">
        <x:v>Naturerscheinungen beobachten, beschreiben und den Teilgebieten der Physik zuordnen</x:v>
      </x:c>
      <x:c r="I5" s="57" t="str">
        <x:v>LE: Kerzenbeobachtung nach Faraday
SE: Stationen Phänomene beobachten</x:v>
      </x:c>
      <x:c r="J5" s="57" t="str">
        <x:v>keiner</x:v>
      </x:c>
      <x:c r="K5" s="57" t="str">
        <x:v>ph_k7_st01_was_ist_physik_beobachten_und_beschreiben</x:v>
      </x:c>
      <x:c r="L5" s="57" t="str">
        <x:v>https://raw.githubusercontent.com/burgnetz-wq/froebel/main/bilder/physik/096_physik_titelseite.jpg</x:v>
      </x:c>
      <x:c r="M5" s="156" t="e">
        <x:f>HYPERLINK("https://burgnetz-wq.github.io/froebel/physik/html/ph7_stunde_01_was_ist_physik.html","Schüler-Modul öffnen")</x:f>
      </x:c>
      <x:c r="N5" s="157" t="e">
        <x:f>HYPERLINK("lehrer/physik/ph_k7_st01_was_ist_physik_beobachten_und_beschreiben_orga.html","Vorbereitung öffnen")</x:f>
      </x:c>
    </x:row>
    <x:row r="6" ht="70" customHeight="1">
      <x:c r="A6" s="125" t="str">
        <x:v>Physik</x:v>
      </x:c>
      <x:c r="B6" s="126" t="n">
        <x:v>7</x:v>
      </x:c>
      <x:c r="C6" s="60" t="str">
        <x:v>Arbeitsweisen</x:v>
      </x:c>
      <x:c r="D6" s="126" t="n">
        <x:v>2</x:v>
      </x:c>
      <x:c r="E6" s="60" t="str">
        <x:v>Messen und Protokollieren – die Reaktionszeit</x:v>
      </x:c>
      <x:c r="F6" s="60" t="str">
        <x:v>Protokoll mit vorbereiteter Tabelle und Beispielzeile; Mittelwert aus drei Werten.</x:v>
      </x:c>
      <x:c r="G6" s="60" t="str">
        <x:v>Fünf Messungen, Mittelwert selbstständig, Vergleich beider Verfahren in einem Satz. Ausreißer erkennen und begründet streichen; erklären, warum die Arduino-Messung genauer ist als die Stoppuhr in der Hand.</x:v>
      </x:c>
      <x:c r="H6" s="60" t="str">
        <x:v>Messwerte erfassen, Messabweichungen erkennen, Mittelwert bilden</x:v>
      </x:c>
      <x:c r="I6" s="60" t="str">
        <x:v>LE: Demonstration von Messabweichungen bei Zeit- und Längenmessung
SE: Reaktionszeit mit dem Fall-Lineal</x:v>
      </x:c>
      <x:c r="J6" s="60" t="str">
        <x:v>Reaktionszeitmessung mit Taster und LED als Vergleichsstation</x:v>
      </x:c>
      <x:c r="K6" s="60" t="str">
        <x:v>ph_k7_st02_messen_und_protokollieren_die_reaktionszeit</x:v>
      </x:c>
      <x:c r="L6" s="60" t="str">
        <x:v>https://raw.githubusercontent.com/burgnetz-wq/froebel/main/bilder/physik/074_messgeraete.jpg</x:v>
      </x:c>
      <x:c r="M6" s="158" t="e">
        <x:f>HYPERLINK("https://burgnetz-wq.github.io/froebel/physik/html/ph7_stunde_02_messen_und_protokollieren.html","Schüler-Modul öffnen")</x:f>
      </x:c>
      <x:c r="N6" s="159" t="e">
        <x:f>HYPERLINK("lehrer/physik/ph_k7_st02_messen_und_protokollieren_die_reaktionszeit_orga.html","Vorbereitung öffnen")</x:f>
      </x:c>
    </x:row>
    <x:row r="7" ht="70" customHeight="1">
      <x:c r="A7" s="125" t="str">
        <x:v>Physik</x:v>
      </x:c>
      <x:c r="B7" s="126" t="n">
        <x:v>7</x:v>
      </x:c>
      <x:c r="C7" s="60" t="str">
        <x:v>Optik</x:v>
      </x:c>
      <x:c r="D7" s="126" t="n">
        <x:v>3</x:v>
      </x:c>
      <x:c r="E7" s="60" t="str">
        <x:v>Lichtquellen und die geradlinige Ausbreitung des Lichts</x:v>
      </x:c>
      <x:c r="F7" s="60" t="str">
        <x:v>Vorgezeichnete Ergebnisskizze zum Beschriften; Begriffe Lichtquelle/beleuchteter Körper aus Wortliste zuordnen.</x:v>
      </x:c>
      <x:c r="G7" s="60" t="str">
        <x:v>Eigene Strahlenskizze mit Lineal; Ergebnissatz selbst formulieren. Erklären, warum man den Laserstrahl erst im Nebel sieht, und begründen, warum der Mond keine Lichtquelle ist.</x:v>
      </x:c>
      <x:c r="H7" s="60" t="str">
        <x:v>Modell Lichtstrahl anwenden, Lichtquellen und beleuchtete Körper unterscheiden</x:v>
      </x:c>
      <x:c r="I7" s="60" t="str">
        <x:v>LE: Sichtbarmachen des Lichtwegs mit Laser und Nebel
SE: Lochblenden-Versuch zur geradlinigen Ausbreitung</x:v>
      </x:c>
      <x:c r="J7" s="60" t="str">
        <x:v>keiner</x:v>
      </x:c>
      <x:c r="K7" s="60" t="str">
        <x:v>ph_k7_st03_lichtquellen_und_die_geradlinige_ausbreitung_des_lichts</x:v>
      </x:c>
      <x:c r="L7" s="60" t="str">
        <x:v>https://raw.githubusercontent.com/burgnetz-wq/froebel/main/bilder/physik/034_arduino_licht_optik.jpg</x:v>
      </x:c>
      <x:c r="M7" s="158" t="e">
        <x:f>HYPERLINK("https://burgnetz-wq.github.io/froebel/physik/html/ph7_stunde_03_lichtquellen_und_lichtausbreitung.html","Schüler-Modul öffnen")</x:f>
      </x:c>
      <x:c r="N7" s="159" t="e">
        <x:f>HYPERLINK("lehrer/physik/ph_k7_st03_lichtquellen_und_die_geradlinige_ausbreitung_des_lichts_orga.html","Vorbereitung öffnen")</x:f>
      </x:c>
    </x:row>
    <x:row r="8" ht="70" customHeight="1">
      <x:c r="A8" s="125" t="str">
        <x:v>Physik</x:v>
      </x:c>
      <x:c r="B8" s="126" t="n">
        <x:v>7</x:v>
      </x:c>
      <x:c r="C8" s="60" t="str">
        <x:v>Optik</x:v>
      </x:c>
      <x:c r="D8" s="126" t="n">
        <x:v>4</x:v>
      </x:c>
      <x:c r="E8" s="60" t="str">
        <x:v>Licht und Schatten – Kernschatten und Halbschatten</x:v>
      </x:c>
      <x:c r="F8" s="60" t="str">
        <x:v>Messtabelle vorbereitet, Skizze zum Vervollständigen, Ergebnissatz als Lückensatz („Je näher die Lampe, desto ... der Schatten").</x:v>
      </x:c>
      <x:c r="G8" s="60" t="str">
        <x:v>Vollständige Messreihe, eigene Randstrahlen-Skizze mit Lineal, Erklärung des Halbschattens in eigenen Worten. Sonnen- und Mondfinsternis mit Kern- und Halbschatten erklären; begründen, warum der Arduino-Rohwert keine Einheit trägt.</x:v>
      </x:c>
      <x:c r="H8" s="60" t="str">
        <x:v>Schattenentstehung mit der geradlinigen Lichtausbreitung erklären</x:v>
      </x:c>
      <x:c r="I8" s="60" t="str">
        <x:v>LE: Kernschatten und Halbschatten mit zwei Lampen
SE: Schattengröße in Abhängigkeit vom Abstand</x:v>
      </x:c>
      <x:c r="J8" s="60" t="str">
        <x:v>Helligkeitsmessung in Kernschatten, Halbschatten und beleuchteter Fläche (Lehrerdemonstration)</x:v>
      </x:c>
      <x:c r="K8" s="60" t="str">
        <x:v>ph_k7_st04_licht_und_schatten_kernschatten_und_halbschatten</x:v>
      </x:c>
      <x:c r="L8" s="60" t="str">
        <x:v>https://raw.githubusercontent.com/burgnetz-wq/froebel/main/bilder/physik/034_arduino_licht_optik.jpg</x:v>
      </x:c>
      <x:c r="M8" s="158" t="e">
        <x:f>HYPERLINK("https://burgnetz-wq.github.io/froebel/physik/html/ph7_stunde_04_licht_und_schatten.html","Schüler-Modul öffnen")</x:f>
      </x:c>
      <x:c r="N8" s="159" t="e">
        <x:f>HYPERLINK("lehrer/physik/ph_k7_st04_licht_und_schatten_kernschatten_und_halbschatten_orga.html","Vorbereitung öffnen")</x:f>
      </x:c>
    </x:row>
    <x:row r="9" ht="70" customHeight="1">
      <x:c r="A9" s="125" t="str">
        <x:v>Physik</x:v>
      </x:c>
      <x:c r="B9" s="126" t="n">
        <x:v>7</x:v>
      </x:c>
      <x:c r="C9" s="60" t="str">
        <x:v>Optik</x:v>
      </x:c>
      <x:c r="D9" s="126" t="n">
        <x:v>5</x:v>
      </x:c>
      <x:c r="E9" s="60" t="str">
        <x:v>Mondphasen und Finsternisse – Schatten im Weltall</x:v>
      </x:c>
      <x:c r="F9" s="60" t="str">
        <x:v>Nur drei Phasen beobachten (Neumond, Halbmond, Vollmond). Mondfinsternis und Sonnenfinsternis bildlich unterscheiden (keine Herleitung nötig).</x:v>
      </x:c>
      <x:c r="G9" s="60" t="str">
        <x:v>Neun Phasen zeichnen. Erklären, warum Finsternisse nicht jeden Monat passieren (Bahnneigung). Berechnen, wann die nächste Sonnen- oder Mondfinsternis sichtbar ist (unter Nutzung von Internet-Tabellen). Erklären, warum man während einer Sonnenfinsternis die Korona sieht (Lichtquelle Halo, nicht das direkte Sonnenlicht).</x:v>
      </x:c>
      <x:c r="H9" s="60" t="str">
        <x:v>Mondphasen und Finsternisse mit Kern- und Halbschatten erklären</x:v>
      </x:c>
      <x:c r="I9" s="60" t="str">
        <x:v>LE: Mondphasemodell (Globus, Styroporkugel, Lampe)
SE: Mondphasen und Finsternisse aufzeichnen und beschreiben</x:v>
      </x:c>
      <x:c r="J9" s="60" t="str">
        <x:v>keiner</x:v>
      </x:c>
      <x:c r="K9" s="60" t="str">
        <x:v>ph_k7_st05_mondphasen_und_finsternisse_schatten_im_weltall</x:v>
      </x:c>
      <x:c r="L9" s="60" t="str">
        <x:v>https://raw.githubusercontent.com/burgnetz-wq/froebel/main/bilder/physik/009_mondphasen.jpg</x:v>
      </x:c>
      <x:c r="M9" s="158" t="e">
        <x:f>HYPERLINK("https://burgnetz-wq.github.io/froebel/physik/html/ph7_stunde_05_mondphasen_und_finsternisse.html","Schüler-Modul öffnen")</x:f>
      </x:c>
      <x:c r="N9" s="159" t="e">
        <x:f>HYPERLINK("lehrer/physik/ph_k7_st05_mondphasen_und_finsternisse_schatten_im_weltall_orga.html","Vorbereitung öffnen")</x:f>
      </x:c>
    </x:row>
    <x:row r="10" ht="70" customHeight="1">
      <x:c r="A10" s="125" t="str">
        <x:v>Physik</x:v>
      </x:c>
      <x:c r="B10" s="126" t="n">
        <x:v>7</x:v>
      </x:c>
      <x:c r="C10" s="60" t="str">
        <x:v>Optik</x:v>
      </x:c>
      <x:c r="D10" s="126" t="n">
        <x:v>6</x:v>
      </x:c>
      <x:c r="E10" s="60" t="str">
        <x:v>Reflexion und das Spiegelgesetz – Lichtstrahlen ändern die Richtung</x:v>
      </x:c>
      <x:c r="F10" s="60" t="str">
        <x:v>Normale wird vorgegeben; nur zwei Winkel messen; Erkenntnis: „Einfallswinkel = Reflexionswinkel" ist das Ziel.</x:v>
      </x:c>
      <x:c r="G10" s="60" t="str">
        <x:v>Vier Messungen mit eigener Normalen-Konstruktion (Geodreieck); Tabelle vollständig ausfüllen; Spiegelgesetz formulieren. Erklären, warum gekrümmte Spiegel (Hohlspiegel, Wölbspiegel) das Licht anders reflektieren als ebene Spiegel. Beispiel: Spiegel im Bad versus Rückspiegel im Auto.</x:v>
      </x:c>
      <x:c r="H10" s="60" t="str">
        <x:v>Reflexion mit Einfallswinkel und Reflexionswinkel erklären</x:v>
      </x:c>
      <x:c r="I10" s="60" t="str">
        <x:v>LE: Lichtstrahl trifft Spiegel – Einfallswinkel und Reflexionswinkel
SE: Spiegelgesetz mit Laser nachweisen</x:v>
      </x:c>
      <x:c r="J10" s="60" t="str">
        <x:v>keiner</x:v>
      </x:c>
      <x:c r="K10" s="60" t="str">
        <x:v>ph_k7_st06_reflexion_und_das_spiegelgesetz_lichtstrahlen_andern_die_richtung</x:v>
      </x:c>
      <x:c r="L10" s="60" t="str">
        <x:v>https://raw.githubusercontent.com/burgnetz-wq/froebel/main/bilder/physik/035_reflexion_spiegel.jpg</x:v>
      </x:c>
      <x:c r="M10" s="158" t="e">
        <x:f>HYPERLINK("https://burgnetz-wq.github.io/froebel/physik/html/ph7_stunde_06_reflexion_spiegelgesetz.html","Schüler-Modul öffnen")</x:f>
      </x:c>
      <x:c r="N10" s="159" t="e">
        <x:f>HYPERLINK("lehrer/physik/ph_k7_st06_reflexion_und_das_spiegelgesetz_lichtstrahlen_andern_die_richtung_orga.html","Vorbereitung öffnen")</x:f>
      </x:c>
    </x:row>
    <x:row r="11" ht="70" customHeight="1">
      <x:c r="A11" s="125" t="str">
        <x:v>Physik</x:v>
      </x:c>
      <x:c r="B11" s="126" t="n">
        <x:v>7</x:v>
      </x:c>
      <x:c r="C11" s="60" t="str">
        <x:v>Optik</x:v>
      </x:c>
      <x:c r="D11" s="126" t="n">
        <x:v>7</x:v>
      </x:c>
      <x:c r="E11" s="60" t="str">
        <x:v>Spiegelbilder – wie entsteht das Bild im Spiegel</x:v>
      </x:c>
      <x:c r="F11" s="60" t="str">
        <x:v>Bildlage und -größe sind gleich – ohne Konstruktion mit Winkeln. Erkenntnis: Das Bild sitzt nicht wirklich hinter dem Spiegel.</x:v>
      </x:c>
      <x:c r="G11" s="60" t="str">
        <x:v>Konstruktion mit Geodreieck und Spiegelgesetz. Zwei Punkte, zwei Strahlen pro Punkt. Bildlage konstruieren. Erklären, warum gekrümmte Spiegel (Hohlspiegel) andere Bilder erzeugen – reelle Bilder möglich (Beamer, Suchscheinwerfer). Lichtstrahlen für gekrümmte Spiegel skizzieren.</x:v>
      </x:c>
      <x:c r="H11" s="60" t="str">
        <x:v>Entstehung von Spiegelbildern mit Lichtstrahlen erklären</x:v>
      </x:c>
      <x:c r="I11" s="60" t="str">
        <x:v>LE: Kerzenexperiment – das virtuelle Bild des Spiegels
SE: Lichtstrahlen konstruieren – wo entsteht das Bild</x:v>
      </x:c>
      <x:c r="J11" s="60" t="str">
        <x:v>keiner</x:v>
      </x:c>
      <x:c r="K11" s="60" t="str">
        <x:v>ph_k7_st07_spiegelbilder_wie_entsteht_das_bild_im_spiegel</x:v>
      </x:c>
      <x:c r="L11" s="60" t="str">
        <x:v>https://raw.githubusercontent.com/burgnetz-wq/froebel/main/bilder/physik/035_reflexion_spiegel.jpg</x:v>
      </x:c>
      <x:c r="M11" s="158" t="e">
        <x:f>HYPERLINK("https://burgnetz-wq.github.io/froebel/physik/html/ph7_stunde_07_spiegelbilder.html","Schüler-Modul öffnen")</x:f>
      </x:c>
      <x:c r="N11" s="159" t="e">
        <x:f>HYPERLINK("lehrer/physik/ph_k7_st07_spiegelbilder_wie_entsteht_das_bild_im_spiegel_orga.html","Vorbereitung öffnen")</x:f>
      </x:c>
    </x:row>
    <x:row r="12" ht="70" customHeight="1">
      <x:c r="A12" s="125" t="str">
        <x:v>Physik</x:v>
      </x:c>
      <x:c r="B12" s="126" t="n">
        <x:v>7</x:v>
      </x:c>
      <x:c r="C12" s="60" t="str">
        <x:v>Optik</x:v>
      </x:c>
      <x:c r="D12" s="126" t="n">
        <x:v>8</x:v>
      </x:c>
      <x:c r="E12" s="60" t="str">
        <x:v>Brechung und Linsen – Licht ändert die Richtung in Glas</x:v>
      </x:c>
      <x:c r="F12" s="60" t="str">
        <x:v>Beobachten, dass Linsen ein Bild erzeugen. Sammel- vs. Zerstreuungslinse kennen. Brennpunkt qualitativ verstehen.</x:v>
      </x:c>
      <x:c r="G12" s="60" t="str">
        <x:v>Brennweite messen und vergleichen. Erkennen: dünnere Linse = längere Brennweite. Reelle und virtuelle Bilder unterscheiden. Linsengleichung 1/f = 1/a + 1/b verstehen (optional). Linsenkombinationen (Teleskop, Mikroskop-Optik) besprechen.</x:v>
      </x:c>
      <x:c r="H12" s="60" t="str">
        <x:v>Lichtbrechung erklären und mit Linsen experimentieren</x:v>
      </x:c>
      <x:c r="I12" s="60" t="str">
        <x:v>LE: Stift im Wasser – Brechung zeigen
SE: Linsenversuch – Brennpunkt finden</x:v>
      </x:c>
      <x:c r="J12" s="60" t="str">
        <x:v>keiner</x:v>
      </x:c>
      <x:c r="K12" s="60" t="str">
        <x:v>ph_k7_st08_brechung_und_linsen_licht_andert_die_richtung_in_glas</x:v>
      </x:c>
      <x:c r="L12" s="60" t="str">
        <x:v>https://raw.githubusercontent.com/burgnetz-wq/froebel/main/bilder/physik/006_lichtbrechung.jpg</x:v>
      </x:c>
      <x:c r="M12" s="158" t="e">
        <x:f>HYPERLINK("https://burgnetz-wq.github.io/froebel/physik/html/ph7_stunde_08_brechung_linsen.html","Schüler-Modul öffnen")</x:f>
      </x:c>
      <x:c r="N12" s="159" t="e">
        <x:f>HYPERLINK("lehrer/physik/ph_k7_st08_brechung_und_linsen_licht_andert_die_richtung_in_glas_orga.html","Vorbereitung öffnen")</x:f>
      </x:c>
    </x:row>
    <x:row r="13" ht="70" customHeight="1">
      <x:c r="A13" s="125" t="str">
        <x:v>Physik</x:v>
      </x:c>
      <x:c r="B13" s="126" t="n">
        <x:v>7</x:v>
      </x:c>
      <x:c r="C13" s="60" t="str">
        <x:v>Wärmelehre</x:v>
      </x:c>
      <x:c r="D13" s="126" t="n">
        <x:v>9</x:v>
      </x:c>
      <x:c r="E13" s="60" t="str">
        <x:v>Wärme und Temperatur – zwei verschiedene Größen</x:v>
      </x:c>
      <x:c r="F13" s="60" t="str">
        <x:v>Temperatur mit Thermometer messen und vergleichen. Erkenntnis: Wärme fließt von heiß zu kalt.</x:v>
      </x:c>
      <x:c r="G13" s="60" t="str">
        <x:v>Unterschied zwischen Temperatur (Messwert) und Wärme (Energie) verstehen. Mischtemperatur vorhersagen und messen. Wärmemenge berechnen (Formel Q = c · m · ΔT); Kelvin-Skala kennen; Unterschied absolute Null und Celsius-Null.</x:v>
      </x:c>
      <x:c r="H13" s="60" t="str">
        <x:v>Unterschied zwischen Wärme und Temperatur verstehen</x:v>
      </x:c>
      <x:c r="I13" s="60" t="str">
        <x:v>LE: Temperaturverteilung und Ausgleich
SE: Mischen – wo ist die Wärmebilanz</x:v>
      </x:c>
      <x:c r="J13" s="60" t="str">
        <x:v>keiner</x:v>
      </x:c>
      <x:c r="K13" s="60" t="str">
        <x:v>ph_k7_st09_warme_und_temperatur_zwei_verschiedene_groen</x:v>
      </x:c>
      <x:c r="L13" s="60" t="str">
        <x:v>https://raw.githubusercontent.com/burgnetz-wq/froebel/main/bilder/physik/026_temperatur_waerme.jpg</x:v>
      </x:c>
      <x:c r="M13" s="158" t="e">
        <x:f>HYPERLINK("https://burgnetz-wq.github.io/froebel/physik/html/ph7_stunde_09_waerme_temperatur.html","Schüler-Modul öffnen")</x:f>
      </x:c>
      <x:c r="N13" s="159" t="e">
        <x:f>HYPERLINK("lehrer/physik/ph_k7_st09_warme_und_temperatur_zwei_verschiedene_groen_orga.html","Vorbereitung öffnen")</x:f>
      </x:c>
    </x:row>
    <x:row r="14" ht="70" customHeight="1">
      <x:c r="A14" s="125" t="str">
        <x:v>Physik</x:v>
      </x:c>
      <x:c r="B14" s="126" t="n">
        <x:v>7</x:v>
      </x:c>
      <x:c r="C14" s="60" t="str">
        <x:v>Wärmelehre</x:v>
      </x:c>
      <x:c r="D14" s="126" t="n">
        <x:v>10</x:v>
      </x:c>
      <x:c r="E14" s="60" t="str">
        <x:v>Wärmeleitung und Wärmestrahlung – wie Wärme sich ausbreitet</x:v>
      </x:c>
      <x:c r="F14" s="60" t="str">
        <x:v>Metalle sind gute Wärmeleiter, Kunststoff schlechter. Erkenntnis: Es gibt unterschiedliche Leitfähigkeiten.</x:v>
      </x:c>
      <x:c r="G14" s="60" t="str">
        <x:v>Messung durchführen, Zeit-Temperatur-Graph zeichnen, Unterschied quantifizieren. Wärmeleitfähigkeit-Werte (W/m·K) recherchieren und vergleichen. Konvektion in Flüssigkeiten und Gasen erklären (Zirkulation). Wärmestrahlung mit UV-Sensor diskutieren.</x:v>
      </x:c>
      <x:c r="H14" s="60" t="str">
        <x:v>Unterscheiden von Wärmeleitung, Konvektion und Strahlung</x:v>
      </x:c>
      <x:c r="I14" s="60" t="str">
        <x:v>LE: Vergleich – Wärmeleitung in verschiedenen Stoffen
SE: Messung Wärmeleitungsgeschwindigkeit</x:v>
      </x:c>
      <x:c r="J14" s="60" t="str">
        <x:v>keiner</x:v>
      </x:c>
      <x:c r="K14" s="60" t="str">
        <x:v>ph_k7_st10_warmeleitung_und_warmestrahlung_wie_warme_sich_ausbreitet</x:v>
      </x:c>
      <x:c r="L14" s="60" t="str">
        <x:v>https://raw.githubusercontent.com/burgnetz-wq/froebel/main/bilder/physik/042_radioaktivitaet.jpg</x:v>
      </x:c>
      <x:c r="M14" s="158" t="e">
        <x:f>HYPERLINK("https://burgnetz-wq.github.io/froebel/physik/html/ph7_stunde_10_waermeleitung_waermestrahlung.html","Schüler-Modul öffnen")</x:f>
      </x:c>
      <x:c r="N14" s="159" t="e">
        <x:f>HYPERLINK("lehrer/physik/ph_k7_st10_warmeleitung_und_warmestrahlung_wie_warme_sich_ausbreitet_orga.html","Vorbereitung öffnen")</x:f>
      </x:c>
    </x:row>
    <x:row r="15" ht="70" customHeight="1">
      <x:c r="A15" s="125" t="str">
        <x:v>Physik</x:v>
      </x:c>
      <x:c r="B15" s="126" t="n">
        <x:v>7</x:v>
      </x:c>
      <x:c r="C15" s="60" t="str">
        <x:v>Elektrizitätslehre</x:v>
      </x:c>
      <x:c r="D15" s="126" t="n">
        <x:v>11</x:v>
      </x:c>
      <x:c r="E15" s="60" t="str">
        <x:v>Der Stromkreis und der Schalter</x:v>
      </x:c>
      <x:c r="F15" s="60" t="str">
        <x:v>Vorstrukturierte Aufgabe, Hilfekarten und Satzstarter.</x:v>
      </x:c>
      <x:c r="G15" s="60" t="str">
        <x:v>Selbstständige Auswertung mit Fachbegriffen und vollständiger Begründung.</x:v>
      </x:c>
      <x:c r="H15" s="60" t="str">
        <x:v>Stromkreise schließen und zeichnen</x:v>
      </x:c>
      <x:c r="I15" s="60" t="str">
        <x:v>LE: Glühbirne zum Leuchten bringen
SE: Stromkreise aufbauen und testen</x:v>
      </x:c>
      <x:c r="J15" s="60" t="str">
        <x:v>nein</x:v>
      </x:c>
      <x:c r="K15" s="60" t="str">
        <x:v>ph_k7_st11_der_stromkreis_und_der_schalter</x:v>
      </x:c>
      <x:c r="L15" s="60" t="str">
        <x:v>https://raw.githubusercontent.com/burgnetz-wq/froebel/main/bilder/physik/001_stromkreis.jpg</x:v>
      </x:c>
      <x:c r="M15" s="158" t="e">
        <x:f>HYPERLINK("https://burgnetz-wq.github.io/froebel/physik/html/ph7_stunde_11_stromkreis.html","Schüler-Modul öffnen")</x:f>
      </x:c>
      <x:c r="N15" s="159" t="e">
        <x:f>HYPERLINK("lehrer/physik/ph_k7_st11_der_stromkreis_und_der_schalter_orga.html","Vorbereitung öffnen")</x:f>
      </x:c>
    </x:row>
    <x:row r="16" ht="70" customHeight="1">
      <x:c r="A16" s="125" t="str">
        <x:v>Physik</x:v>
      </x:c>
      <x:c r="B16" s="126" t="n">
        <x:v>7</x:v>
      </x:c>
      <x:c r="C16" s="60" t="str">
        <x:v>Elektrizitätslehre</x:v>
      </x:c>
      <x:c r="D16" s="126" t="n">
        <x:v>12</x:v>
      </x:c>
      <x:c r="E16" s="60" t="str">
        <x:v>Reihen- und Parallelschaltung</x:v>
      </x:c>
      <x:c r="F16" s="60" t="str">
        <x:v>Vorstrukturierte Aufgabe, Hilfekarten und Satzstarter.</x:v>
      </x:c>
      <x:c r="G16" s="60" t="str">
        <x:v>Selbstständige Auswertung mit Fachbegriffen und vollständiger Begründung.</x:v>
      </x:c>
      <x:c r="H16" s="60" t="str">
        <x:v>Reihen und Parallel unterscheiden</x:v>
      </x:c>
      <x:c r="I16" s="60" t="str">
        <x:v>LE: Reihen vs. Parallel zeigen
SE: Helligkeit vergleichen</x:v>
      </x:c>
      <x:c r="J16" s="60" t="str">
        <x:v>nein</x:v>
      </x:c>
      <x:c r="K16" s="60" t="str">
        <x:v>ph_k7_st12_reihen_und_parallelschaltung</x:v>
      </x:c>
      <x:c r="L16" s="60" t="str">
        <x:v>https://raw.githubusercontent.com/burgnetz-wq/froebel/main/bilder/physik/012_parallelschaltung.jpg</x:v>
      </x:c>
      <x:c r="M16" s="158" t="e">
        <x:f>HYPERLINK("https://burgnetz-wq.github.io/froebel/physik/html/ph7_stunde_12_reihen_parallel.html","Schüler-Modul öffnen")</x:f>
      </x:c>
      <x:c r="N16" s="159" t="e">
        <x:f>HYPERLINK("lehrer/physik/ph_k7_st12_reihen_und_parallelschaltung_orga.html","Vorbereitung öffnen")</x:f>
      </x:c>
    </x:row>
    <x:row r="17" ht="70" customHeight="1">
      <x:c r="A17" s="125" t="str">
        <x:v>Physik</x:v>
      </x:c>
      <x:c r="B17" s="126" t="n">
        <x:v>7</x:v>
      </x:c>
      <x:c r="C17" s="60" t="str">
        <x:v>Elektrizitätslehre</x:v>
      </x:c>
      <x:c r="D17" s="126" t="n">
        <x:v>13</x:v>
      </x:c>
      <x:c r="E17" s="60" t="str">
        <x:v>Elektrische Leistung – wie viel Energie verbrauchen Geräte</x:v>
      </x:c>
      <x:c r="F17" s="60" t="str">
        <x:v>Vorstrukturierte Aufgabe, Hilfekarten und Satzstarter.</x:v>
      </x:c>
      <x:c r="G17" s="60" t="str">
        <x:v>Selbstständige Auswertung mit Fachbegriffen und vollständiger Begründung.</x:v>
      </x:c>
      <x:c r="H17" s="60" t="str">
        <x:v>Leistung verstehen und berechnen</x:v>
      </x:c>
      <x:c r="I17" s="60" t="str">
        <x:v>LE: Glühbirnen-Vergleich (unterschiedliche Wattzahl)
SE: Berechnung Leistung und Energieverbrauch</x:v>
      </x:c>
      <x:c r="J17" s="60" t="str">
        <x:v>nein</x:v>
      </x:c>
      <x:c r="K17" s="60" t="str">
        <x:v>ph_k7_st13_elektrische_leistung_wie_viel_energie_verbrauchen_gerate</x:v>
      </x:c>
      <x:c r="L17" s="60" t="str">
        <x:v>https://raw.githubusercontent.com/burgnetz-wq/froebel/main/bilder/physik/038_arbeit_leistung.jpg</x:v>
      </x:c>
      <x:c r="M17" s="158" t="e">
        <x:f>HYPERLINK("https://burgnetz-wq.github.io/froebel/physik/html/ph7_stunde_13_leistung.html","Schüler-Modul öffnen")</x:f>
      </x:c>
      <x:c r="N17" s="159" t="e">
        <x:f>HYPERLINK("lehrer/physik/ph_k7_st13_elektrische_leistung_wie_viel_energie_verbrauchen_gerate_orga.html","Vorbereitung öffnen")</x:f>
      </x:c>
    </x:row>
    <x:row r="18" ht="70" customHeight="1">
      <x:c r="A18" s="125" t="str">
        <x:v>Physik</x:v>
      </x:c>
      <x:c r="B18" s="126" t="n">
        <x:v>7</x:v>
      </x:c>
      <x:c r="C18" s="60" t="str">
        <x:v>Elektrizitätslehre</x:v>
      </x:c>
      <x:c r="D18" s="126" t="n">
        <x:v>14</x:v>
      </x:c>
      <x:c r="E18" s="60" t="str">
        <x:v>Sicherheit im Stromkreis – Schutz vor Überlastung und Kurzschluss</x:v>
      </x:c>
      <x:c r="F18" s="60" t="str">
        <x:v>Vorstrukturierte Aufgabe, Hilfekarten und Satzstarter.</x:v>
      </x:c>
      <x:c r="G18" s="60" t="str">
        <x:v>Selbstständige Auswertung mit Fachbegriffen und vollständiger Begründung.</x:v>
      </x:c>
      <x:c r="H18" s="60" t="str">
        <x:v>Gefahren des elektrischen Stroms verstehen und vermeiden</x:v>
      </x:c>
      <x:c r="I18" s="60" t="str">
        <x:v>LE: Schmelzsicherung zeigen / funktioniert nicht mehr bei Test
SE: Schaltschema mit Sicherung zeichnen und erklären</x:v>
      </x:c>
      <x:c r="J18" s="60" t="str">
        <x:v>nein</x:v>
      </x:c>
      <x:c r="K18" s="60" t="str">
        <x:v>ph_k7_st14_sicherheit_im_stromkreis_schutz_vor_uberlastung_und_kurzschluss</x:v>
      </x:c>
      <x:c r="L18" s="60" t="str">
        <x:v>https://raw.githubusercontent.com/burgnetz-wq/froebel/main/bilder/physik/001_stromkreis.jpg</x:v>
      </x:c>
      <x:c r="M18" s="158" t="e">
        <x:f>HYPERLINK("https://burgnetz-wq.github.io/froebel/physik/html/ph7_stunde_14_sicherheit.html","Schüler-Modul öffnen")</x:f>
      </x:c>
      <x:c r="N18" s="159" t="e">
        <x:f>HYPERLINK("lehrer/physik/ph_k7_st14_sicherheit_im_stromkreis_schutz_vor_uberlastung_und_kurzschluss_orga.html","Vorbereitung öffnen")</x:f>
      </x:c>
    </x:row>
    <x:row r="19" ht="70" customHeight="1">
      <x:c r="A19" s="125" t="str">
        <x:v>Physik</x:v>
      </x:c>
      <x:c r="B19" s="126" t="n">
        <x:v>7</x:v>
      </x:c>
      <x:c r="C19" s="60" t="str">
        <x:v>Mechanik</x:v>
      </x:c>
      <x:c r="D19" s="126" t="n">
        <x:v>19</x:v>
      </x:c>
      <x:c r="E19" s="60" t="str">
        <x:v>Die mechanische Arbeit – Kraft mal Weg</x:v>
      </x:c>
      <x:c r="F19" s="60" t="str">
        <x:v>Formel als vorgegebene Rechenvorschrift nutzen, Tabelle mit vorgegebenen Spaltenüberschriften, Ergebnissatz als Lückensatz.</x:v>
      </x:c>
      <x:c r="G19" s="60" t="str">
        <x:v>Selbstständige Berechnung aller vier Messungen inklusive Einheitenumrechnung, eigene Formulierung des Ergebnissatzes. Begründen, warum beim bloßen Halten eines Gegenstands ohne Höhenänderung physikalisch keine Arbeit verrichtet wird, obwohl es sich anstrengend anfühlt.</x:v>
      </x:c>
      <x:c r="H19" s="60" t="str">
        <x:v>Die mechanische Arbeit als Produkt aus Kraft und Weg berechnen und vom umgangssprachlichen Arbeitsbegriff unterscheiden</x:v>
      </x:c>
      <x:c r="I19" s="60" t="str">
        <x:v>LE: Hubarbeit mit dem Kraftmesser über gemessene Höhe
SE: Arbeit bei verschiedenen Gewichten und Hubhöhen berechnen</x:v>
      </x:c>
      <x:c r="J19" s="60" t="str">
        <x:v>entfällt</x:v>
      </x:c>
      <x:c r="K19" s="60" t="str">
        <x:v>ph_k7_st19_die_mechanische_arbeit_kraft_mal_weg</x:v>
      </x:c>
      <x:c r="L19" s="60" t="str">
        <x:v>https://raw.githubusercontent.com/burgnetz-wq/froebel/main/bilder/physik/021_kraft_gewicht.jpg</x:v>
      </x:c>
      <x:c r="M19" s="158" t="e">
        <x:f>HYPERLINK("https://burgnetz-wq.github.io/froebel/physik/html/ph7_stunde_19_mechanische_arbeit.html","Schüler-Modul öffnen")</x:f>
      </x:c>
      <x:c r="N19" s="159" t="e">
        <x:f>HYPERLINK("lehrer/physik/ph_k7_st19_die_mechanische_arbeit_kraft_mal_weg_orga.html","Vorbereitung öffnen")</x:f>
      </x:c>
    </x:row>
    <x:row r="20" ht="70" customHeight="1">
      <x:c r="A20" s="125" t="str">
        <x:v>Physik</x:v>
      </x:c>
      <x:c r="B20" s="126" t="n">
        <x:v>7</x:v>
      </x:c>
      <x:c r="C20" s="60" t="str">
        <x:v>Mechanik</x:v>
      </x:c>
      <x:c r="D20" s="126" t="n">
        <x:v>20</x:v>
      </x:c>
      <x:c r="E20" s="60" t="str">
        <x:v>Die Leistung – Arbeit pro Zeit</x:v>
      </x:c>
      <x:c r="F20" s="60" t="str">
        <x:v>Arbeit und Zeit sind vorgegeben, nur die Leistung wird nach vorgegebener Formel berechnet.</x:v>
      </x:c>
      <x:c r="G20" s="60" t="str">
        <x:v>Vollständige eigene Messung und Berechnung beider Durchgänge inklusive Einheitenkontrolle. Die eigene Leistung mit der Nennleistung eines Elektrogeräts vergleichen und einordnen, ob das Ergebnis plausibel erscheint.</x:v>
      </x:c>
      <x:c r="H20" s="60" t="str">
        <x:v>Die Leistung als Arbeit pro Zeit berechnen und die Formel P = W/t auf Alltagsbeispiele anwenden</x:v>
      </x:c>
      <x:c r="I20" s="60" t="str">
        <x:v>LE: Automatische Zeitmessung eines Hubvorgangs mit Ultraschallsensor
SE: Leistungsvergleich beim Heben desselben Gewichts in unterschiedlicher Zeit</x:v>
      </x:c>
      <x:c r="J20" s="60" t="str">
        <x:v>Automatische Zeitmessung des Hubvorgangs zwischen zwei Höhenschwellen zur Berechnung der Leistung (Lehrerdemonstration)</x:v>
      </x:c>
      <x:c r="K20" s="60" t="str">
        <x:v>ph_k7_st20_die_leistung_arbeit_pro_zeit</x:v>
      </x:c>
      <x:c r="L20" s="60" t="str">
        <x:v>https://raw.githubusercontent.com/burgnetz-wq/froebel/main/bilder/physik/038_arbeit_leistung.jpg</x:v>
      </x:c>
      <x:c r="M20" s="158" t="e">
        <x:f>HYPERLINK("https://burgnetz-wq.github.io/froebel/physik/html/ph7_stunde_20_leistung.html","Schüler-Modul öffnen")</x:f>
      </x:c>
      <x:c r="N20" s="159" t="e">
        <x:f>HYPERLINK("lehrer/physik/ph_k7_st20_die_leistung_arbeit_pro_zeit_orga.html","Vorbereitung öffnen")</x:f>
      </x:c>
    </x:row>
    <x:row r="21" ht="70" customHeight="1">
      <x:c r="A21" s="125" t="str">
        <x:v>Physik</x:v>
      </x:c>
      <x:c r="B21" s="126" t="n">
        <x:v>7</x:v>
      </x:c>
      <x:c r="C21" s="60" t="str">
        <x:v>Mechanik</x:v>
      </x:c>
      <x:c r="D21" s="126" t="n">
        <x:v>21</x:v>
      </x:c>
      <x:c r="E21" s="60" t="str">
        <x:v>Energie und Energieformen – Lageenergie und Bewegungsenergie</x:v>
      </x:c>
      <x:c r="F21" s="60" t="str">
        <x:v>Vorgegebene Fachbegriffe Lageenergie/Bewegungsenergie den Bildkarten zuordnen, Messtabelle mit zwei Starthöhen ausfüllen.</x:v>
      </x:c>
      <x:c r="G21" s="60" t="str">
        <x:v>Vollständige Dreifachmessung, eigene Formulierung des Ergebnissatzes einschließlich Reibungsverlust. Ein weiteres Alltagsbeispiel für die Umwandlung Lageenergie–Bewegungsenergie finden und die Energieflüsse in eigenen Worten beschreiben (zum Beispiel Skispringen oder Wasserrutsche).</x:v>
      </x:c>
      <x:c r="H21" s="60" t="str">
        <x:v>Energieformen unterscheiden und die Umwandlung von Lageenergie in Bewegungsenergie qualitativ beschreiben</x:v>
      </x:c>
      <x:c r="I21" s="60" t="str">
        <x:v>LE: Umwandlung von Lageenergie in Bewegungsenergie am Pendel
SE: Zusammenhang zwischen Starthöhe und Ausrollweg auf der Kugelbahn</x:v>
      </x:c>
      <x:c r="J21" s="60" t="str">
        <x:v>entfällt</x:v>
      </x:c>
      <x:c r="K21" s="60" t="str">
        <x:v>ph_k7_st21_energie_und_energieformen_lageenergie_und_bewegungsenergie</x:v>
      </x:c>
      <x:c r="L21" s="60" t="str">
        <x:v>https://raw.githubusercontent.com/burgnetz-wq/froebel/main/bilder/physik/023_gleichfoermige_bewegung.jpg</x:v>
      </x:c>
      <x:c r="M21" s="158" t="e">
        <x:f>HYPERLINK("https://burgnetz-wq.github.io/froebel/physik/html/ph7_stunde_21_energieformen.html","Schüler-Modul öffnen")</x:f>
      </x:c>
      <x:c r="N21" s="159" t="e">
        <x:f>HYPERLINK("lehrer/physik/ph_k7_st21_energie_und_energieformen_lageenergie_und_bewegungsenergie_orga.html","Vorbereitung öffnen")</x:f>
      </x:c>
    </x:row>
    <x:row r="22" ht="70" customHeight="1">
      <x:c r="A22" s="125" t="str">
        <x:v>Physik</x:v>
      </x:c>
      <x:c r="B22" s="126" t="n">
        <x:v>7</x:v>
      </x:c>
      <x:c r="C22" s="60" t="str">
        <x:v>Mechanik</x:v>
      </x:c>
      <x:c r="D22" s="126" t="n">
        <x:v>22</x:v>
      </x:c>
      <x:c r="E22" s="60" t="str">
        <x:v>Energie sparen im Alltag – Leuchtmittel im Vergleich</x:v>
      </x:c>
      <x:c r="F22" s="60" t="str">
        <x:v>Vier vorgegebene Energiesparmaßnahmen den vier Bereichen zuordnen, Rohwerte in vorbereitete Tabelle eintragen.</x:v>
      </x:c>
      <x:c r="G22" s="60" t="str">
        <x:v>Eigenständige Sammlung von mindestens sechs Maßnahmen mit Bewertung, vollständiger Vergleich der Rohwerte mit den Wattangaben. Die Beispielrechnung zur jährlichen Energieeinsparung beim Lampentausch selbstständig durchführen und das Ergebnis einordnen.</x:v>
      </x:c>
      <x:c r="H22" s="60" t="str">
        <x:v>Möglichkeiten der Energieeinsparung im Alltag begründen und anhand eines Leuchtmittelvergleichs bewerten</x:v>
      </x:c>
      <x:c r="I22" s="60" t="str">
        <x:v>LE: Helligkeitsvergleich von LED und Glühlampe bei bekannter Leistung
SE: Sammlung und Bewertung von Energiesparmaßnahmen im Alltag</x:v>
      </x:c>
      <x:c r="J22" s="60" t="str">
        <x:v>Helligkeitsmessung zweier Leuchtmittel mit stark unterschiedlicher Leistung bei gleichem Abstand (Lehrerdemonstration)</x:v>
      </x:c>
      <x:c r="K22" s="60" t="str">
        <x:v>ph_k7_st22_energie_sparen_im_alltag_leuchtmittel_im_vergleich</x:v>
      </x:c>
      <x:c r="L22" s="60" t="str">
        <x:v>https://raw.githubusercontent.com/burgnetz-wq/froebel/main/bilder/physik/090_physik_klassenraum.jpg</x:v>
      </x:c>
      <x:c r="M22" s="158" t="e">
        <x:f>HYPERLINK("https://burgnetz-wq.github.io/froebel/physik/html/ph7_stunde_22_energiesparen.html","Schüler-Modul öffnen")</x:f>
      </x:c>
      <x:c r="N22" s="159" t="e">
        <x:f>HYPERLINK("lehrer/physik/ph_k7_st22_energie_sparen_im_alltag_leuchtmittel_im_vergleich_orga.html","Vorbereitung öffnen")</x:f>
      </x:c>
    </x:row>
    <x:row r="23" ht="70" customHeight="1">
      <x:c r="A23" s="125" t="str">
        <x:v>Physik</x:v>
      </x:c>
      <x:c r="B23" s="126" t="n">
        <x:v>7</x:v>
      </x:c>
      <x:c r="C23" s="60" t="str">
        <x:v>Mechanik</x:v>
      </x:c>
      <x:c r="D23" s="126" t="n">
        <x:v>23</x:v>
      </x:c>
      <x:c r="E23" s="60" t="str">
        <x:v>Wiederholung und Vertiefung – Arbeit, Leistung, Energie</x:v>
      </x:c>
      <x:c r="F23" s="60" t="str">
        <x:v>Formeln liegen an jeder Station als Nachschlagehilfe aus, Zahlenwerte sind einfach gehalten.</x:v>
      </x:c>
      <x:c r="G23" s="60" t="str">
        <x:v>Alle vier Stationen selbstständig bearbeiten, Lösungen mit der Lösungskarte selbst kontrollieren. Zusatzaufgabe zur eigenen Aufgabenerstellung bearbeiten und einer anderen Gruppe zur Lösung geben.</x:v>
      </x:c>
      <x:c r="H23" s="60" t="str">
        <x:v>Die Größen Arbeit, Leistung und Energie sicher unterscheiden, berechnen und in gemischten Aufgaben anwenden</x:v>
      </x:c>
      <x:c r="I23" s="60" t="str">
        <x:v>LE: Kombiniertes Wiederholungsexperiment – Arbeit, Leistung und Energie an einer Kugelbahn
SE: Stationenlernen mit gemischten Aufgaben zu Arbeit, Leistung und Energie</x:v>
      </x:c>
      <x:c r="J23" s="60" t="str">
        <x:v>entfällt</x:v>
      </x:c>
      <x:c r="K23" s="60" t="str">
        <x:v>ph_k7_st23_wiederholung_und_vertiefung_arbeit_leistung_energie</x:v>
      </x:c>
      <x:c r="L23" s="60" t="str">
        <x:v>https://raw.githubusercontent.com/burgnetz-wq/froebel/main/bilder/physik/038_arbeit_leistung.jpg</x:v>
      </x:c>
      <x:c r="M23" s="158" t="e">
        <x:f>HYPERLINK("https://burgnetz-wq.github.io/froebel/physik/html/ph7_stunde_23_wiederholung.html","Schüler-Modul öffnen")</x:f>
      </x:c>
      <x:c r="N23" s="159" t="e">
        <x:f>HYPERLINK("lehrer/physik/ph_k7_st23_wiederholung_und_vertiefung_arbeit_leistung_energie_orga.html","Vorbereitung öffnen")</x:f>
      </x:c>
    </x:row>
    <x:row r="24" ht="70" customHeight="1">
      <x:c r="A24" s="125" t="str">
        <x:v>Physik</x:v>
      </x:c>
      <x:c r="B24" s="126" t="n">
        <x:v>7</x:v>
      </x:c>
      <x:c r="C24" s="60" t="str">
        <x:v>Mechanik</x:v>
      </x:c>
      <x:c r="D24" s="126" t="n">
        <x:v>24</x:v>
      </x:c>
      <x:c r="E24" s="60" t="str">
        <x:v>Masse, Volumen und Dichte</x:v>
      </x:c>
      <x:c r="F24" s="60" t="str">
        <x:v>Formel als vorgegebene Rechenvorschrift, Messtabelle mit vorgegebenen Spalten, nur ein Körper wird vollständig vermessen.</x:v>
      </x:c>
      <x:c r="G24" s="60" t="str">
        <x:v>Selbstständige Messung und Berechnung für zwei Körper, Vergleich mit einer Tabelle bekannter Stoffdichten. Begründen, warum die Dichte unabhängig von der Körpergröße eine Stoffeigenschaft ist, und ein Alltagsbeispiel nennen, bei dem die Dichte über Schwimmen oder Sinken entscheidet.</x:v>
      </x:c>
      <x:c r="H24" s="60" t="str">
        <x:v>Die Dichte als Verhältnis von Masse zu Volumen berechnen und zur Unterscheidung von Stoffen nutzen</x:v>
      </x:c>
      <x:c r="I24" s="60" t="str">
        <x:v>LE: Masse- und Volumenbestimmung eines Metallkörpers mit Waage und Wasserverdrängung
SE: Automatisierte Volumenbestimmung durch Wasserstandsmessung mit dem Ultraschallsensor</x:v>
      </x:c>
      <x:c r="J24" s="60" t="str">
        <x:v>Automatisierte Messung des Wasserstands vor und nach dem Eintauchen eines Körpers zur Bestimmung seines Volumens (Schülerexperiment)</x:v>
      </x:c>
      <x:c r="K24" s="60" t="str">
        <x:v>ph_k7_st24_masse_volumen_und_dichte</x:v>
      </x:c>
      <x:c r="L24" s="60" t="str">
        <x:v>https://raw.githubusercontent.com/burgnetz-wq/froebel/main/bilder/physik/025_dichte_experiment.jpg</x:v>
      </x:c>
      <x:c r="M24" s="158" t="e">
        <x:f>HYPERLINK("https://burgnetz-wq.github.io/froebel/physik/html/ph7_stunde_24_dichte.html","Schüler-Modul öffnen")</x:f>
      </x:c>
      <x:c r="N24" s="159" t="e">
        <x:f>HYPERLINK("lehrer/physik/ph_k7_st24_masse_volumen_und_dichte_orga.html","Vorbereitung öffnen")</x:f>
      </x:c>
    </x:row>
    <x:row r="25" ht="70" customHeight="1">
      <x:c r="A25" s="127" t="str">
        <x:v>Physik</x:v>
      </x:c>
      <x:c r="B25" s="128" t="n">
        <x:v>7</x:v>
      </x:c>
      <x:c r="C25" s="63" t="str">
        <x:v>Mechanik</x:v>
      </x:c>
      <x:c r="D25" s="128" t="n">
        <x:v>25</x:v>
      </x:c>
      <x:c r="E25" s="63" t="str">
        <x:v>Auftrieb – Warum schwimmen manche Dinge?</x:v>
      </x:c>
      <x:c r="F25" s="63" t="str">
        <x:v>Beobachtungstabelle mit vorgegebenen Symbolen (schwimmt/sinkt) ausfüllen, Dichtevergleich als einfaches Größer/Kleiner-Zeichen.</x:v>
      </x:c>
      <x:c r="G25" s="63" t="str">
        <x:v>Vollständige Untersuchung mit eigener Begründung des Zusammenhangs zwischen Dichte und Schwimmverhalten. Die Zusatzaufgabe zum Stahlschiff bearbeiten und dabei den Begriff der mittleren Dichte eines zusammengesetzten Körpers erklären.</x:v>
      </x:c>
      <x:c r="H25" s="63" t="str">
        <x:v>Den Auftrieb als Kraft erklären, die der Gewichtskraft in einer Flüssigkeit entgegenwirkt, und das Schwimmen oder Sinken mit der Dichte begründen</x:v>
      </x:c>
      <x:c r="I25" s="63" t="str">
        <x:v>LE: Gewichtskraft eines Körpers in Luft und in Wasser vergleichen
SE: Schwimmverhalten verschiedener Körper untersuchen und mit der Dichte begründen</x:v>
      </x:c>
      <x:c r="J25" s="63" t="str">
        <x:v>entfällt</x:v>
      </x:c>
      <x:c r="K25" s="63" t="str">
        <x:v>ph_k7_st25_auftrieb_warum_schwimmen_manche_dinge</x:v>
      </x:c>
      <x:c r="L25" s="63" t="str">
        <x:v>https://raw.githubusercontent.com/burgnetz-wq/froebel/main/bilder/physik/081_auftrieb.jpg</x:v>
      </x:c>
      <x:c r="M25" s="160" t="e">
        <x:f>HYPERLINK("https://burgnetz-wq.github.io/froebel/physik/html/ph7_stunde_25_auftrieb.html","Schüler-Modul öffnen")</x:f>
      </x:c>
      <x:c r="N25" s="161" t="e">
        <x:f>HYPERLINK("lehrer/physik/ph_k7_st25_auftrieb_warum_schwimmen_manche_dinge_orga.html","Vorbereitung öffnen")</x:f>
      </x:c>
    </x:row>
  </x:sheetData>
  <x:mergeCells>
    <x:mergeCell ref="A1:N1"/>
    <x:mergeCell ref="A2:N2"/>
  </x:mergeCells>
  <x:pageMargins left="0.7" right="0.7" top="0.75" bottom="0.75" header="0.3" footer="0.3"/>
  <x:tableParts count="1">
    <x:tablePart xmlns:r="http://schemas.openxmlformats.org/officeDocument/2006/relationships" r:id="R88382ea432784924"/>
  </x:tableParts>
</x:worksheet>
</file>

<file path=xl/worksheets/sheet4.xml><?xml version="1.0" encoding="utf-8"?>
<x:worksheet xmlns:x="http://schemas.openxmlformats.org/spreadsheetml/2006/main">
  <x:sheetFormatPr defaultRowHeight="15"/>
  <x:cols>
    <x:col min="1" max="1" width="13" hidden="0" customWidth="1"/>
    <x:col min="2" max="2" width="9" hidden="0" customWidth="1"/>
    <x:col min="3" max="3" width="26" hidden="0" customWidth="1"/>
    <x:col min="4" max="4" width="9" hidden="0" customWidth="1"/>
    <x:col min="5" max="5" width="42" hidden="0" customWidth="1"/>
    <x:col min="6" max="6" width="42" hidden="0" customWidth="1"/>
    <x:col min="7" max="7" width="45" hidden="0" customWidth="1"/>
    <x:col min="8" max="8" width="44" hidden="0" customWidth="1"/>
    <x:col min="9" max="9" width="50" hidden="0" customWidth="1"/>
    <x:col min="10" max="10" width="36" hidden="0" customWidth="1"/>
    <x:col min="11" max="11" width="42" hidden="0" customWidth="1"/>
    <x:col min="12" max="12" width="52" hidden="0" customWidth="1"/>
    <x:col min="13" max="13" width="22" hidden="0" customWidth="1"/>
    <x:col min="14" max="14" width="24" hidden="0" customWidth="1"/>
  </x:cols>
  <x:sheetData>
    <x:row r="1" ht="34" customHeight="1">
      <x:c r="A1" s="111" t="str">
        <x:v>Physik Klasse 8 – kombinierter Stoffverteilungsplan HSA/RSA</x:v>
      </x:c>
      <x:c r="B1" s="111"/>
      <x:c r="C1" s="111"/>
      <x:c r="D1" s="111"/>
      <x:c r="E1" s="111"/>
      <x:c r="F1" s="111"/>
      <x:c r="G1" s="111"/>
      <x:c r="H1" s="111"/>
      <x:c r="I1" s="111"/>
      <x:c r="J1" s="111"/>
      <x:c r="K1" s="111"/>
      <x:c r="L1" s="111"/>
      <x:c r="M1" s="111"/>
      <x:c r="N1" s="111"/>
    </x:row>
    <x:row r="2" ht="42" customHeight="1">
      <x:c r="A2" s="115" t="str">
        <x:v>Jede Zeile entspricht einer Unterrichtsstunde. Die Schüler-Module werden aus der bestehenden GitHub-Pages-Struktur geöffnet; die Lehrer-Vorbereitungen liegen im beigefügten Ordner.</x:v>
      </x:c>
      <x:c r="B2" s="115"/>
      <x:c r="C2" s="115"/>
      <x:c r="D2" s="115"/>
      <x:c r="E2" s="115"/>
      <x:c r="F2" s="115"/>
      <x:c r="G2" s="115"/>
      <x:c r="H2" s="115"/>
      <x:c r="I2" s="115"/>
      <x:c r="J2" s="115"/>
      <x:c r="K2" s="115"/>
      <x:c r="L2" s="115"/>
      <x:c r="M2" s="115"/>
      <x:c r="N2" s="115"/>
    </x:row>
    <x:row r="4" ht="42" customHeight="1">
      <x:c r="A4" s="117" t="str">
        <x:v>Fach</x:v>
      </x:c>
      <x:c r="B4" s="118" t="str">
        <x:v>Klasse</x:v>
      </x:c>
      <x:c r="C4" s="118" t="str">
        <x:v>Lernbereich</x:v>
      </x:c>
      <x:c r="D4" s="118" t="str">
        <x:v>Stunde</x:v>
      </x:c>
      <x:c r="E4" s="118" t="str">
        <x:v>Thema der Unterrichtsstunde</x:v>
      </x:c>
      <x:c r="F4" s="118" t="str">
        <x:v>Inhalt HSA</x:v>
      </x:c>
      <x:c r="G4" s="118" t="str">
        <x:v>Inhalt RSA</x:v>
      </x:c>
      <x:c r="H4" s="118" t="str">
        <x:v>Kompetenz</x:v>
      </x:c>
      <x:c r="I4" s="118" t="str">
        <x:v>Experiment / Material</x:v>
      </x:c>
      <x:c r="J4" s="118" t="str">
        <x:v>Arduino-Einsatz</x:v>
      </x:c>
      <x:c r="K4" s="118" t="str">
        <x:v>Modul-ID</x:v>
      </x:c>
      <x:c r="L4" s="118" t="str">
        <x:v>Bild aus GitHub</x:v>
      </x:c>
      <x:c r="M4" s="118" t="str">
        <x:v>Schüler-Modul</x:v>
      </x:c>
      <x:c r="N4" s="119" t="str">
        <x:v>Lehrer-Vorbereitung</x:v>
      </x:c>
    </x:row>
    <x:row r="5" ht="70" customHeight="1">
      <x:c r="A5" s="123" t="str">
        <x:v>Physik</x:v>
      </x:c>
      <x:c r="B5" s="124" t="n">
        <x:v>8</x:v>
      </x:c>
      <x:c r="C5" s="57" t="str">
        <x:v>Mechanik</x:v>
      </x:c>
      <x:c r="D5" s="124" t="n">
        <x:v>1</x:v>
      </x:c>
      <x:c r="E5" s="57" t="str">
        <x:v>Geschwindigkeit – Was bedeutet „schnell“?</x:v>
      </x:c>
      <x:c r="F5" s="57" t="str">
        <x:v>Formel als vorgegebene Rechenvorschrift, nur die Geschwindigkeit in m/s berechnen.</x:v>
      </x:c>
      <x:c r="G5" s="57" t="str">
        <x:v>Vollständige Berechnung inklusive Umrechnung in km/h für beide Bewegungsarten. Die Zusatzaufgabe zur menschlichen Höchstgeschwindigkeit bearbeiten und das Verhältnis zur eigenen Geschwindigkeit einordnen.</x:v>
      </x:c>
      <x:c r="H5" s="57" t="str">
        <x:v>Die Geschwindigkeit als Verhältnis von Weg zu Zeit berechnen und zwischen m/s und km/h umrechnen</x:v>
      </x:c>
      <x:c r="I5" s="57" t="str">
        <x:v>LE: Zeitmessung eines rollenden Wagens über eine bekannte Messstrecke
SE: Geschwindigkeit bei verschiedenen Strecken und Zeiten berechnen und mit Alltagsgeschwindigkeiten vergleichen</x:v>
      </x:c>
      <x:c r="J5" s="57" t="str">
        <x:v>entfällt</x:v>
      </x:c>
      <x:c r="K5" s="57" t="str">
        <x:v>ph_k8_st01_geschwindigkeit_was_bedeutet_schnell</x:v>
      </x:c>
      <x:c r="L5" s="57" t="str">
        <x:v>https://raw.githubusercontent.com/burgnetz-wq/froebel/main/bilder/physik/023_gleichfoermige_bewegung.jpg</x:v>
      </x:c>
      <x:c r="M5" s="156" t="e">
        <x:f>HYPERLINK("https://burgnetz-wq.github.io/froebel/physik/html/ph8_stunde_01_geschwindigkeit.html","Schüler-Modul öffnen")</x:f>
      </x:c>
      <x:c r="N5" s="157" t="e">
        <x:f>HYPERLINK("lehrer/physik/ph_k8_st01_geschwindigkeit_was_bedeutet_schnell_orga.html","Vorbereitung öffnen")</x:f>
      </x:c>
    </x:row>
    <x:row r="6" ht="70" customHeight="1">
      <x:c r="A6" s="125" t="str">
        <x:v>Physik</x:v>
      </x:c>
      <x:c r="B6" s="126" t="n">
        <x:v>8</x:v>
      </x:c>
      <x:c r="C6" s="60" t="str">
        <x:v>Mechanik</x:v>
      </x:c>
      <x:c r="D6" s="126" t="n">
        <x:v>2</x:v>
      </x:c>
      <x:c r="E6" s="60" t="str">
        <x:v>Bewegungsarten und das Weg-Zeit-Diagramm</x:v>
      </x:c>
      <x:c r="F6" s="60" t="str">
        <x:v>Diagrammraster mit bereits eingezeichneten Achsen und Hilfslinien nutzen, nur die Musterdaten übertragen.</x:v>
      </x:c>
      <x:c r="G6" s="60" t="str">
        <x:v>Eigenes Diagramm mit selbst gewähltem, passendem Maßstab zeichnen und beide Bewegungsabschnitte kennzeichnen. Aus den Diagrammdaten die Geschwindigkeit als Steigung der Geraden berechnen und mit einer direkten Berechnung über $$v=\frac{s}{t}$$ vergleichen.</x:v>
      </x:c>
      <x:c r="H6" s="60" t="str">
        <x:v>Gleichförmige und ungleichförmige Bewegung unterscheiden und ein Weg-Zeit-Diagramm lesen und zeichnen</x:v>
      </x:c>
      <x:c r="I6" s="60" t="str">
        <x:v>LE: Automatisierte Positionsmessung eines rollenden Wagens mit dem Ultraschallsensor
SE: Eigenes Weg-Zeit-Diagramm aus gemessenen Positionsdaten zeichnen</x:v>
      </x:c>
      <x:c r="J6" s="60" t="str">
        <x:v>Fortlaufende Positionsmessung eines Wagens zur Erstellung eines Weg-Zeit-Diagramms (Lehrerdemonstration)</x:v>
      </x:c>
      <x:c r="K6" s="60" t="str">
        <x:v>ph_k8_st02_bewegungsarten_und_das_weg_zeit_diagramm</x:v>
      </x:c>
      <x:c r="L6" s="60" t="str">
        <x:v>https://raw.githubusercontent.com/burgnetz-wq/froebel/main/bilder/physik/023_gleichfoermige_bewegung.jpg</x:v>
      </x:c>
      <x:c r="M6" s="158" t="e">
        <x:f>HYPERLINK("https://burgnetz-wq.github.io/froebel/physik/html/ph8_stunde_02_weg_zeit_diagramm.html","Schüler-Modul öffnen")</x:f>
      </x:c>
      <x:c r="N6" s="159" t="e">
        <x:f>HYPERLINK("lehrer/physik/ph_k8_st02_bewegungsarten_und_das_weg_zeit_diagramm_orga.html","Vorbereitung öffnen")</x:f>
      </x:c>
    </x:row>
    <x:row r="7" ht="70" customHeight="1">
      <x:c r="A7" s="125" t="str">
        <x:v>Physik</x:v>
      </x:c>
      <x:c r="B7" s="126" t="n">
        <x:v>8</x:v>
      </x:c>
      <x:c r="C7" s="60" t="str">
        <x:v>Mechanik</x:v>
      </x:c>
      <x:c r="D7" s="126" t="n">
        <x:v>3</x:v>
      </x:c>
      <x:c r="E7" s="60" t="str">
        <x:v>Durchschnitts- und Momentangeschwindigkeit</x:v>
      </x:c>
      <x:c r="F7" s="60" t="str">
        <x:v>Nur die Durchschnittsgeschwindigkeit über die Gesamtstrecke berechnen, Momentangeschwindigkeit nur qualitativ als „steiler/flacher" beschreiben.</x:v>
      </x:c>
      <x:c r="G7" s="60" t="str">
        <x:v>Vollständige Berechnung von Durchschnitts- und Momentangeschwindigkeit für zwei Abschnitte. Die Zusatzaufgabe zum Autotacho bearbeiten und begründen, warum für die Verkehrssicherheit die Momentangeschwindigkeit entscheidend ist.</x:v>
      </x:c>
      <x:c r="H7" s="60" t="str">
        <x:v>Durchschnittsgeschwindigkeit und Momentangeschwindigkeit unterscheiden und aus einem Weg-Zeit-Diagramm ablesen</x:v>
      </x:c>
      <x:c r="I7" s="60" t="str">
        <x:v>LE: Analyse eines vorgegebenen Weg-Zeit-Diagramms mit unterschiedlich steilen Abschnitten
SE: Durchschnittsgeschwindigkeit aus eigenen Messdaten berechnen und Momentangeschwindigkeit schätzen</x:v>
      </x:c>
      <x:c r="J7" s="60" t="str">
        <x:v>entfällt</x:v>
      </x:c>
      <x:c r="K7" s="60" t="str">
        <x:v>ph_k8_st03_durchschnitts_und_momentangeschwindigkeit</x:v>
      </x:c>
      <x:c r="L7" s="60" t="str">
        <x:v>https://raw.githubusercontent.com/burgnetz-wq/froebel/main/bilder/physik/023_gleichfoermige_bewegung.jpg</x:v>
      </x:c>
      <x:c r="M7" s="158" t="e">
        <x:f>HYPERLINK("https://burgnetz-wq.github.io/froebel/physik/html/ph8_stunde_03_durchschnitt_moment.html","Schüler-Modul öffnen")</x:f>
      </x:c>
      <x:c r="N7" s="159" t="e">
        <x:f>HYPERLINK("lehrer/physik/ph_k8_st03_durchschnitts_und_momentangeschwindigkeit_orga.html","Vorbereitung öffnen")</x:f>
      </x:c>
    </x:row>
    <x:row r="8" ht="70" customHeight="1">
      <x:c r="A8" s="125" t="str">
        <x:v>Physik</x:v>
      </x:c>
      <x:c r="B8" s="126" t="n">
        <x:v>8</x:v>
      </x:c>
      <x:c r="C8" s="60" t="str">
        <x:v>Mechanik</x:v>
      </x:c>
      <x:c r="D8" s="126" t="n">
        <x:v>4</x:v>
      </x:c>
      <x:c r="E8" s="60" t="str">
        <x:v>Beschleunigung – Wenn sich die Geschwindigkeit ändert</x:v>
      </x:c>
      <x:c r="F8" s="60" t="str">
        <x:v>Nur eine Neigung messen, vorgegebenes Rechenschema mit Zwischenschritten nutzen.</x:v>
      </x:c>
      <x:c r="G8" s="60" t="str">
        <x:v>Beide Neigungen selbstständig messen, berechnen und vergleichen. Die Zusatzaufgabe zur reibungsfreien, waagerechten Bahn bearbeiten und den Unterschied zwischen „keine Kraft nötig für gleichförmige Bewegung" und „Kraft nötig für Beschleunigung" in eigenen Worten erklären.</x:v>
      </x:c>
      <x:c r="H8" s="60" t="str">
        <x:v>Die Beschleunigung als Geschwindigkeitsänderung pro Zeit berechnen und mit einem Sensor messen</x:v>
      </x:c>
      <x:c r="I8" s="60" t="str">
        <x:v>LE: Geschwindigkeitszunahme eines Wagens auf einer geneigten Bahn automatisiert messen
SE: Beschleunigung bei unterschiedlicher Neigung berechnen und vergleichen</x:v>
      </x:c>
      <x:c r="J8" s="60" t="str">
        <x:v>Fortlaufende Positionsmessung zur Berechnung der Geschwindigkeitszunahme und daraus der Beschleunigung (Schülerexperiment)</x:v>
      </x:c>
      <x:c r="K8" s="60" t="str">
        <x:v>ph_k8_st04_beschleunigung_wenn_sich_die_geschwindigkeit_andert</x:v>
      </x:c>
      <x:c r="L8" s="60" t="str">
        <x:v>https://raw.githubusercontent.com/burgnetz-wq/froebel/main/bilder/physik/092_beschleunigung.jpg</x:v>
      </x:c>
      <x:c r="M8" s="158" t="e">
        <x:f>HYPERLINK("https://burgnetz-wq.github.io/froebel/physik/html/ph8_stunde_04_beschleunigung.html","Schüler-Modul öffnen")</x:f>
      </x:c>
      <x:c r="N8" s="159" t="e">
        <x:f>HYPERLINK("lehrer/physik/ph_k8_st04_beschleunigung_wenn_sich_die_geschwindigkeit_andert_orga.html","Vorbereitung öffnen")</x:f>
      </x:c>
    </x:row>
    <x:row r="9" ht="70" customHeight="1">
      <x:c r="A9" s="125" t="str">
        <x:v>Physik</x:v>
      </x:c>
      <x:c r="B9" s="126" t="n">
        <x:v>8</x:v>
      </x:c>
      <x:c r="C9" s="60" t="str">
        <x:v>Mechanik</x:v>
      </x:c>
      <x:c r="D9" s="126" t="n">
        <x:v>9</x:v>
      </x:c>
      <x:c r="E9" s="60" t="str">
        <x:v>Wiederholung Dynamik</x:v>
      </x:c>
      <x:c r="F9" s="60" t="str">
        <x:v>Vier ausgewählte Stationen mit Formelsammlung und vereinfachten Zahlenwerten bearbeiten.</x:v>
      </x:c>
      <x:c r="G9" s="60" t="str">
        <x:v>Alle sechs Stationen selbstständig bearbeiten und mit der Lösungskarte kontrollieren. Eigene Zusatzfragen zu mindestens zwei Stationen formulieren und mit einer anderen Gruppe tauschen.</x:v>
      </x:c>
      <x:c r="H9" s="60" t="str">
        <x:v>Die Größen und Gesetze der Bewegungslehre (Geschwindigkeit, Beschleunigung, die drei Newtonschen Gesetze, Impuls) sicher unterscheiden und in gemischten Aufgaben anwenden</x:v>
      </x:c>
      <x:c r="I9" s="60" t="str">
        <x:v>LE: Kurze Recap-Demonstration eines von den Schülern gewählten Lieblingsversuchs aus den Stunden 1–8
SE: Stationenlernen mit gemischten Aufgaben zu Kinematik und Dynamik</x:v>
      </x:c>
      <x:c r="J9" s="60" t="str">
        <x:v>entfällt</x:v>
      </x:c>
      <x:c r="K9" s="60" t="str">
        <x:v>ph_k8_st09_wiederholung_dynamik</x:v>
      </x:c>
      <x:c r="L9" s="60" t="str">
        <x:v>https://raw.githubusercontent.com/burgnetz-wq/froebel/main/bilder/physik/097_formeln_uebersicht.jpg</x:v>
      </x:c>
      <x:c r="M9" s="158" t="e">
        <x:f>HYPERLINK("https://burgnetz-wq.github.io/froebel/physik/html/ph8_stunde_09_wiederholung_dynamik.html","Schüler-Modul öffnen")</x:f>
      </x:c>
      <x:c r="N9" s="159" t="e">
        <x:f>HYPERLINK("lehrer/physik/ph_k8_st09_wiederholung_dynamik_orga.html","Vorbereitung öffnen")</x:f>
      </x:c>
    </x:row>
    <x:row r="10" ht="70" customHeight="1">
      <x:c r="A10" s="125" t="str">
        <x:v>Physik</x:v>
      </x:c>
      <x:c r="B10" s="126" t="n">
        <x:v>8</x:v>
      </x:c>
      <x:c r="C10" s="60" t="str">
        <x:v>Wärmelehre</x:v>
      </x:c>
      <x:c r="D10" s="126" t="n">
        <x:v>10</x:v>
      </x:c>
      <x:c r="E10" s="60" t="str">
        <x:v>Aggregatzustände</x:v>
      </x:c>
      <x:c r="F10" s="60" t="str">
        <x:v>Diagrammraster mit bereits eingezeichneten Achsen und Hilfslinien nutzen, nur die Musterdaten übertragen.</x:v>
      </x:c>
      <x:c r="G10" s="60" t="str">
        <x:v>Eigenes Diagramm mit selbst gewähltem, passendem Maßstab zeichnen und beide Plateaus korrekt beschriften. Die Zusatzaufgabe zu Schmelz- und Siedepunkten anderer Stoffe bearbeiten und die Werte mit Wasser vergleichen.</x:v>
      </x:c>
      <x:c r="H10" s="60" t="str">
        <x:v>Die drei Aggregatzustände und ihre Übergänge beschreiben und die Erhitzungskurve von Eis bis Dampf mit Messwerten belegen</x:v>
      </x:c>
      <x:c r="I10" s="60" t="str">
        <x:v>LE: Erhitzen von Eis bis zum Sieden mit automatisierter Temperaturaufzeichnung
SE: Temperatur-Zeit-Diagramm zeichnen und die Plateaus den Phasenübergängen zuordnen</x:v>
      </x:c>
      <x:c r="J10" s="60" t="str">
        <x:v>Automatisierte Temperaturaufzeichnung beim Erhitzen von Eis bis zum Sieden zur Erstellung einer Erhitzungskurve (Lehrerdemonstration)</x:v>
      </x:c>
      <x:c r="K10" s="60" t="str">
        <x:v>ph_k8_st10_aggregatzustande</x:v>
      </x:c>
      <x:c r="L10" s="60" t="str">
        <x:v>https://raw.githubusercontent.com/burgnetz-wq/froebel/main/bilder/physik/026_temperatur_waerme.jpg</x:v>
      </x:c>
      <x:c r="M10" s="158" t="e">
        <x:f>HYPERLINK("https://burgnetz-wq.github.io/froebel/physik/html/ph8_stunde_10_aggregatzustaende.html","Schüler-Modul öffnen")</x:f>
      </x:c>
      <x:c r="N10" s="159" t="e">
        <x:f>HYPERLINK("lehrer/physik/ph_k8_st10_aggregatzustande_orga.html","Vorbereitung öffnen")</x:f>
      </x:c>
    </x:row>
    <x:row r="11" ht="70" customHeight="1">
      <x:c r="A11" s="125" t="str">
        <x:v>Physik</x:v>
      </x:c>
      <x:c r="B11" s="126" t="n">
        <x:v>8</x:v>
      </x:c>
      <x:c r="C11" s="60" t="str">
        <x:v>Wärmelehre</x:v>
      </x:c>
      <x:c r="D11" s="126" t="n">
        <x:v>11</x:v>
      </x:c>
      <x:c r="E11" s="60" t="str">
        <x:v>Wärmeausdehnung</x:v>
      </x:c>
      <x:c r="F11" s="60" t="str">
        <x:v>Beobachtungstabelle mit vorgegebenen Antwortmöglichkeiten zum Ankreuzen.</x:v>
      </x:c>
      <x:c r="G11" s="60" t="str">
        <x:v>Vollständige eigene Formulierung von Beobachtung und Vergleich für Flüssigkeit und Gas. Die Zusatzaufgabe zu weiteren technischen Anwendungen bearbeiten und mit eigenen Worten erklären, wie die Wärmeausdehnung dabei genutzt wird.</x:v>
      </x:c>
      <x:c r="H11" s="60" t="str">
        <x:v>Die Wärmeausdehnung fester Körper, Flüssigkeiten und Gase beschreiben und technische Anwendungen erklären</x:v>
      </x:c>
      <x:c r="I11" s="60" t="str">
        <x:v>LE: Ringversuch zur Ausdehnung fester Körper und Bimetallstreifen-Versuch
SE: Ausdehnung von Flüssigkeit und Gas bei Erwärmung beobachten</x:v>
      </x:c>
      <x:c r="J11" s="60" t="str">
        <x:v>entfällt</x:v>
      </x:c>
      <x:c r="K11" s="60" t="str">
        <x:v>ph_k8_st11_warmeausdehnung</x:v>
      </x:c>
      <x:c r="L11" s="60" t="str">
        <x:v>https://raw.githubusercontent.com/burgnetz-wq/froebel/main/bilder/physik/026_temperatur_waerme.jpg</x:v>
      </x:c>
      <x:c r="M11" s="158" t="e">
        <x:f>HYPERLINK("https://burgnetz-wq.github.io/froebel/physik/html/ph8_stunde_11_waermeausdehnung.html","Schüler-Modul öffnen")</x:f>
      </x:c>
      <x:c r="N11" s="159" t="e">
        <x:f>HYPERLINK("lehrer/physik/ph_k8_st11_warmeausdehnung_orga.html","Vorbereitung öffnen")</x:f>
      </x:c>
    </x:row>
    <x:row r="12" ht="70" customHeight="1">
      <x:c r="A12" s="125" t="str">
        <x:v>Physik</x:v>
      </x:c>
      <x:c r="B12" s="126" t="n">
        <x:v>8</x:v>
      </x:c>
      <x:c r="C12" s="60" t="str">
        <x:v>Wärmelehre</x:v>
      </x:c>
      <x:c r="D12" s="126" t="n">
        <x:v>12</x:v>
      </x:c>
      <x:c r="E12" s="60" t="str">
        <x:v>Wärmemenge und spezifische Wärmekapazität</x:v>
      </x:c>
      <x:c r="F12" s="60" t="str">
        <x:v>Formel als vorgegebene Rechenvorschrift, nur die Wärmemenge für Wasser berechnen.</x:v>
      </x:c>
      <x:c r="G12" s="60" t="str">
        <x:v>Vollständige Berechnung der Wärmemenge für beide Stoffe und Vergleich. Die Zusatzaufgabe zur Erwärmung von 1 kg Wasser und 1 kg Öl um 20 K bearbeiten und das Ergebnis mit dem Anfangsbeispiel (Sand und Wasser am Strand) in Verbindung bringen.</x:v>
      </x:c>
      <x:c r="H12" s="60" t="str">
        <x:v>Die Wärmemenge Q = c · m · ΔT berechnen und die spezifische Wärmekapazität verschiedener Stoffe vergleichen</x:v>
      </x:c>
      <x:c r="I12" s="60" t="str">
        <x:v>LE: Gleichzeitiges Erwärmen von Wasser und Öl mit gleicher Heizleistung und automatisierter Temperaturmessung
SE: Temperaturanstieg beider Stoffe vergleichen und die Wärmemenge berechnen</x:v>
      </x:c>
      <x:c r="J12" s="60" t="str">
        <x:v>Gleichzeitige, automatisierte Temperaturmessung zweier Stoffe zur Bestimmung der unterschiedlichen spezifischen Wärmekapazität (Schülerexperiment)</x:v>
      </x:c>
      <x:c r="K12" s="60" t="str">
        <x:v>ph_k8_st12_warmemenge_und_spezifische_warmekapazitat</x:v>
      </x:c>
      <x:c r="L12" s="60" t="str">
        <x:v>https://raw.githubusercontent.com/burgnetz-wq/froebel/main/bilder/physik/026_temperatur_waerme.jpg</x:v>
      </x:c>
      <x:c r="M12" s="158" t="e">
        <x:f>HYPERLINK("https://burgnetz-wq.github.io/froebel/physik/html/ph8_stunde_12_waermekapazitaet.html","Schüler-Modul öffnen")</x:f>
      </x:c>
      <x:c r="N12" s="159" t="e">
        <x:f>HYPERLINK("lehrer/physik/ph_k8_st12_warmemenge_und_spezifische_warmekapazitat_orga.html","Vorbereitung öffnen")</x:f>
      </x:c>
    </x:row>
    <x:row r="13" ht="70" customHeight="1">
      <x:c r="A13" s="125" t="str">
        <x:v>Physik</x:v>
      </x:c>
      <x:c r="B13" s="126" t="n">
        <x:v>8</x:v>
      </x:c>
      <x:c r="C13" s="60" t="str">
        <x:v>Physik</x:v>
      </x:c>
      <x:c r="D13" s="126" t="n">
        <x:v>17</x:v>
      </x:c>
      <x:c r="E13" s="60" t="str">
        <x:v>Magnetismus</x:v>
      </x:c>
      <x:c r="F13" s="60" t="str">
        <x:v>Beobachtungstabelle mit vorgegebenen Antwortmöglichkeiten zum Ankreuzen, nur drei Materialproben testen.</x:v>
      </x:c>
      <x:c r="G13" s="60" t="str">
        <x:v>Vollständiger Materialtest und Poluntersuchung mit eigener Formulierung der Ergebnisse. Die Zusatzaufgabe zur fehlenden Magnetisierbarkeit von Aluminium und Kupfer bearbeiten und mit eigenen Worten begründen.</x:v>
      </x:c>
      <x:c r="H13" s="60" t="str">
        <x:v>Magnetpole, das Feldlinienbild eines Magneten und magnetisierbare Stoffe beschreiben</x:v>
      </x:c>
      <x:c r="I13" s="60" t="str">
        <x:v>LE: Sichtbarmachen des Feldlinienbildes eines Stabmagneten mit Eisenspänen
SE: Untersuchung der Magnetisierbarkeit verschiedener Materialien und der Anziehung/Abstoßung zweier Magnete</x:v>
      </x:c>
      <x:c r="J13" s="60" t="str">
        <x:v>entfällt</x:v>
      </x:c>
      <x:c r="K13" s="60" t="str">
        <x:v>ph_k8_st17_magnetismus</x:v>
      </x:c>
      <x:c r="L13" s="60" t="str">
        <x:v>https://raw.githubusercontent.com/burgnetz-wq/froebel/main/bilder/physik/090_physik_klassenraum.jpg</x:v>
      </x:c>
      <x:c r="M13" s="158" t="e">
        <x:f>HYPERLINK("https://burgnetz-wq.github.io/froebel/physik/html/ph8_stunde_17_magnetismus.html","Schüler-Modul öffnen")</x:f>
      </x:c>
      <x:c r="N13" s="159" t="e">
        <x:f>HYPERLINK("lehrer/physik/ph_k8_st17_magnetismus_orga.html","Vorbereitung öffnen")</x:f>
      </x:c>
    </x:row>
    <x:row r="14" ht="70" customHeight="1">
      <x:c r="A14" s="125" t="str">
        <x:v>Physik</x:v>
      </x:c>
      <x:c r="B14" s="126" t="n">
        <x:v>8</x:v>
      </x:c>
      <x:c r="C14" s="60" t="str">
        <x:v>Physik</x:v>
      </x:c>
      <x:c r="D14" s="126" t="n">
        <x:v>18</x:v>
      </x:c>
      <x:c r="E14" s="60" t="str">
        <x:v>Kompass</x:v>
      </x:c>
      <x:c r="F14" s="60" t="str">
        <x:v>Fertig magnetisierte Nadel verwenden, nur den Schwimmversuch durchführen und Beobachtung mit vorgegebenen Antwortmöglichkeiten beschreiben.</x:v>
      </x:c>
      <x:c r="G14" s="60" t="str">
        <x:v>Nadel selbst magnetisieren, vollständigen Kompass bauen und mit einem echten Kompass vergleichen. Die Zusatzaufgabe zum Unterschied zwischen geografischem und magnetischem Nordpol bearbeiten.</x:v>
      </x:c>
      <x:c r="H14" s="60" t="str">
        <x:v>Das Magnetfeld der Erde als Ursache der Kompassausrichtung erklären und einen einfachen Kompass selbst bauen</x:v>
      </x:c>
      <x:c r="I14" s="60" t="str">
        <x:v>LE: Vorführung eines Kompasses und Beobachtung der Störung durch einen Magneten in der Nähe
SE: Bau eines einfachen schwimmenden Kompasses aus einer magnetisierten Nähnadel</x:v>
      </x:c>
      <x:c r="J14" s="60" t="str">
        <x:v>entfällt</x:v>
      </x:c>
      <x:c r="K14" s="60" t="str">
        <x:v>ph_k8_st18_kompass</x:v>
      </x:c>
      <x:c r="L14" s="60" t="str">
        <x:v>https://raw.githubusercontent.com/burgnetz-wq/froebel/main/bilder/physik/018_kompass_erdmagnetfeld.jpg</x:v>
      </x:c>
      <x:c r="M14" s="158" t="e">
        <x:f>HYPERLINK("https://burgnetz-wq.github.io/froebel/physik/html/ph8_stunde_18_kompass.html","Schüler-Modul öffnen")</x:f>
      </x:c>
      <x:c r="N14" s="159" t="e">
        <x:f>HYPERLINK("lehrer/physik/ph_k8_st18_kompass_orga.html","Vorbereitung öffnen")</x:f>
      </x:c>
    </x:row>
    <x:row r="15" ht="70" customHeight="1">
      <x:c r="A15" s="125" t="str">
        <x:v>Physik</x:v>
      </x:c>
      <x:c r="B15" s="126" t="n">
        <x:v>8</x:v>
      </x:c>
      <x:c r="C15" s="60" t="str">
        <x:v>Physik</x:v>
      </x:c>
      <x:c r="D15" s="126" t="n">
        <x:v>19</x:v>
      </x:c>
      <x:c r="E15" s="60" t="str">
        <x:v>Elektromagnet</x:v>
      </x:c>
      <x:c r="F15" s="60" t="str">
        <x:v>Nur eine Windungszahl testen und die Beobachtung beschreiben.</x:v>
      </x:c>
      <x:c r="G15" s="60" t="str">
        <x:v>Beide Windungszahlen testen und den Zusammenhang zwischen Windungszahl und Hubkraft selbstständig formulieren. Die Zusatzaufgabe zu technischen Anwendungen von Elektromagneten bearbeiten und die Funktionsweise in eigenen Worten erklären.</x:v>
      </x:c>
      <x:c r="H15" s="60" t="str">
        <x:v>Den Zusammenhang zwischen elektrischem Strom und Magnetfeld beschreiben und einen steuerbaren Elektromagneten aufbauen</x:v>
      </x:c>
      <x:c r="I15" s="60" t="str">
        <x:v>LE: Oersted-Versuch und einfacher batteriebetriebener Elektromagnet
SE: Über Arduino gesteuerter Elektromagnet, Vergleich der Hubkraft bei unterschiedlicher Windungszahl</x:v>
      </x:c>
      <x:c r="J15" s="60" t="str">
        <x:v>Steuerung eines selbstgewickelten Elektromagneten über einen Transistor zur Untersuchung der Hubkraft bei unterschiedlicher Windungszahl (Schülerexperiment)</x:v>
      </x:c>
      <x:c r="K15" s="60" t="str">
        <x:v>ph_k8_st19_elektromagnet</x:v>
      </x:c>
      <x:c r="L15" s="60" t="str">
        <x:v>https://raw.githubusercontent.com/burgnetz-wq/froebel/main/bilder/physik/019_elektromagnet.jpg</x:v>
      </x:c>
      <x:c r="M15" s="158" t="e">
        <x:f>HYPERLINK("https://burgnetz-wq.github.io/froebel/physik/html/ph8_stunde_19_elektromagnet.html","Schüler-Modul öffnen")</x:f>
      </x:c>
      <x:c r="N15" s="159" t="e">
        <x:f>HYPERLINK("lehrer/physik/ph_k8_st19_elektromagnet_orga.html","Vorbereitung öffnen")</x:f>
      </x:c>
    </x:row>
    <x:row r="16" ht="70" customHeight="1">
      <x:c r="A16" s="125" t="str">
        <x:v>Physik</x:v>
      </x:c>
      <x:c r="B16" s="126" t="n">
        <x:v>8</x:v>
      </x:c>
      <x:c r="C16" s="60" t="str">
        <x:v>Physik</x:v>
      </x:c>
      <x:c r="D16" s="126" t="n">
        <x:v>20</x:v>
      </x:c>
      <x:c r="E16" s="60" t="str">
        <x:v>Induktion</x:v>
      </x:c>
      <x:c r="F16" s="60" t="str">
        <x:v>Nur eine Bewegungsgeschwindigkeit messen und das Ergebnis qualitativ mit dem LED-Versuch vergleichen.</x:v>
      </x:c>
      <x:c r="G16" s="60" t="str">
        <x:v>Beide Geschwindigkeiten messen, Werte vergleichen und den Zusammenhang selbstständig formulieren. Die Zusatzaufgabe zum Fahrraddynamo bearbeiten und mit der gemessenen Geschwindigkeitsabhängigkeit der induzierten Spannung begründen.</x:v>
      </x:c>
      <x:c r="H16" s="60" t="str">
        <x:v>Elektromagnetische Induktion qualitativ beschreiben und das Grundprinzip eines Generators erklären</x:v>
      </x:c>
      <x:c r="I16" s="60" t="str">
        <x:v>LE: Magnet durch eine Spule bewegen und LED-Aufleuchten beobachten
SE: Automatisierte Messung der induzierten Spannung bei unterschiedlicher Bewegungsgeschwindigkeit des Magneten</x:v>
      </x:c>
      <x:c r="J16" s="60" t="str">
        <x:v>Messung der induzierten Spannung über eine Schutzschaltung am Analogeingang bei unterschiedlich schneller Bewegung eines Magneten durch eine Spule (Schülerexperiment)</x:v>
      </x:c>
      <x:c r="K16" s="60" t="str">
        <x:v>ph_k8_st20_induktion</x:v>
      </x:c>
      <x:c r="L16" s="60" t="str">
        <x:v>https://raw.githubusercontent.com/burgnetz-wq/froebel/main/bilder/physik/043_induktion.jpg</x:v>
      </x:c>
      <x:c r="M16" s="158" t="e">
        <x:f>HYPERLINK("https://burgnetz-wq.github.io/froebel/physik/html/ph8_stunde_20_induktion.html","Schüler-Modul öffnen")</x:f>
      </x:c>
      <x:c r="N16" s="159" t="e">
        <x:f>HYPERLINK("lehrer/physik/ph_k8_st20_induktion_orga.html","Vorbereitung öffnen")</x:f>
      </x:c>
    </x:row>
    <x:row r="17" ht="70" customHeight="1">
      <x:c r="A17" s="125" t="str">
        <x:v>Physik</x:v>
      </x:c>
      <x:c r="B17" s="126" t="n">
        <x:v>8</x:v>
      </x:c>
      <x:c r="C17" s="60" t="str">
        <x:v>Physik</x:v>
      </x:c>
      <x:c r="D17" s="126" t="n">
        <x:v>21</x:v>
      </x:c>
      <x:c r="E17" s="60" t="str">
        <x:v>Wiederholung Magnetismus</x:v>
      </x:c>
      <x:c r="F17" s="60" t="str">
        <x:v>Zwei ausgewählte Stationen mit vorgegebenen Antwortmöglichkeiten bearbeiten.</x:v>
      </x:c>
      <x:c r="G17" s="60" t="str">
        <x:v>Alle vier Stationen selbstständig bearbeiten und mit der Lösungskarte kontrollieren. Eigene Zusatzfragen zu mindestens zwei Stationen formulieren und mit einer anderen Gruppe tauschen.</x:v>
      </x:c>
      <x:c r="H17" s="60" t="str">
        <x:v>Magnetpole, Erdmagnetfeld, Elektromagnetismus und Induktion sicher unterscheiden und in gemischten Aufgaben anwenden</x:v>
      </x:c>
      <x:c r="I17" s="60" t="str">
        <x:v>LE: Kurze Recap-Demonstration eines von den Schülern gewählten Lieblingsversuchs aus den Stunden 17–20
SE: Stationenlernen mit gemischten Aufgaben zu Magnetismus, Erdmagnetfeld, Elektromagnet und Induktion</x:v>
      </x:c>
      <x:c r="J17" s="60" t="str">
        <x:v>entfällt</x:v>
      </x:c>
      <x:c r="K17" s="60" t="str">
        <x:v>ph_k8_st21_wiederholung_magnetismus</x:v>
      </x:c>
      <x:c r="L17" s="60" t="str">
        <x:v>https://raw.githubusercontent.com/burgnetz-wq/froebel/main/bilder/physik/097_formeln_uebersicht.jpg</x:v>
      </x:c>
      <x:c r="M17" s="158" t="e">
        <x:f>HYPERLINK("https://burgnetz-wq.github.io/froebel/physik/html/ph8_stunde_21_wiederholung_magnetismus.html","Schüler-Modul öffnen")</x:f>
      </x:c>
      <x:c r="N17" s="159" t="e">
        <x:f>HYPERLINK("lehrer/physik/ph_k8_st21_wiederholung_magnetismus_orga.html","Vorbereitung öffnen")</x:f>
      </x:c>
    </x:row>
    <x:row r="18" ht="70" customHeight="1">
      <x:c r="A18" s="125" t="str">
        <x:v>Physik</x:v>
      </x:c>
      <x:c r="B18" s="126" t="n">
        <x:v>8</x:v>
      </x:c>
      <x:c r="C18" s="60" t="str">
        <x:v>Physik</x:v>
      </x:c>
      <x:c r="D18" s="126" t="n">
        <x:v>22</x:v>
      </x:c>
      <x:c r="E18" s="60" t="str">
        <x:v>Ohmsches Gesetz</x:v>
      </x:c>
      <x:c r="F18" s="60" t="str">
        <x:v>Nur einen Testwiderstand messen, Formel als vorgegebene Rechenvorschrift zur Kontrolle nutzen.</x:v>
      </x:c>
      <x:c r="G18" s="60" t="str">
        <x:v>Mindestens drei Testwiderstände messen und die Werte mit den Angaben vergleichen. Die Zusatzaufgabe zur Stromstärkeberechnung bei 5 V bearbeiten und mit den tatsächlich am Arduino gemessenen Werten vergleichen.</x:v>
      </x:c>
      <x:c r="H18" s="60" t="str">
        <x:v>Das Ohmsche Gesetz U = R · I anwenden und den elektrischen Widerstand aus gemessener Spannung und Stromstärke berechnen</x:v>
      </x:c>
      <x:c r="I18" s="60" t="str">
        <x:v>LE: Klassische Messung von Spannung und Stromstärke an einem Widerstand mit dem Multimeter
SE: Automatisierte Bestimmung des Widerstandswerts über Spannungsmessung an zwei Punkten der Schaltung</x:v>
      </x:c>
      <x:c r="J18" s="60" t="str">
        <x:v>Automatisierte Bestimmung des elektrischen Widerstands über Spannungsmessung an einem bekannten Shunt-Widerstand zur Stromberechnung (Schülerexperiment)</x:v>
      </x:c>
      <x:c r="K18" s="60" t="str">
        <x:v>ph_k8_st22_ohmsches_gesetz</x:v>
      </x:c>
      <x:c r="L18" s="60" t="str">
        <x:v>https://raw.githubusercontent.com/burgnetz-wq/froebel/main/bilder/physik/005_tafelbild_ohm.jpg</x:v>
      </x:c>
      <x:c r="M18" s="158" t="e">
        <x:f>HYPERLINK("https://burgnetz-wq.github.io/froebel/physik/html/ph8_stunde_22_ohmsches_gesetz.html","Schüler-Modul öffnen")</x:f>
      </x:c>
      <x:c r="N18" s="159" t="e">
        <x:f>HYPERLINK("lehrer/physik/ph_k8_st22_ohmsches_gesetz_orga.html","Vorbereitung öffnen")</x:f>
      </x:c>
    </x:row>
    <x:row r="19" ht="70" customHeight="1">
      <x:c r="A19" s="125" t="str">
        <x:v>Physik</x:v>
      </x:c>
      <x:c r="B19" s="126" t="n">
        <x:v>8</x:v>
      </x:c>
      <x:c r="C19" s="60" t="str">
        <x:v>Physik</x:v>
      </x:c>
      <x:c r="D19" s="126" t="n">
        <x:v>23</x:v>
      </x:c>
      <x:c r="E19" s="60" t="str">
        <x:v>Reihe Parallel</x:v>
      </x:c>
      <x:c r="F19" s="60" t="str">
        <x:v>Nur die Reihenschaltung berechnen und messen, Formel als vorgegebene Rechenvorschrift nutzen.</x:v>
      </x:c>
      <x:c r="G19" s="60" t="str">
        <x:v>Beide Schaltungsarten berechnen, messen und vergleichen. Die Zusatzaufgabe zur Parallelschaltung mit drei Widerständen bearbeiten und das Ergebnis mit den Messwerten aus zwei Widerständen vergleichen.</x:v>
      </x:c>
      <x:c r="H19" s="60" t="str">
        <x:v>Den Gesamtwiderstand von Reihen- und Parallelschaltungen berechnen und messtechnisch überprüfen</x:v>
      </x:c>
      <x:c r="I19" s="60" t="str">
        <x:v>LE: Klassische Berechnung und Messung des Gesamtwiderstands einer Reihenschaltung
SE: Automatisierte Messung des Gesamtwiderstands bei Reihen- und Parallelschaltung</x:v>
      </x:c>
      <x:c r="J19" s="60" t="str">
        <x:v>Automatisierte Bestimmung des Gesamtwiderstands von Reihen- und Parallelschaltungen über die in Stunde 22 aufgebaute Shunt-Messschaltung (Schülerexperiment)</x:v>
      </x:c>
      <x:c r="K19" s="60" t="str">
        <x:v>ph_k8_st23_reihe_parallel</x:v>
      </x:c>
      <x:c r="L19" s="60" t="str">
        <x:v>https://raw.githubusercontent.com/burgnetz-wq/froebel/main/bilder/physik/090_physik_klassenraum.jpg</x:v>
      </x:c>
      <x:c r="M19" s="158" t="e">
        <x:f>HYPERLINK("https://burgnetz-wq.github.io/froebel/physik/html/ph8_stunde_23_reihe_parallel.html","Schüler-Modul öffnen")</x:f>
      </x:c>
      <x:c r="N19" s="159" t="e">
        <x:f>HYPERLINK("lehrer/physik/ph_k8_st23_reihe_parallel_orga.html","Vorbereitung öffnen")</x:f>
      </x:c>
    </x:row>
    <x:row r="20" ht="70" customHeight="1">
      <x:c r="A20" s="125" t="str">
        <x:v>Physik</x:v>
      </x:c>
      <x:c r="B20" s="126" t="n">
        <x:v>8</x:v>
      </x:c>
      <x:c r="C20" s="60" t="str">
        <x:v>Physik</x:v>
      </x:c>
      <x:c r="D20" s="126" t="n">
        <x:v>24</x:v>
      </x:c>
      <x:c r="E20" s="60" t="str">
        <x:v>Leistung</x:v>
      </x:c>
      <x:c r="F20" s="60" t="str">
        <x:v>Nur ein Bauteil messen, Formel als vorgegebene Rechenvorschrift nutzen, keine Energieberechnung.</x:v>
      </x:c>
      <x:c r="G20" s="60" t="str">
        <x:v>Mindestens drei Bauteile messen, Leistung und Energie für 10 Minuten berechnen. Die Zusatzaufgabe zum Vergleich mit einem echten Haushaltsgerät bearbeiten und die Größenordnungen begründet einordnen.</x:v>
      </x:c>
      <x:c r="H20" s="60" t="str">
        <x:v>Die elektrische Leistung P = U · I berechnen und mit der elektrischen Energie W = P · t verknüpfen</x:v>
      </x:c>
      <x:c r="I20" s="60" t="str">
        <x:v>LE: Klassische Berechnung der elektrischen Leistung eines Bauteils aus gemessener Spannung und Stromstärke
SE: Automatisierte Leistungsberechnung für verschiedene Bauteile und Vergleich mit Haushaltsgeräten</x:v>
      </x:c>
      <x:c r="J20" s="60" t="str">
        <x:v>Automatisierte Berechnung der elektrischen Leistung aus Spannung und Stromstärke für verschiedene Bauteile (Schülerexperiment)</x:v>
      </x:c>
      <x:c r="K20" s="60" t="str">
        <x:v>ph_k8_st24_leistung</x:v>
      </x:c>
      <x:c r="L20" s="60" t="str">
        <x:v>https://raw.githubusercontent.com/burgnetz-wq/froebel/main/bilder/physik/038_arbeit_leistung.jpg</x:v>
      </x:c>
      <x:c r="M20" s="158" t="e">
        <x:f>HYPERLINK("https://burgnetz-wq.github.io/froebel/physik/html/ph8_stunde_24_leistung.html","Schüler-Modul öffnen")</x:f>
      </x:c>
      <x:c r="N20" s="159" t="e">
        <x:f>HYPERLINK("lehrer/physik/ph_k8_st24_leistung_orga.html","Vorbereitung öffnen")</x:f>
      </x:c>
    </x:row>
    <x:row r="21" ht="70" customHeight="1">
      <x:c r="A21" s="125" t="str">
        <x:v>Physik</x:v>
      </x:c>
      <x:c r="B21" s="126" t="n">
        <x:v>8</x:v>
      </x:c>
      <x:c r="C21" s="60" t="str">
        <x:v>Physik</x:v>
      </x:c>
      <x:c r="D21" s="126" t="n">
        <x:v>25</x:v>
      </x:c>
      <x:c r="E21" s="60" t="str">
        <x:v>Wiederholung Elektrizitaet</x:v>
      </x:c>
      <x:c r="F21" s="60" t="str">
        <x:v>Zwei ausgewählte Stationen mit Formelsammlung und vereinfachten Zahlenwerten bearbeiten.</x:v>
      </x:c>
      <x:c r="G21" s="60" t="str">
        <x:v>Alle vier Stationen selbstständig bearbeiten und mit der Lösungskarte kontrollieren. Eigene Zusatzfragen zu mindestens zwei Stationen formulieren und mit einer anderen Gruppe tauschen.</x:v>
      </x:c>
      <x:c r="H21" s="60" t="str">
        <x:v>Ohmsches Gesetz, Reihen-/Parallelschaltung und elektrische Leistung sicher unterscheiden und in gemischten Aufgaben anwenden</x:v>
      </x:c>
      <x:c r="I21" s="60" t="str">
        <x:v>LE: Kurze Recap-Demonstration eines von den Schülern gewählten Lieblingsversuchs aus den Stunden 22–24
SE: Stationenlernen mit gemischten Aufgaben zu Widerstand, Schaltungen und Leistung</x:v>
      </x:c>
      <x:c r="J21" s="60" t="str">
        <x:v>entfällt</x:v>
      </x:c>
      <x:c r="K21" s="60" t="str">
        <x:v>ph_k8_st25_wiederholung_elektrizitaet</x:v>
      </x:c>
      <x:c r="L21" s="60" t="str">
        <x:v>https://raw.githubusercontent.com/burgnetz-wq/froebel/main/bilder/physik/097_formeln_uebersicht.jpg</x:v>
      </x:c>
      <x:c r="M21" s="158" t="e">
        <x:f>HYPERLINK("https://burgnetz-wq.github.io/froebel/physik/html/ph8_stunde_25_wiederholung_elektrizitaet.html","Schüler-Modul öffnen")</x:f>
      </x:c>
      <x:c r="N21" s="159" t="e">
        <x:f>HYPERLINK("lehrer/physik/ph_k8_st25_wiederholung_elektrizitaet_orga.html","Vorbereitung öffnen")</x:f>
      </x:c>
    </x:row>
    <x:row r="22" ht="70" customHeight="1">
      <x:c r="A22" s="125" t="str">
        <x:v>Physik</x:v>
      </x:c>
      <x:c r="B22" s="126" t="n">
        <x:v>8</x:v>
      </x:c>
      <x:c r="C22" s="60" t="str">
        <x:v>Physik</x:v>
      </x:c>
      <x:c r="D22" s="126" t="n">
        <x:v>26</x:v>
      </x:c>
      <x:c r="E22" s="60" t="str">
        <x:v>Lichtbrechung</x:v>
      </x:c>
      <x:c r="F22" s="60" t="str">
        <x:v>Nur zwei Winkel testen und die Beobachtung mit vorgegebenen Antwortmöglichkeiten beschreiben.</x:v>
      </x:c>
      <x:c r="G22" s="60" t="str">
        <x:v>Systematische Untersuchung mehrerer Winkel und eigene Formulierung des Übergangs zur Totalreflexion. Die Zusatzaufgabe zum Glasfaserkabel bearbeiten und erklären, warum Totalreflexion dort verlustarme Datenübertragung ermöglicht.</x:v>
      </x:c>
      <x:c r="H22" s="60" t="str">
        <x:v>Lichtbrechung beim Übergang zwischen unterschiedlichen Medien beschreiben und Totalreflexion an einem Beispiel erklären</x:v>
      </x:c>
      <x:c r="I22" s="60" t="str">
        <x:v>LE: Sichtbarmachen der Lichtbrechung beim Übergang von Luft zu Wasser
SE: Untersuchung der Totalreflexion an einer Halbkreisscheibe bei zunehmendem Einfallswinkel</x:v>
      </x:c>
      <x:c r="J22" s="60" t="str">
        <x:v>entfällt</x:v>
      </x:c>
      <x:c r="K22" s="60" t="str">
        <x:v>ph_k8_st26_lichtbrechung</x:v>
      </x:c>
      <x:c r="L22" s="60" t="str">
        <x:v>https://raw.githubusercontent.com/burgnetz-wq/froebel/main/bilder/physik/006_lichtbrechung.jpg</x:v>
      </x:c>
      <x:c r="M22" s="158" t="e">
        <x:f>HYPERLINK("https://burgnetz-wq.github.io/froebel/physik/html/ph8_stunde_26_lichtbrechung.html","Schüler-Modul öffnen")</x:f>
      </x:c>
      <x:c r="N22" s="159" t="e">
        <x:f>HYPERLINK("lehrer/physik/ph_k8_st26_lichtbrechung_orga.html","Vorbereitung öffnen")</x:f>
      </x:c>
    </x:row>
    <x:row r="23" ht="70" customHeight="1">
      <x:c r="A23" s="125" t="str">
        <x:v>Physik</x:v>
      </x:c>
      <x:c r="B23" s="126" t="n">
        <x:v>8</x:v>
      </x:c>
      <x:c r="C23" s="60" t="str">
        <x:v>Physik</x:v>
      </x:c>
      <x:c r="D23" s="126" t="n">
        <x:v>27</x:v>
      </x:c>
      <x:c r="E23" s="60" t="str">
        <x:v>Linsen</x:v>
      </x:c>
      <x:c r="F23" s="60" t="str">
        <x:v>Nur Brennpunkt und eine unscharfe Position vergleichen, Beobachtung mit vorgegebenen Antwortmöglichkeiten beschreiben.</x:v>
      </x:c>
      <x:c r="G23" s="60" t="str">
        <x:v>Alle drei Positionen messen und den Zusammenhang mit der Bündelungswirkung der Linse selbstständig erklären. Die Zusatzaufgabe zur Zerstreuungslinse bearbeiten und den Unterschied zur Sammellinse begründen.</x:v>
      </x:c>
      <x:c r="H23" s="60" t="str">
        <x:v>Sammellinse und Zerstreuungslinse anhand ihrer Wirkung auf Licht unterscheiden und die Brennweite einer Sammellinse bestimmen</x:v>
      </x:c>
      <x:c r="I23" s="60" t="str">
        <x:v>LE: Bestimmung der Brennweite einer Sammellinse durch Fokussierung von Licht auf einen Schirm
SE: Automatisierte Helligkeitsmessung im Brennpunkt im Vergleich zu unscharfen Positionen</x:v>
      </x:c>
      <x:c r="J23" s="60" t="str">
        <x:v>Messung der Lichtintensität am Brennpunkt und an unscharfen Positionen zum Vergleich der Bündelungswirkung einer Sammellinse (Schülerexperiment)</x:v>
      </x:c>
      <x:c r="K23" s="60" t="str">
        <x:v>ph_k8_st27_linsen</x:v>
      </x:c>
      <x:c r="L23" s="60" t="str">
        <x:v>https://raw.githubusercontent.com/burgnetz-wq/froebel/main/bilder/physik/093_optische_instrumente.jpg</x:v>
      </x:c>
      <x:c r="M23" s="158" t="e">
        <x:f>HYPERLINK("https://burgnetz-wq.github.io/froebel/physik/html/ph8_stunde_27_linsen.html","Schüler-Modul öffnen")</x:f>
      </x:c>
      <x:c r="N23" s="159" t="e">
        <x:f>HYPERLINK("lehrer/physik/ph_k8_st27_linsen_orga.html","Vorbereitung öffnen")</x:f>
      </x:c>
    </x:row>
    <x:row r="24" ht="70" customHeight="1">
      <x:c r="A24" s="125" t="str">
        <x:v>Physik</x:v>
      </x:c>
      <x:c r="B24" s="126" t="n">
        <x:v>8</x:v>
      </x:c>
      <x:c r="C24" s="60" t="str">
        <x:v>Physik</x:v>
      </x:c>
      <x:c r="D24" s="126" t="n">
        <x:v>28</x:v>
      </x:c>
      <x:c r="E24" s="60" t="str">
        <x:v>Auge</x:v>
      </x:c>
      <x:c r="F24" s="60" t="str">
        <x:v>Nur die Lupen-Station bearbeiten, Beobachtung mit vorgegebenen Antwortmöglichkeiten beschreiben.</x:v>
      </x:c>
      <x:c r="G24" s="60" t="str">
        <x:v>Alle verfügbaren Stationen bearbeiten und das gemeinsame Grundprinzip (Sammellinsen) selbstständig formulieren. Die Zusatzaufgabe zur Anzahl der Linsen bei Fernrohr und Lupe bearbeiten.</x:v>
      </x:c>
      <x:c r="H24" s="60" t="str">
        <x:v>Den Aufbau des Auges als optisches System beschreiben und das Grundprinzip einfacher optischer Geräte erklären</x:v>
      </x:c>
      <x:c r="I24" s="60" t="str">
        <x:v>LE: Vorführung des Augenmodells und Erklärung der Bildentstehung auf der Netzhaut
SE: Stationenlernen zu Lupe, Fernrohr und Mikroskop mit Untersuchung des jeweiligen Grundprinzips</x:v>
      </x:c>
      <x:c r="J24" s="60" t="str">
        <x:v>entfällt</x:v>
      </x:c>
      <x:c r="K24" s="60" t="str">
        <x:v>ph_k8_st28_auge</x:v>
      </x:c>
      <x:c r="L24" s="60" t="str">
        <x:v>https://raw.githubusercontent.com/burgnetz-wq/froebel/main/bilder/physik/093_optische_instrumente.jpg</x:v>
      </x:c>
      <x:c r="M24" s="158" t="e">
        <x:f>HYPERLINK("https://burgnetz-wq.github.io/froebel/physik/html/ph8_stunde_28_auge.html","Schüler-Modul öffnen")</x:f>
      </x:c>
      <x:c r="N24" s="159" t="e">
        <x:f>HYPERLINK("lehrer/physik/ph_k8_st28_auge_orga.html","Vorbereitung öffnen")</x:f>
      </x:c>
    </x:row>
    <x:row r="25" ht="70" customHeight="1">
      <x:c r="A25" s="125" t="str">
        <x:v>Physik</x:v>
      </x:c>
      <x:c r="B25" s="126" t="n">
        <x:v>8</x:v>
      </x:c>
      <x:c r="C25" s="60" t="str">
        <x:v>Optik</x:v>
      </x:c>
      <x:c r="D25" s="126" t="n">
        <x:v>29</x:v>
      </x:c>
      <x:c r="E25" s="60" t="str">
        <x:v>Wiederholung Optik vertieft</x:v>
      </x:c>
      <x:c r="F25" s="60" t="str">
        <x:v>Vorstrukturierte Aufgabe, Hilfekarten und Satzstarter.</x:v>
      </x:c>
      <x:c r="G25" s="60" t="str">
        <x:v>Selbstständige Auswertung mit Fachbegriffen und vollständiger Begründung.</x:v>
      </x:c>
      <x:c r="H25" s="60" t="str">
        <x:v>Reflexion, Brechung, Linsen sowie Auge und Kamera sicher erklären, berechnen und auf neue Situationen anwenden</x:v>
      </x:c>
      <x:c r="I25" s="60" t="str">
        <x:v>LE: Kurze Wiederholung der Strahlenwege an Spiegel, Stoffgrenze und Linse
SE: Brennweite einer Sammellinse näherungsweise bestimmen</x:v>
      </x:c>
      <x:c r="J25" s="60" t="str">
        <x:v>Optional: vorhandene LDR-Messung zur Lichtstärke wiederholen</x:v>
      </x:c>
      <x:c r="K25" s="60" t="str">
        <x:v>ph_k8_st29_wiederholung_optik_vertieft</x:v>
      </x:c>
      <x:c r="L25" s="60" t="str">
        <x:v>https://raw.githubusercontent.com/burgnetz-wq/froebel/main/bilder/physik/097_formeln_uebersicht.jpg</x:v>
      </x:c>
      <x:c r="M25" s="158" t="e">
        <x:f>HYPERLINK("https://burgnetz-wq.github.io/froebel/physik/html/ph8_stunde_29_wiederholung_optik_vertieft.html","Schüler-Modul öffnen")</x:f>
      </x:c>
      <x:c r="N25" s="159" t="e">
        <x:f>HYPERLINK("lehrer/physik/ph_k8_st29_wiederholung_optik_vertieft_orga.html","Vorbereitung öffnen")</x:f>
      </x:c>
    </x:row>
    <x:row r="26" ht="70" customHeight="1">
      <x:c r="A26" s="127" t="str">
        <x:v>Physik</x:v>
      </x:c>
      <x:c r="B26" s="128" t="n">
        <x:v>8</x:v>
      </x:c>
      <x:c r="C26" s="63" t="str">
        <x:v>Abschluss</x:v>
      </x:c>
      <x:c r="D26" s="128" t="n">
        <x:v>30</x:v>
      </x:c>
      <x:c r="E26" s="63" t="str">
        <x:v>Gesamtwiederholung Klasse 8</x:v>
      </x:c>
      <x:c r="F26" s="63" t="str">
        <x:v>Vorstrukturierte Aufgabe, Hilfekarten und Satzstarter.</x:v>
      </x:c>
      <x:c r="G26" s="63" t="str">
        <x:v>Selbstständige Auswertung mit Fachbegriffen und vollständiger Begründung.</x:v>
      </x:c>
      <x:c r="H26" s="63" t="str">
        <x:v>Zentrale Modelle, Formeln, Experimente und Anwendungen aus Mechanik, Energie, Wärmelehre, Elektrizitätslehre, Optik und Astronomie vernetzen</x:v>
      </x:c>
      <x:c r="I26" s="63" t="str">
        <x:v>LE: Drei Kurzversuche zu Trägheit, Wärmeleitung und Bildentstehung
SE: Experiment-Karussell und fachübergreifende Aufgabenrunden</x:v>
      </x:c>
      <x:c r="J26" s="63" t="str">
        <x:v>Optional: Lieblingsmessung des Schuljahres wiederholen</x:v>
      </x:c>
      <x:c r="K26" s="63" t="str">
        <x:v>ph_k8_st30_gesamtwiederholung_klasse_8</x:v>
      </x:c>
      <x:c r="L26" s="63" t="str">
        <x:v>https://raw.githubusercontent.com/burgnetz-wq/froebel/main/bilder/physik/097_formeln_uebersicht.jpg</x:v>
      </x:c>
      <x:c r="M26" s="160" t="e">
        <x:f>HYPERLINK("https://burgnetz-wq.github.io/froebel/physik/html/ph8_stunde_30_gesamtwiederholung_klasse_8.html","Schüler-Modul öffnen")</x:f>
      </x:c>
      <x:c r="N26" s="161" t="e">
        <x:f>HYPERLINK("lehrer/physik/ph_k8_st30_gesamtwiederholung_klasse_8_orga.html","Vorbereitung öffnen")</x:f>
      </x:c>
    </x:row>
  </x:sheetData>
  <x:mergeCells>
    <x:mergeCell ref="A1:N1"/>
    <x:mergeCell ref="A2:N2"/>
  </x:mergeCells>
  <x:pageMargins left="0.7" right="0.7" top="0.75" bottom="0.75" header="0.3" footer="0.3"/>
  <x:tableParts count="1">
    <x:tablePart xmlns:r="http://schemas.openxmlformats.org/officeDocument/2006/relationships" r:id="Rb450b11738dc4ca6"/>
  </x:tableParts>
</x:worksheet>
</file>

<file path=xl/worksheets/sheet5.xml><?xml version="1.0" encoding="utf-8"?>
<x:worksheet xmlns:x="http://schemas.openxmlformats.org/spreadsheetml/2006/main">
  <x:sheetFormatPr defaultRowHeight="15"/>
  <x:cols>
    <x:col min="1" max="1" width="13" hidden="0" customWidth="1"/>
    <x:col min="2" max="2" width="9" hidden="0" customWidth="1"/>
    <x:col min="3" max="3" width="26" hidden="0" customWidth="1"/>
    <x:col min="4" max="4" width="9" hidden="0" customWidth="1"/>
    <x:col min="5" max="5" width="42" hidden="0" customWidth="1"/>
    <x:col min="6" max="6" width="42" hidden="0" customWidth="1"/>
    <x:col min="7" max="7" width="45" hidden="0" customWidth="1"/>
    <x:col min="8" max="8" width="44" hidden="0" customWidth="1"/>
    <x:col min="9" max="9" width="50" hidden="0" customWidth="1"/>
    <x:col min="10" max="10" width="36" hidden="0" customWidth="1"/>
    <x:col min="11" max="11" width="42" hidden="0" customWidth="1"/>
    <x:col min="12" max="12" width="52" hidden="0" customWidth="1"/>
    <x:col min="13" max="13" width="22" hidden="0" customWidth="1"/>
    <x:col min="14" max="14" width="24" hidden="0" customWidth="1"/>
  </x:cols>
  <x:sheetData>
    <x:row r="1" ht="34" customHeight="1">
      <x:c r="A1" s="111" t="str">
        <x:v>Physik Klasse 9 – kombinierter Stoffverteilungsplan HSA/RSA</x:v>
      </x:c>
      <x:c r="B1" s="111"/>
      <x:c r="C1" s="111"/>
      <x:c r="D1" s="111"/>
      <x:c r="E1" s="111"/>
      <x:c r="F1" s="111"/>
      <x:c r="G1" s="111"/>
      <x:c r="H1" s="111"/>
      <x:c r="I1" s="111"/>
      <x:c r="J1" s="111"/>
      <x:c r="K1" s="111"/>
      <x:c r="L1" s="111"/>
      <x:c r="M1" s="111"/>
      <x:c r="N1" s="111"/>
    </x:row>
    <x:row r="2" ht="42" customHeight="1">
      <x:c r="A2" s="115" t="str">
        <x:v>Jede Zeile entspricht einer Unterrichtsstunde. Die Schüler-Module werden aus der bestehenden GitHub-Pages-Struktur geöffnet; die Lehrer-Vorbereitungen liegen im beigefügten Ordner.</x:v>
      </x:c>
      <x:c r="B2" s="115"/>
      <x:c r="C2" s="115"/>
      <x:c r="D2" s="115"/>
      <x:c r="E2" s="115"/>
      <x:c r="F2" s="115"/>
      <x:c r="G2" s="115"/>
      <x:c r="H2" s="115"/>
      <x:c r="I2" s="115"/>
      <x:c r="J2" s="115"/>
      <x:c r="K2" s="115"/>
      <x:c r="L2" s="115"/>
      <x:c r="M2" s="115"/>
      <x:c r="N2" s="115"/>
    </x:row>
    <x:row r="4" ht="42" customHeight="1">
      <x:c r="A4" s="117" t="str">
        <x:v>Fach</x:v>
      </x:c>
      <x:c r="B4" s="118" t="str">
        <x:v>Klasse</x:v>
      </x:c>
      <x:c r="C4" s="118" t="str">
        <x:v>Lernbereich</x:v>
      </x:c>
      <x:c r="D4" s="118" t="str">
        <x:v>Stunde</x:v>
      </x:c>
      <x:c r="E4" s="118" t="str">
        <x:v>Thema der Unterrichtsstunde</x:v>
      </x:c>
      <x:c r="F4" s="118" t="str">
        <x:v>Inhalt HSA</x:v>
      </x:c>
      <x:c r="G4" s="118" t="str">
        <x:v>Inhalt RSA</x:v>
      </x:c>
      <x:c r="H4" s="118" t="str">
        <x:v>Kompetenz</x:v>
      </x:c>
      <x:c r="I4" s="118" t="str">
        <x:v>Experiment / Material</x:v>
      </x:c>
      <x:c r="J4" s="118" t="str">
        <x:v>Arduino-Einsatz</x:v>
      </x:c>
      <x:c r="K4" s="118" t="str">
        <x:v>Modul-ID</x:v>
      </x:c>
      <x:c r="L4" s="118" t="str">
        <x:v>Bild aus GitHub</x:v>
      </x:c>
      <x:c r="M4" s="118" t="str">
        <x:v>Schüler-Modul</x:v>
      </x:c>
      <x:c r="N4" s="119" t="str">
        <x:v>Lehrer-Vorbereitung</x:v>
      </x:c>
    </x:row>
    <x:row r="5" ht="70" customHeight="1">
      <x:c r="A5" s="123" t="str">
        <x:v>Physik</x:v>
      </x:c>
      <x:c r="B5" s="124" t="n">
        <x:v>9</x:v>
      </x:c>
      <x:c r="C5" s="57" t="str">
        <x:v>Elektromagnetismus</x:v>
      </x:c>
      <x:c r="D5" s="124" t="n">
        <x:v>1</x:v>
      </x:c>
      <x:c r="E5" s="57" t="str">
        <x:v>Magnetische Pole und Kraftwirkungen</x:v>
      </x:c>
      <x:c r="F5" s="57" t="str">
        <x:v>vorstrukturierte Tabelle, Satzstarter und Hilfekarte.</x:v>
      </x:c>
      <x:c r="G5" s="57" t="str">
        <x:v>selbstständige Auswertung mit Fachbegriffen. Grundniveau mit Bildkarten und Satzstartern; Regelstandard mit Feldbegriff; Erweiterung: Abstandsabhängigkeit des Hall-Rohwerts beurteilen.</x:v>
      </x:c>
      <x:c r="H5" s="57" t="str">
        <x:v>Magnete durch zwei untrennbar verbundene Pole sowie Anziehung und Abstoßung charakterisieren und Kraftwirkungen auf ferromagnetische Stoffe untersuchen.</x:v>
      </x:c>
      <x:c r="I5" s="57" t="str">
        <x:v>LE: Schwebender Ringmagnet bzw. starke Abstoßung zweier Ringmagnete auf einer Führungsstange; Polumkehr demonstrieren.
SE: Stab- und Ringmagnete systematisch paaren, Pole markieren und die Wirkung auf Eisen, Stahl, Aluminium, Kupfer, Holz und Kunststoff protokollieren.</x:v>
      </x:c>
      <x:c r="J5" s="57" t="str">
        <x:v>Magnetwirkung mit analogem Hall-Sensor relativ erfassen</x:v>
      </x:c>
      <x:c r="K5" s="57" t="str">
        <x:v>ph_k9_st01_magnetische_pole_und_kraftwirkungen</x:v>
      </x:c>
      <x:c r="L5" s="57" t="str">
        <x:v>https://raw.githubusercontent.com/burgnetz-wq/froebel/main/bilder/physik/017_magnet_feldlinien.jpg</x:v>
      </x:c>
      <x:c r="M5" s="156" t="e">
        <x:f>HYPERLINK("https://burgnetz-wq.github.io/froebel/physik/html/ph9_stunde_01_magnetische_pole_und_kraftwirkungen.html","Schüler-Modul öffnen")</x:f>
      </x:c>
      <x:c r="N5" s="157" t="e">
        <x:f>HYPERLINK("lehrer/physik/ph_k9_st01_magnetische_pole_und_kraftwirkungen_orga.html","Vorbereitung öffnen")</x:f>
      </x:c>
    </x:row>
    <x:row r="6" ht="70" customHeight="1">
      <x:c r="A6" s="125" t="str">
        <x:v>Physik</x:v>
      </x:c>
      <x:c r="B6" s="126" t="n">
        <x:v>9</x:v>
      </x:c>
      <x:c r="C6" s="60" t="str">
        <x:v>Elektromagnetismus</x:v>
      </x:c>
      <x:c r="D6" s="126" t="n">
        <x:v>2</x:v>
      </x:c>
      <x:c r="E6" s="60" t="str">
        <x:v>Magnetfeld und Feldlinienmodell</x:v>
      </x:c>
      <x:c r="F6" s="60" t="str">
        <x:v>vorstrukturierte Tabelle, Satzstarter und Hilfekarte.</x:v>
      </x:c>
      <x:c r="G6" s="60" t="str">
        <x:v>selbstständige Auswertung mit Fachbegriffen. Grundniveau ergänzt Pfeile; Regelstandard erklärt Feldlinienregeln; Erweiterung vergleicht Rohwerte an verschiedenen Orten und benennt Modellgrenzen.</x:v>
      </x:c>
      <x:c r="H6" s="60" t="str">
        <x:v>Das magnetische Feld als Raum berührungsfreier Kraftwirkung beschreiben und Feldlinien als Modell zur Darstellung von Richtung und relativer Stärke nutzen.</x:v>
      </x:c>
      <x:c r="I6" s="60" t="str">
        <x:v>LE: Eisenfeilspäne auf einer transparenten Platte über einem Stabmagneten ausrichten und das Muster projizieren.
SE: Mit mehreren kleinen Kompassen ein Feldlinienbild um einen Stabmagneten aufnehmen und Pfeilrichtungen einzeichnen.</x:v>
      </x:c>
      <x:c r="J6" s="60" t="str">
        <x:v>Magnetfeld an Messpunkten mit Hall-Sensor kartieren</x:v>
      </x:c>
      <x:c r="K6" s="60" t="str">
        <x:v>ph_k9_st02_magnetfeld_und_feldlinienmodell</x:v>
      </x:c>
      <x:c r="L6" s="60" t="str">
        <x:v>https://raw.githubusercontent.com/burgnetz-wq/froebel/main/bilder/physik/017_magnet_feldlinien.jpg</x:v>
      </x:c>
      <x:c r="M6" s="158" t="e">
        <x:f>HYPERLINK("https://burgnetz-wq.github.io/froebel/physik/html/ph9_stunde_02_magnetfeld_und_feldlinienmodell.html","Schüler-Modul öffnen")</x:f>
      </x:c>
      <x:c r="N6" s="159" t="e">
        <x:f>HYPERLINK("lehrer/physik/ph_k9_st02_magnetfeld_und_feldlinienmodell_orga.html","Vorbereitung öffnen")</x:f>
      </x:c>
    </x:row>
    <x:row r="7" ht="70" customHeight="1">
      <x:c r="A7" s="125" t="str">
        <x:v>Physik</x:v>
      </x:c>
      <x:c r="B7" s="126" t="n">
        <x:v>9</x:v>
      </x:c>
      <x:c r="C7" s="60" t="str">
        <x:v>Elektromagnetismus</x:v>
      </x:c>
      <x:c r="D7" s="126" t="n">
        <x:v>3</x:v>
      </x:c>
      <x:c r="E7" s="60" t="str">
        <x:v>Erdmagnetfeld und Kompass</x:v>
      </x:c>
      <x:c r="F7" s="60" t="str">
        <x:v>vorstrukturierte Tabelle, Satzstarter und Hilfekarte.</x:v>
      </x:c>
      <x:c r="G7" s="60" t="str">
        <x:v>selbstständige Auswertung mit Fachbegriffen. Grundniveau liest Himmelsrichtungen ab; Regelstandard erklärt Störungen; Erweiterung vergleicht Sensorachsen und diskutiert Kalibrierung.</x:v>
      </x:c>
      <x:c r="H7" s="60" t="str">
        <x:v>Das Magnetfeld der Erde beschreiben, die Orientierung einer Kompassnadel erklären und geografische sowie magnetische Richtung unterscheiden.</x:v>
      </x:c>
      <x:c r="I7" s="60" t="str">
        <x:v>LE: Kompassausrichtung im Raum zeigen und mit einem Magneten gezielt stören; anschließend Störquelle entfernen.
SE: Kompassmessungen an mehreren Orten des Fachraums durchführen, Störquellen finden und eine einfache Karte erstellen.</x:v>
      </x:c>
      <x:c r="J7" s="60" t="str">
        <x:v>Magnetische Raumrichtungen mit QMC5883L-Modul erfassen</x:v>
      </x:c>
      <x:c r="K7" s="60" t="str">
        <x:v>ph_k9_st03_erdmagnetfeld_und_kompass</x:v>
      </x:c>
      <x:c r="L7" s="60" t="str">
        <x:v>https://raw.githubusercontent.com/burgnetz-wq/froebel/main/bilder/physik/018_kompass_erdmagnetfeld.jpg</x:v>
      </x:c>
      <x:c r="M7" s="158" t="e">
        <x:f>HYPERLINK("https://burgnetz-wq.github.io/froebel/physik/html/ph9_stunde_03_erdmagnetfeld_und_kompass.html","Schüler-Modul öffnen")</x:f>
      </x:c>
      <x:c r="N7" s="159" t="e">
        <x:f>HYPERLINK("lehrer/physik/ph_k9_st03_erdmagnetfeld_und_kompass_orga.html","Vorbereitung öffnen")</x:f>
      </x:c>
    </x:row>
    <x:row r="8" ht="70" customHeight="1">
      <x:c r="A8" s="125" t="str">
        <x:v>Physik</x:v>
      </x:c>
      <x:c r="B8" s="126" t="n">
        <x:v>9</x:v>
      </x:c>
      <x:c r="C8" s="60" t="str">
        <x:v>Elektromagnetismus</x:v>
      </x:c>
      <x:c r="D8" s="126" t="n">
        <x:v>4</x:v>
      </x:c>
      <x:c r="E8" s="60" t="str">
        <x:v>Elektrisches und magnetisches Feld vergleichen</x:v>
      </x:c>
      <x:c r="F8" s="60" t="str">
        <x:v>vorstrukturierte Tabelle, Satzstarter und Hilfekarte.</x:v>
      </x:c>
      <x:c r="G8" s="60" t="str">
        <x:v>selbstständige Auswertung mit Fachbegriffen. Grundniveau ordnet Aussagen zu; Regelstandard formuliert Gemeinsamkeiten; Erweiterung erläutert, warum Feldlinien keine realen Fäden sind.</x:v>
      </x:c>
      <x:c r="H8" s="60" t="str">
        <x:v>Elektrisches und magnetisches Feld als Modelle berührungsfreier Wechselwirkungen vergleichen und Gemeinsamkeiten sowie Unterschiede fachsprachlich darstellen.</x:v>
      </x:c>
      <x:c r="I8" s="60" t="str">
        <x:v>LE: Geladenen Kunststoffstab mit Papierschnipseln und daneben Magnet mit Büroklammern demonstrieren.
SE: Stationenvergleich: elektrische Anziehung leichter Körper, Magnetwirkung durch Papier, Abschirmungsversuche mit verschiedenen Materialien.</x:v>
      </x:c>
      <x:c r="J8" s="60" t="str">
        <x:v>—</x:v>
      </x:c>
      <x:c r="K8" s="60" t="str">
        <x:v>ph_k9_st04_elektrisches_und_magnetisches_feld_vergleichen</x:v>
      </x:c>
      <x:c r="L8" s="60" t="str">
        <x:v>https://raw.githubusercontent.com/burgnetz-wq/froebel/main/bilder/physik/090_physik_klassenraum.jpg</x:v>
      </x:c>
      <x:c r="M8" s="158" t="e">
        <x:f>HYPERLINK("https://burgnetz-wq.github.io/froebel/physik/html/ph9_stunde_04_elektrisches_und_magnetisches_feld_vergleichen.html","Schüler-Modul öffnen")</x:f>
      </x:c>
      <x:c r="N8" s="159" t="e">
        <x:f>HYPERLINK("lehrer/physik/ph_k9_st04_elektrisches_und_magnetisches_feld_vergleichen_orga.html","Vorbereitung öffnen")</x:f>
      </x:c>
    </x:row>
    <x:row r="9" ht="70" customHeight="1">
      <x:c r="A9" s="125" t="str">
        <x:v>Physik</x:v>
      </x:c>
      <x:c r="B9" s="126" t="n">
        <x:v>9</x:v>
      </x:c>
      <x:c r="C9" s="60" t="str">
        <x:v>Elektromagnetismus</x:v>
      </x:c>
      <x:c r="D9" s="126" t="n">
        <x:v>5</x:v>
      </x:c>
      <x:c r="E9" s="60" t="str">
        <x:v>Elektromagnet – Aufbau und Wirkungsweise</x:v>
      </x:c>
      <x:c r="F9" s="60" t="str">
        <x:v>vorstrukturierte Tabelle, Satzstarter und Hilfekarte.</x:v>
      </x:c>
      <x:c r="G9" s="60" t="str">
        <x:v>selbstständige Auswertung mit Fachbegriffen. Grundniveau folgt Aufbaukarten; Regelstandard erklärt Eisenkern und Stromwirkung; Erweiterung ergänzt Treiberstufe und begründet die Freilaufdiode.</x:v>
      </x:c>
      <x:c r="H9" s="60" t="str">
        <x:v>Aufbau und Wirkungsweise eines Elektromagneten beschreiben und die Magnetwirkung einer stromdurchflossenen Spule nachweisen.</x:v>
      </x:c>
      <x:c r="I9" s="60" t="str">
        <x:v>LE: Spule mit Eisenkern kurzzeitig einschalten und Büroklammern anheben; Wirkung nach dem Ausschalten beobachten.
SE: Elektromagnet aus isoliertem Draht und Eisennagel bauen, bei Schutzkleinspannung testen und angehobene Büroklammern zählen.</x:v>
      </x:c>
      <x:c r="J9" s="60" t="str">
        <x:v>Elektromagnet sicher über MOSFET und Freilaufdiode schalten</x:v>
      </x:c>
      <x:c r="K9" s="60" t="str">
        <x:v>ph_k9_st05_elektromagnet_aufbau_und_wirkungsweise</x:v>
      </x:c>
      <x:c r="L9" s="60" t="str">
        <x:v>https://raw.githubusercontent.com/burgnetz-wq/froebel/main/bilder/physik/019_elektromagnet.jpg</x:v>
      </x:c>
      <x:c r="M9" s="158" t="e">
        <x:f>HYPERLINK("https://burgnetz-wq.github.io/froebel/physik/html/ph9_stunde_05_elektromagnet_aufbau_und_wirkungsweise.html","Schüler-Modul öffnen")</x:f>
      </x:c>
      <x:c r="N9" s="159" t="e">
        <x:f>HYPERLINK("lehrer/physik/ph_k9_st05_elektromagnet_aufbau_und_wirkungsweise_orga.html","Vorbereitung öffnen")</x:f>
      </x:c>
    </x:row>
    <x:row r="10" ht="70" customHeight="1">
      <x:c r="A10" s="125" t="str">
        <x:v>Physik</x:v>
      </x:c>
      <x:c r="B10" s="126" t="n">
        <x:v>9</x:v>
      </x:c>
      <x:c r="C10" s="60" t="str">
        <x:v>Elektromagnetismus</x:v>
      </x:c>
      <x:c r="D10" s="126" t="n">
        <x:v>6</x:v>
      </x:c>
      <x:c r="E10" s="60" t="str">
        <x:v>Stärke eines Elektromagneten untersuchen</x:v>
      </x:c>
      <x:c r="F10" s="60" t="str">
        <x:v>vorstrukturierte Tabelle, Satzstarter und Hilfekarte.</x:v>
      </x:c>
      <x:c r="G10" s="60" t="str">
        <x:v>selbstständige Auswertung mit Fachbegriffen. Grundniveau untersucht eine Variable; Regelstandard erstellt Diagramm; Erweiterung beurteilt PWM, Stromstärke und Grenzen der Büroklammermethode.</x:v>
      </x:c>
      <x:c r="H10" s="60" t="str">
        <x:v>Einfluss von Windungszahl, Stromstärke und Eisenkern auf die Wirkung eines Elektromagneten experimentell untersuchen und kontrollierte Variablen benennen.</x:v>
      </x:c>
      <x:c r="I10" s="60" t="str">
        <x:v>LE: Zwei vorbereitete Spulen mit unterschiedlicher Windungszahl bei gleicher Strombegrenzung vergleichen.
SE: Jeweils nur eine Größe verändern: Windungszahl, Kernmaterial oder Einschaltdauer; Anzahl angehobener Büroklammern protokollieren.</x:v>
      </x:c>
      <x:c r="J10" s="60" t="str">
        <x:v>PWM-Stufen und Hall-Sensor zur relativen Feldmessung nutzen</x:v>
      </x:c>
      <x:c r="K10" s="60" t="str">
        <x:v>ph_k9_st06_starke_eines_elektromagneten_untersuchen</x:v>
      </x:c>
      <x:c r="L10" s="60" t="str">
        <x:v>https://raw.githubusercontent.com/burgnetz-wq/froebel/main/bilder/physik/019_elektromagnet.jpg</x:v>
      </x:c>
      <x:c r="M10" s="158" t="e">
        <x:f>HYPERLINK("https://burgnetz-wq.github.io/froebel/physik/html/ph9_stunde_06_staerke_eines_elektromagneten_untersuchen.html","Schüler-Modul öffnen")</x:f>
      </x:c>
      <x:c r="N10" s="159" t="e">
        <x:f>HYPERLINK("lehrer/physik/ph_k9_st06_starke_eines_elektromagneten_untersuchen_orga.html","Vorbereitung öffnen")</x:f>
      </x:c>
    </x:row>
    <x:row r="11" ht="70" customHeight="1">
      <x:c r="A11" s="125" t="str">
        <x:v>Physik</x:v>
      </x:c>
      <x:c r="B11" s="126" t="n">
        <x:v>9</x:v>
      </x:c>
      <x:c r="C11" s="60" t="str">
        <x:v>Elektromagnetismus</x:v>
      </x:c>
      <x:c r="D11" s="126" t="n">
        <x:v>7</x:v>
      </x:c>
      <x:c r="E11" s="60" t="str">
        <x:v>Kraft auf einen stromdurchflossenen Leiter im Magnetfeld</x:v>
      </x:c>
      <x:c r="F11" s="60" t="str">
        <x:v>vorstrukturierte Tabelle, Satzstarter und Hilfekarte.</x:v>
      </x:c>
      <x:c r="G11" s="60" t="str">
        <x:v>selbstständige Auswertung mit Fachbegriffen. Grundniveau beschreibt Richtungswechsel; Regelstandard verwendet Strom- und Feldrichtung; Erweiterung entwickelt eine qualitative Drei-Finger-Regel ohne Überfrachtung.</x:v>
      </x:c>
      <x:c r="H11" s="60" t="str">
        <x:v>Die Kraftwirkung auf einen stromdurchflossenen Leiter im Magnetfeld beobachten und die Abhängigkeit von Stromrichtung und Feldrichtung qualitativ beschreiben.</x:v>
      </x:c>
      <x:c r="I11" s="60" t="str">
        <x:v>LE: Leiterschaukel zwischen Magnetpolen kurzzeitig bestromen und Stromrichtung umkehren.
SE: Kleine Leiterschaukel mit Schutzkleinspannung untersuchen; Bewegungsrichtung für zwei Stromrichtungen protokollieren.</x:v>
      </x:c>
      <x:c r="J11" s="60" t="str">
        <x:v>Kurze definierte Stromimpulse über MOSFET ausgeben</x:v>
      </x:c>
      <x:c r="K11" s="60" t="str">
        <x:v>ph_k9_st07_kraft_auf_einen_stromdurchflossenen_leiter_im_magnetfeld</x:v>
      </x:c>
      <x:c r="L11" s="60" t="str">
        <x:v>https://raw.githubusercontent.com/burgnetz-wq/froebel/main/bilder/physik/017_magnet_feldlinien.jpg</x:v>
      </x:c>
      <x:c r="M11" s="158" t="e">
        <x:f>HYPERLINK("https://burgnetz-wq.github.io/froebel/physik/html/ph9_stunde_07_kraft_auf_einen_stromdurchflossenen_leiter_im_magnetfeld.html","Schüler-Modul öffnen")</x:f>
      </x:c>
      <x:c r="N11" s="159" t="e">
        <x:f>HYPERLINK("lehrer/physik/ph_k9_st07_kraft_auf_einen_stromdurchflossenen_leiter_im_magnetfeld_orga.html","Vorbereitung öffnen")</x:f>
      </x:c>
    </x:row>
    <x:row r="12" ht="70" customHeight="1">
      <x:c r="A12" s="125" t="str">
        <x:v>Physik</x:v>
      </x:c>
      <x:c r="B12" s="126" t="n">
        <x:v>9</x:v>
      </x:c>
      <x:c r="C12" s="60" t="str">
        <x:v>Elektromagnetismus</x:v>
      </x:c>
      <x:c r="D12" s="126" t="n">
        <x:v>8</x:v>
      </x:c>
      <x:c r="E12" s="60" t="str">
        <x:v>Elektromotor – elektrische Energie erzeugt Bewegung</x:v>
      </x:c>
      <x:c r="F12" s="60" t="str">
        <x:v>vorstrukturierte Tabelle, Satzstarter und Hilfekarte.</x:v>
      </x:c>
      <x:c r="G12" s="60" t="str">
        <x:v>selbstständige Auswertung mit Fachbegriffen. Grundniveau ordnet Bauteile; Regelstandard erklärt Kommutator; Erweiterung verändert PWM und diskutiert Lastabhängigkeit.</x:v>
      </x:c>
      <x:c r="H12" s="60" t="str">
        <x:v>Das Motorprinzip aus der Kraft auf stromdurchflossene Leiter erklären und Aufbau sowie Energieumwandlung eines einfachen Gleichstrommotors beschreiben.</x:v>
      </x:c>
      <x:c r="I12" s="60" t="str">
        <x:v>LE: Zerlegbaren Schulmotor betreiben und nacheinander Magnet, Spule, Kommutator und Bürsten zeigen.
SE: Kleinen Gleichstrommotor über Motortreiber betreiben, Drehrichtung umkehren und Einfluss der PWM-Stufe beobachten.</x:v>
      </x:c>
      <x:c r="J12" s="60" t="str">
        <x:v>Gleichstrommotor über Transistortreiber oder H-Brücke steuern</x:v>
      </x:c>
      <x:c r="K12" s="60" t="str">
        <x:v>ph_k9_st08_elektromotor_elektrische_energie_erzeugt_bewegung</x:v>
      </x:c>
      <x:c r="L12" s="60" t="str">
        <x:v>https://raw.githubusercontent.com/burgnetz-wq/froebel/main/bilder/physik/044_generator_motor.jpg</x:v>
      </x:c>
      <x:c r="M12" s="158" t="e">
        <x:f>HYPERLINK("https://burgnetz-wq.github.io/froebel/physik/html/ph9_stunde_08_elektromotor_elektrische_energie_erzeugt_bewegung.html","Schüler-Modul öffnen")</x:f>
      </x:c>
      <x:c r="N12" s="159" t="e">
        <x:f>HYPERLINK("lehrer/physik/ph_k9_st08_elektromotor_elektrische_energie_erzeugt_bewegung_orga.html","Vorbereitung öffnen")</x:f>
      </x:c>
    </x:row>
    <x:row r="13" ht="70" customHeight="1">
      <x:c r="A13" s="125" t="str">
        <x:v>Physik</x:v>
      </x:c>
      <x:c r="B13" s="126" t="n">
        <x:v>9</x:v>
      </x:c>
      <x:c r="C13" s="60" t="str">
        <x:v>Elektromagnetismus</x:v>
      </x:c>
      <x:c r="D13" s="126" t="n">
        <x:v>9</x:v>
      </x:c>
      <x:c r="E13" s="60" t="str">
        <x:v>Relais und elektromagnetischer Türöffner</x:v>
      </x:c>
      <x:c r="F13" s="60" t="str">
        <x:v>vorstrukturierte Tabelle, Satzstarter und Hilfekarte.</x:v>
      </x:c>
      <x:c r="G13" s="60" t="str">
        <x:v>selbstständige Auswertung mit Fachbegriffen. Grundniveau benennt zwei Stromkreise; Regelstandard erklärt galvanische Trennung; Erweiterung programmiert eine zeitliche Verriegelung.</x:v>
      </x:c>
      <x:c r="H13" s="60" t="str">
        <x:v>Aufbau und Funktion eines Relais bzw. elektromagnetischen Türöffners beschreiben und Steuer- sowie Arbeitsstromkreis unterscheiden.</x:v>
      </x:c>
      <x:c r="I13" s="60" t="str">
        <x:v>LE: Transparentes Relais schalten und Kontaktbewegung sichtbar machen.
SE: 5-V-Relaismodul mit Taster ansteuern und damit eine getrennte LED-Last schalten; Steuer- und Lastkreis farbig markieren.</x:v>
      </x:c>
      <x:c r="J13" s="60" t="str">
        <x:v>Relaismodul mit Taster und Status-LED steuern</x:v>
      </x:c>
      <x:c r="K13" s="60" t="str">
        <x:v>ph_k9_st09_relais_und_elektromagnetischer_turoffner</x:v>
      </x:c>
      <x:c r="L13" s="60" t="str">
        <x:v>https://raw.githubusercontent.com/burgnetz-wq/froebel/main/bilder/physik/044_generator_motor.jpg</x:v>
      </x:c>
      <x:c r="M13" s="158" t="e">
        <x:f>HYPERLINK("https://burgnetz-wq.github.io/froebel/physik/html/ph9_stunde_09_relais_und_elektromagnetischer_tueroeffner.html","Schüler-Modul öffnen")</x:f>
      </x:c>
      <x:c r="N13" s="159" t="e">
        <x:f>HYPERLINK("lehrer/physik/ph_k9_st09_relais_und_elektromagnetischer_turoffner_orga.html","Vorbereitung öffnen")</x:f>
      </x:c>
    </x:row>
    <x:row r="14" ht="70" customHeight="1">
      <x:c r="A14" s="125" t="str">
        <x:v>Physik</x:v>
      </x:c>
      <x:c r="B14" s="126" t="n">
        <x:v>9</x:v>
      </x:c>
      <x:c r="C14" s="60" t="str">
        <x:v>Elektromagnetismus</x:v>
      </x:c>
      <x:c r="D14" s="126" t="n">
        <x:v>10</x:v>
      </x:c>
      <x:c r="E14" s="60" t="str">
        <x:v>Lautsprecher und Anwendungen des Elektromagnetismus</x:v>
      </x:c>
      <x:c r="F14" s="60" t="str">
        <x:v>vorstrukturierte Tabelle, Satzstarter und Hilfekarte.</x:v>
      </x:c>
      <x:c r="G14" s="60" t="str">
        <x:v>selbstständige Auswertung mit Fachbegriffen. Grundniveau ordnet Geräte; Regelstandard formuliert gemeinsames Wirkprinzip; Erweiterung erklärt Frequenzänderung im Sketch.</x:v>
      </x:c>
      <x:c r="H14" s="60" t="str">
        <x:v>Die Wirkungsweise eines Lautsprechers beschreiben und Elektromagnet, Motor, Relais sowie Lautsprecher nach ihrem gemeinsamen Wirkprinzip vergleichen.</x:v>
      </x:c>
      <x:c r="I14" s="60" t="str">
        <x:v>LE: Lautsprechermembran mit niederfrequentem Signal sichtbar schwingen lassen; Papierkügelchen als Bewegungsanzeiger nutzen.
SE: Piezo oder Kleinlautsprecher mit verschiedenen Frequenzen ansteuern und Tonhöhe, Lautstärke und Membranbewegung vergleichen.</x:v>
      </x:c>
      <x:c r="J14" s="60" t="str">
        <x:v>Töne mit einstellbarer Frequenz erzeugen</x:v>
      </x:c>
      <x:c r="K14" s="60" t="str">
        <x:v>ph_k9_st10_lautsprecher_und_anwendungen_des_elektromagnetismus</x:v>
      </x:c>
      <x:c r="L14" s="60" t="str">
        <x:v>https://raw.githubusercontent.com/burgnetz-wq/froebel/main/bilder/physik/044_generator_motor.jpg</x:v>
      </x:c>
      <x:c r="M14" s="158" t="e">
        <x:f>HYPERLINK("https://burgnetz-wq.github.io/froebel/physik/html/ph9_stunde_10_lautsprecher_und_anwendungen_des_elektromagnetismus.html","Schüler-Modul öffnen")</x:f>
      </x:c>
      <x:c r="N14" s="159" t="e">
        <x:f>HYPERLINK("lehrer/physik/ph_k9_st10_lautsprecher_und_anwendungen_des_elektromagnetismus_orga.html","Vorbereitung öffnen")</x:f>
      </x:c>
    </x:row>
    <x:row r="15" ht="70" customHeight="1">
      <x:c r="A15" s="125" t="str">
        <x:v>Physik</x:v>
      </x:c>
      <x:c r="B15" s="126" t="n">
        <x:v>9</x:v>
      </x:c>
      <x:c r="C15" s="60" t="str">
        <x:v>Mechanik</x:v>
      </x:c>
      <x:c r="D15" s="126" t="n">
        <x:v>11</x:v>
      </x:c>
      <x:c r="E15" s="60" t="str">
        <x:v>Bewegung, Bezugssystem, Weg und Zeit</x:v>
      </x:c>
      <x:c r="F15" s="60" t="str">
        <x:v>vorstrukturierte Tabelle, Satzstarter und Hilfekarte.</x:v>
      </x:c>
      <x:c r="G15" s="60" t="str">
        <x:v>selbstständige Auswertung mit Fachbegriffen. Grundniveau benennt Bezugssystem; Regelstandard misst Weg und Zeit; Erweiterung vergleicht Sensor- und Handmessung.</x:v>
      </x:c>
      <x:c r="H15" s="60" t="str">
        <x:v>Bewegung als Ortsänderung relativ zu einem Bezugssystem definieren sowie Weg und Zeit als physikalische Größen charakterisieren und messen.</x:v>
      </x:c>
      <x:c r="I15" s="60" t="str">
        <x:v>LE: Rollwagen aus zwei Bezugssystemen filmen bzw. beobachten: ruhender Raum und mitbewegte Kamera.
SE: Geradlinige Bewegung eines Spielzeugfahrzeugs mit Maßband und Stoppuhr in festen Zeitabständen markieren.</x:v>
      </x:c>
      <x:c r="J15" s="60" t="str">
        <x:v>Abstand eines Fahrzeugs mit HC-SR04 zeitabhängig erfassen</x:v>
      </x:c>
      <x:c r="K15" s="60" t="str">
        <x:v>ph_k9_st11_bewegung_bezugssystem_weg_und_zeit</x:v>
      </x:c>
      <x:c r="L15" s="60" t="str">
        <x:v>https://raw.githubusercontent.com/burgnetz-wq/froebel/main/bilder/physik/023_gleichfoermige_bewegung.jpg</x:v>
      </x:c>
      <x:c r="M15" s="158" t="e">
        <x:f>HYPERLINK("https://burgnetz-wq.github.io/froebel/physik/html/ph9_stunde_11_bewegung_bezugssystem_weg_und_zeit.html","Schüler-Modul öffnen")</x:f>
      </x:c>
      <x:c r="N15" s="159" t="e">
        <x:f>HYPERLINK("lehrer/physik/ph_k9_st11_bewegung_bezugssystem_weg_und_zeit_orga.html","Vorbereitung öffnen")</x:f>
      </x:c>
    </x:row>
    <x:row r="16" ht="70" customHeight="1">
      <x:c r="A16" s="125" t="str">
        <x:v>Physik</x:v>
      </x:c>
      <x:c r="B16" s="126" t="n">
        <x:v>9</x:v>
      </x:c>
      <x:c r="C16" s="60" t="str">
        <x:v>Mechanik</x:v>
      </x:c>
      <x:c r="D16" s="126" t="n">
        <x:v>12</x:v>
      </x:c>
      <x:c r="E16" s="60" t="str">
        <x:v>Geschwindigkeit messen und berechnen</x:v>
      </x:c>
      <x:c r="F16" s="60" t="str">
        <x:v>vorstrukturierte Tabelle, Satzstarter und Hilfekarte.</x:v>
      </x:c>
      <x:c r="G16" s="60" t="str">
        <x:v>selbstständige Auswertung mit Fachbegriffen. Grundniveau rechnet mit vorgegebenen Werten; Regelstandard wertet eigene Daten aus; Erweiterung vergleicht mittlere und momentane Geschwindigkeit qualitativ.</x:v>
      </x:c>
      <x:c r="H16" s="60" t="str">
        <x:v>Geschwindigkeit als Quotient aus Weg und Zeit charakterisieren, messen und mit passenden Einheiten berechnen.</x:v>
      </x:c>
      <x:c r="I16" s="60" t="str">
        <x:v>LE: Zwei Fahrzeuge legen gleiche Wege in unterschiedlichen Zeiten zurück; Geschwindigkeit vergleichen.
SE: Für mehrere Fahrten Weg und Zeit messen, v = s/t berechnen und Messunsicherheiten benennen.</x:v>
      </x:c>
      <x:c r="J16" s="60" t="str">
        <x:v>Geschwindigkeit aus zwei Ultraschall-Abstandswerten bestimmen</x:v>
      </x:c>
      <x:c r="K16" s="60" t="str">
        <x:v>ph_k9_st12_geschwindigkeit_messen_und_berechnen</x:v>
      </x:c>
      <x:c r="L16" s="60" t="str">
        <x:v>https://raw.githubusercontent.com/burgnetz-wq/froebel/main/bilder/physik/023_gleichfoermige_bewegung.jpg</x:v>
      </x:c>
      <x:c r="M16" s="158" t="e">
        <x:f>HYPERLINK("https://burgnetz-wq.github.io/froebel/physik/html/ph9_stunde_12_geschwindigkeit_messen_und_berechnen.html","Schüler-Modul öffnen")</x:f>
      </x:c>
      <x:c r="N16" s="159" t="e">
        <x:f>HYPERLINK("lehrer/physik/ph_k9_st12_geschwindigkeit_messen_und_berechnen_orga.html","Vorbereitung öffnen")</x:f>
      </x:c>
    </x:row>
    <x:row r="17" ht="70" customHeight="1">
      <x:c r="A17" s="125" t="str">
        <x:v>Physik</x:v>
      </x:c>
      <x:c r="B17" s="126" t="n">
        <x:v>9</x:v>
      </x:c>
      <x:c r="C17" s="60" t="str">
        <x:v>Mechanik</x:v>
      </x:c>
      <x:c r="D17" s="126" t="n">
        <x:v>13</x:v>
      </x:c>
      <x:c r="E17" s="60" t="str">
        <x:v>Geradlinig gleichförmige Bewegung und s-t-Diagramm</x:v>
      </x:c>
      <x:c r="F17" s="60" t="str">
        <x:v>vorstrukturierte Tabelle, Satzstarter und Hilfekarte.</x:v>
      </x:c>
      <x:c r="G17" s="60" t="str">
        <x:v>selbstständige Auswertung mit Fachbegriffen. Grundniveau erkennt Gerade; Regelstandard bestimmt v aus Steigung; Erweiterung diskutiert Offset und Messrauschen.</x:v>
      </x:c>
      <x:c r="H17" s="60" t="str">
        <x:v>Die geradlinig gleichförmige Bewegung durch konstante Geschwindigkeit, Gleichung und Weg-Zeit-Diagramm beschreiben.</x:v>
      </x:c>
      <x:c r="I17" s="60" t="str">
        <x:v>LE: Motorwagen mit möglichst konstanter Geschwindigkeit; Messpunkte in gleichen Zeitabständen projizieren.
SE: Messreihe s(t) aufnehmen, Punkte in ein Koordinatensystem eintragen und die Steigung als Geschwindigkeit deuten.</x:v>
      </x:c>
      <x:c r="J17" s="60" t="str">
        <x:v>Weg-Zeit-Daten mit HC-SR04 protokollieren</x:v>
      </x:c>
      <x:c r="K17" s="60" t="str">
        <x:v>ph_k9_st13_geradlinig_gleichformige_bewegung_und_s_t_diagramm</x:v>
      </x:c>
      <x:c r="L17" s="60" t="str">
        <x:v>https://raw.githubusercontent.com/burgnetz-wq/froebel/main/bilder/physik/023_gleichfoermige_bewegung.jpg</x:v>
      </x:c>
      <x:c r="M17" s="158" t="e">
        <x:f>HYPERLINK("https://burgnetz-wq.github.io/froebel/physik/html/ph9_stunde_13_geradlinig_gleichfoermige_bewegung_und_s_t_diagramm.html","Schüler-Modul öffnen")</x:f>
      </x:c>
      <x:c r="N17" s="159" t="e">
        <x:f>HYPERLINK("lehrer/physik/ph_k9_st13_geradlinig_gleichformige_bewegung_und_s_t_diagramm_orga.html","Vorbereitung öffnen")</x:f>
      </x:c>
    </x:row>
    <x:row r="18" ht="70" customHeight="1">
      <x:c r="A18" s="125" t="str">
        <x:v>Physik</x:v>
      </x:c>
      <x:c r="B18" s="126" t="n">
        <x:v>9</x:v>
      </x:c>
      <x:c r="C18" s="60" t="str">
        <x:v>Mechanik</x:v>
      </x:c>
      <x:c r="D18" s="126" t="n">
        <x:v>14</x:v>
      </x:c>
      <x:c r="E18" s="60" t="str">
        <x:v>Gleichförmige Bewegung – Gleichungen und Diagramme anwenden</x:v>
      </x:c>
      <x:c r="F18" s="60" t="str">
        <x:v>vorstrukturierte Tabelle, Satzstarter und Hilfekarte.</x:v>
      </x:c>
      <x:c r="G18" s="60" t="str">
        <x:v>selbstständige Auswertung mit Fachbegriffen. Hauptschulniveau mit ganzzahligen Werten und Satzstartern; Realschulniveau mit Einheitenumrechnung und unbekannter Größe; Erweiterung mit abschnittsweiser Bewegung.</x:v>
      </x:c>
      <x:c r="H18" s="60" t="str">
        <x:v>Weg, Zeit und Geschwindigkeit bei gleichförmigen Bewegungen berechnen sowie s-t- und v-t-Diagramme lesen und ineinander übertragen.</x:v>
      </x:c>
      <x:c r="I18" s="60" t="str">
        <x:v>LE: Live-Diagramm einer gleichförmigen Bewegung zeigen und anhalten; Werte ablesen lassen.
SE: Aufgabenstationen mit realen Fahrplänen, Fahrradfahrt und Laufbewegung; Diagramme ergänzen und Rechenwege kontrollieren.</x:v>
      </x:c>
      <x:c r="J18" s="60" t="str">
        <x:v>—</x:v>
      </x:c>
      <x:c r="K18" s="60" t="str">
        <x:v>ph_k9_st14_gleichformige_bewegung_gleichungen_und_diagramme_anwenden</x:v>
      </x:c>
      <x:c r="L18" s="60" t="str">
        <x:v>https://raw.githubusercontent.com/burgnetz-wq/froebel/main/bilder/physik/023_gleichfoermige_bewegung.jpg</x:v>
      </x:c>
      <x:c r="M18" s="158" t="e">
        <x:f>HYPERLINK("https://burgnetz-wq.github.io/froebel/physik/html/ph9_stunde_14_gleichfoermige_bewegung_gleichungen_und_diagramme_anwenden.html","Schüler-Modul öffnen")</x:f>
      </x:c>
      <x:c r="N18" s="159" t="e">
        <x:f>HYPERLINK("lehrer/physik/ph_k9_st14_gleichformige_bewegung_gleichungen_und_diagramme_anwenden_orga.html","Vorbereitung öffnen")</x:f>
      </x:c>
    </x:row>
    <x:row r="19" ht="70" customHeight="1">
      <x:c r="A19" s="125" t="str">
        <x:v>Physik</x:v>
      </x:c>
      <x:c r="B19" s="126" t="n">
        <x:v>9</x:v>
      </x:c>
      <x:c r="C19" s="60" t="str">
        <x:v>Mechanik</x:v>
      </x:c>
      <x:c r="D19" s="126" t="n">
        <x:v>15</x:v>
      </x:c>
      <x:c r="E19" s="60" t="str">
        <x:v>Beschleunigung als Änderung der Geschwindigkeit</x:v>
      </x:c>
      <x:c r="F19" s="60" t="str">
        <x:v>vorstrukturierte Tabelle, Satzstarter und Hilfekarte.</x:v>
      </x:c>
      <x:c r="G19" s="60" t="str">
        <x:v>selbstständige Auswertung mit Fachbegriffen. Grundniveau beschreibt schneller werden; Regelstandard berechnet einfache Beschleunigungen; Erweiterung kalibriert Sensorlage und diskutiert Erdbeschleunigung.</x:v>
      </x:c>
      <x:c r="H19" s="60" t="str">
        <x:v>Beschleunigung als Änderung der Geschwindigkeit pro Zeit charakterisieren und Bewegungen mit größerer oder kleinerer Beschleunigung vergleichen.</x:v>
      </x:c>
      <x:c r="I19" s="60" t="str">
        <x:v>LE: Rollwagen auf unterschiedlich steilen Rampen; Geschwindigkeitszunahme sichtbar bzw. akustisch vergleichen.
SE: Fahrzeug auf einer flachen Rampe in gleichen Zeitabständen beobachten und zunehmende Wegabschnitte markieren.</x:v>
      </x:c>
      <x:c r="J19" s="60" t="str">
        <x:v>Beschleunigungswerte mit MPU6050 als Rohdaten erfassen</x:v>
      </x:c>
      <x:c r="K19" s="60" t="str">
        <x:v>ph_k9_st15_beschleunigung_als_anderung_der_geschwindigkeit</x:v>
      </x:c>
      <x:c r="L19" s="60" t="str">
        <x:v>https://raw.githubusercontent.com/burgnetz-wq/froebel/main/bilder/physik/092_beschleunigung.jpg</x:v>
      </x:c>
      <x:c r="M19" s="158" t="e">
        <x:f>HYPERLINK("https://burgnetz-wq.github.io/froebel/physik/html/ph9_stunde_15_beschleunigung_als_aenderung_der_geschwindigkeit.html","Schüler-Modul öffnen")</x:f>
      </x:c>
      <x:c r="N19" s="159" t="e">
        <x:f>HYPERLINK("lehrer/physik/ph_k9_st15_beschleunigung_als_anderung_der_geschwindigkeit_orga.html","Vorbereitung öffnen")</x:f>
      </x:c>
    </x:row>
    <x:row r="20" ht="70" customHeight="1">
      <x:c r="A20" s="125" t="str">
        <x:v>Physik</x:v>
      </x:c>
      <x:c r="B20" s="126" t="n">
        <x:v>9</x:v>
      </x:c>
      <x:c r="C20" s="60" t="str">
        <x:v>Mechanik</x:v>
      </x:c>
      <x:c r="D20" s="126" t="n">
        <x:v>16</x:v>
      </x:c>
      <x:c r="E20" s="60" t="str">
        <x:v>Geradlinig gleichmäßig beschleunigte Bewegung</x:v>
      </x:c>
      <x:c r="F20" s="60" t="str">
        <x:v>vorstrukturierte Tabelle, Satzstarter und Hilfekarte.</x:v>
      </x:c>
      <x:c r="G20" s="60" t="str">
        <x:v>selbstständige Auswertung mit Fachbegriffen. Grundniveau erkennt Diagrammformen; Regelstandard berechnet v = a·t; Erweiterung nutzt s = 1/2·a·t² und prüft Modellabweichungen.</x:v>
      </x:c>
      <x:c r="H20" s="60" t="str">
        <x:v>Eine geradlinig gleichmäßig beschleunigte Bewegung mit v-t- und s-t-Diagrammen sowie geeigneten Gleichungen beschreiben.</x:v>
      </x:c>
      <x:c r="I20" s="60" t="str">
        <x:v>LE: Luftkissenbahn oder Rollwagen auf leicht geneigter Bahn mit Zeitmarken demonstrieren.
SE: Aus vorbereiteten oder selbst aufgenommenen Daten v-t- und s-t-Diagramme erstellen und typische Form erkennen.</x:v>
      </x:c>
      <x:c r="J20" s="60" t="str">
        <x:v>Beschleunigungsdaten mit MPU6050 aufzeichnen und mitteln</x:v>
      </x:c>
      <x:c r="K20" s="60" t="str">
        <x:v>ph_k9_st16_geradlinig_gleichmaig_beschleunigte_bewegung</x:v>
      </x:c>
      <x:c r="L20" s="60" t="str">
        <x:v>https://raw.githubusercontent.com/burgnetz-wq/froebel/main/bilder/physik/023_gleichfoermige_bewegung.jpg</x:v>
      </x:c>
      <x:c r="M20" s="158" t="e">
        <x:f>HYPERLINK("https://burgnetz-wq.github.io/froebel/physik/html/ph9_stunde_16_geradlinig_gleichmaessig_beschleunigte_bewegung.html","Schüler-Modul öffnen")</x:f>
      </x:c>
      <x:c r="N20" s="159" t="e">
        <x:f>HYPERLINK("lehrer/physik/ph_k9_st16_geradlinig_gleichmaig_beschleunigte_bewegung_orga.html","Vorbereitung öffnen")</x:f>
      </x:c>
    </x:row>
    <x:row r="21" ht="70" customHeight="1">
      <x:c r="A21" s="125" t="str">
        <x:v>Physik</x:v>
      </x:c>
      <x:c r="B21" s="126" t="n">
        <x:v>9</x:v>
      </x:c>
      <x:c r="C21" s="60" t="str">
        <x:v>Mechanik</x:v>
      </x:c>
      <x:c r="D21" s="126" t="n">
        <x:v>17</x:v>
      </x:c>
      <x:c r="E21" s="60" t="str">
        <x:v>Freier Fall als beschleunigte Bewegung</x:v>
      </x:c>
      <x:c r="F21" s="60" t="str">
        <x:v>vorstrukturierte Tabelle, Satzstarter und Hilfekarte.</x:v>
      </x:c>
      <x:c r="G21" s="60" t="str">
        <x:v>selbstständige Auswertung mit Fachbegriffen. Grundniveau beschreibt Beobachtung; Regelstandard interpretiert Zeiten; Erweiterung vergleicht Messung mit idealisiertem Fallgesetz.</x:v>
      </x:c>
      <x:c r="H21" s="60" t="str">
        <x:v>Den freien Fall als annähernd gleichmäßig beschleunigte Bewegung beschreiben, Fallzeiten messen und Diagramme interpretieren.</x:v>
      </x:c>
      <x:c r="I21" s="60" t="str">
        <x:v>LE: Gleichzeitiger Fall unterschiedlich schwerer, ähnlich geformter Körper; Einfluss des Luftwiderstands durch Papiervergleich.
SE: Fallzeit aus kleiner, sicherer Höhe mehrfach messen oder mit Lichtschranke erfassen; Mittelwert bilden.</x:v>
      </x:c>
      <x:c r="J21" s="60" t="str">
        <x:v>Fallzeit mit zwei Lichtschranken bzw. Photogates messen</x:v>
      </x:c>
      <x:c r="K21" s="60" t="str">
        <x:v>ph_k9_st17_freier_fall_als_beschleunigte_bewegung</x:v>
      </x:c>
      <x:c r="L21" s="60" t="str">
        <x:v>https://raw.githubusercontent.com/burgnetz-wq/froebel/main/bilder/physik/092_beschleunigung.jpg</x:v>
      </x:c>
      <x:c r="M21" s="158" t="e">
        <x:f>HYPERLINK("https://burgnetz-wq.github.io/froebel/physik/html/ph9_stunde_17_freier_fall_als_beschleunigte_bewegung.html","Schüler-Modul öffnen")</x:f>
      </x:c>
      <x:c r="N21" s="159" t="e">
        <x:f>HYPERLINK("lehrer/physik/ph_k9_st17_freier_fall_als_beschleunigte_bewegung_orga.html","Vorbereitung öffnen")</x:f>
      </x:c>
    </x:row>
    <x:row r="22" ht="70" customHeight="1">
      <x:c r="A22" s="125" t="str">
        <x:v>Physik</x:v>
      </x:c>
      <x:c r="B22" s="126" t="n">
        <x:v>9</x:v>
      </x:c>
      <x:c r="C22" s="60" t="str">
        <x:v>Mechanik</x:v>
      </x:c>
      <x:c r="D22" s="126" t="n">
        <x:v>18</x:v>
      </x:c>
      <x:c r="E22" s="60" t="str">
        <x:v>Bewegungsformen, Bewegungsarten und Verkehrssicherheit</x:v>
      </x:c>
      <x:c r="F22" s="60" t="str">
        <x:v>vorstrukturierte Tabelle, Satzstarter und Hilfekarte.</x:v>
      </x:c>
      <x:c r="G22" s="60" t="str">
        <x:v>selbstständige Auswertung mit Fachbegriffen. Grundniveau ordnet Bewegungsarten; Regelstandard erklärt Anhalteweg; Erweiterung beurteilt Grenzen eines Ultraschall-Abstandsmodells.</x:v>
      </x:c>
      <x:c r="H22" s="60" t="str">
        <x:v>Bewegungsformen und Bewegungsarten unterscheiden und Kenntnisse über Geschwindigkeit und Beschleunigung auf sichere Entscheidungen im Straßenverkehr übertragen.</x:v>
      </x:c>
      <x:c r="I22" s="60" t="str">
        <x:v>LE: Modellfahrzeug bremst aus verschiedenen Startgeschwindigkeiten; Bremsweg vergleichen.
SE: Reaktionsweg und vereinfachten Anhalteweg an Stationen messen bzw. aus Datensätzen auswerten.</x:v>
      </x:c>
      <x:c r="J22" s="60" t="str">
        <x:v>Abstandswarnung mit HC-SR04 und Piezo-Summer modellieren</x:v>
      </x:c>
      <x:c r="K22" s="60" t="str">
        <x:v>ph_k9_st18_bewegungsformen_bewegungsarten_und_verkehrssicherheit</x:v>
      </x:c>
      <x:c r="L22" s="60" t="str">
        <x:v>https://raw.githubusercontent.com/burgnetz-wq/froebel/main/bilder/physik/023_gleichfoermige_bewegung.jpg</x:v>
      </x:c>
      <x:c r="M22" s="158" t="e">
        <x:f>HYPERLINK("https://burgnetz-wq.github.io/froebel/physik/html/ph9_stunde_18_bewegungsformen_bewegungsarten_und_verkehrssicherheit.html","Schüler-Modul öffnen")</x:f>
      </x:c>
      <x:c r="N22" s="159" t="e">
        <x:f>HYPERLINK("lehrer/physik/ph_k9_st18_bewegungsformen_bewegungsarten_und_verkehrssicherheit_orga.html","Vorbereitung öffnen")</x:f>
      </x:c>
    </x:row>
    <x:row r="23" ht="70" customHeight="1">
      <x:c r="A23" s="125" t="str">
        <x:v>Physik</x:v>
      </x:c>
      <x:c r="B23" s="126" t="n">
        <x:v>9</x:v>
      </x:c>
      <x:c r="C23" s="60" t="str">
        <x:v>Mechanik</x:v>
      </x:c>
      <x:c r="D23" s="126" t="n">
        <x:v>19</x:v>
      </x:c>
      <x:c r="E23" s="60" t="str">
        <x:v>Kraft als Wechselwirkung und physikalische Größe</x:v>
      </x:c>
      <x:c r="F23" s="60" t="str">
        <x:v>vorstrukturierte Tabelle, Satzstarter und Hilfekarte.</x:v>
      </x:c>
      <x:c r="G23" s="60" t="str">
        <x:v>selbstständige Auswertung mit Fachbegriffen. Grundniveau benennt Kraftwirkungen; Regelstandard zeichnet Kraftpfeile; Erweiterung kalibriert eine Wägezelle mit bekannten Massen.</x:v>
      </x:c>
      <x:c r="H23" s="60" t="str">
        <x:v>Kraft als Wechselwirkung charakterisieren, Wirkungen von Kräften unterscheiden und Kräfte mit Betrag, Richtung und Angriffspunkt darstellen und messen.</x:v>
      </x:c>
      <x:c r="I23" s="60" t="str">
        <x:v>LE: Federkraftmesser zieht einen Wagen; Verformungs- und Bewegungswirkung zeigen.
SE: Verschiedene Kräfte mit Federkraftmessern messen und als Kraftpfeile maßstäblich darstellen.</x:v>
      </x:c>
      <x:c r="J23" s="60" t="str">
        <x:v>Kraft mit Wägezelle und HX711 nach Kalibrierung messen</x:v>
      </x:c>
      <x:c r="K23" s="60" t="str">
        <x:v>ph_k9_st19_kraft_als_wechselwirkung_und_physikalische_groe</x:v>
      </x:c>
      <x:c r="L23" s="60" t="str">
        <x:v>https://raw.githubusercontent.com/burgnetz-wq/froebel/main/bilder/physik/024_newton_krafte.jpg</x:v>
      </x:c>
      <x:c r="M23" s="158" t="e">
        <x:f>HYPERLINK("https://burgnetz-wq.github.io/froebel/physik/html/ph9_stunde_19_kraft_als_wechselwirkung_und_physikalische_groesse.html","Schüler-Modul öffnen")</x:f>
      </x:c>
      <x:c r="N23" s="159" t="e">
        <x:f>HYPERLINK("lehrer/physik/ph_k9_st19_kraft_als_wechselwirkung_und_physikalische_groe_orga.html","Vorbereitung öffnen")</x:f>
      </x:c>
    </x:row>
    <x:row r="24" ht="70" customHeight="1">
      <x:c r="A24" s="125" t="str">
        <x:v>Physik</x:v>
      </x:c>
      <x:c r="B24" s="126" t="n">
        <x:v>9</x:v>
      </x:c>
      <x:c r="C24" s="60" t="str">
        <x:v>Mechanik</x:v>
      </x:c>
      <x:c r="D24" s="126" t="n">
        <x:v>20</x:v>
      </x:c>
      <x:c r="E24" s="60" t="str">
        <x:v>Erstes Newtonsches Gesetz – Trägheit</x:v>
      </x:c>
      <x:c r="F24" s="60" t="str">
        <x:v>vorstrukturierte Tabelle, Satzstarter und Hilfekarte.</x:v>
      </x:c>
      <x:c r="G24" s="60" t="str">
        <x:v>selbstständige Auswertung mit Fachbegriffen. Grundniveau beschreibt Trägheit; Regelstandard erklärt Kraftbilanz; Erweiterung analysiert Sicherheitsgurt und Kopfstütze.</x:v>
      </x:c>
      <x:c r="H24" s="60" t="str">
        <x:v>Alltagsvorgänge mit dem Trägheitsgesetz erklären und zwischen fehlender resultierender Kraft und fehlender Bewegung unterscheiden.</x:v>
      </x:c>
      <x:c r="I24" s="60" t="str">
        <x:v>LE: Münze-Karte-Glas-Versuch oder Tischdeckenversuch in sicherer Kleinform.
SE: Trägheitsstationen: Münze auf Karte, Rollwagen mit losem Klotz, gefülltes Gefäß sanft und abrupt bewegen.</x:v>
      </x:c>
      <x:c r="J24" s="60" t="str">
        <x:v>—</x:v>
      </x:c>
      <x:c r="K24" s="60" t="str">
        <x:v>ph_k9_st20_erstes_newtonsches_gesetz_tragheit</x:v>
      </x:c>
      <x:c r="L24" s="60" t="str">
        <x:v>https://raw.githubusercontent.com/burgnetz-wq/froebel/main/bilder/physik/024_newton_krafte.jpg</x:v>
      </x:c>
      <x:c r="M24" s="158" t="e">
        <x:f>HYPERLINK("https://burgnetz-wq.github.io/froebel/physik/html/ph9_stunde_20_erstes_newtonsches_gesetz_traegheit.html","Schüler-Modul öffnen")</x:f>
      </x:c>
      <x:c r="N24" s="159" t="e">
        <x:f>HYPERLINK("lehrer/physik/ph_k9_st20_erstes_newtonsches_gesetz_tragheit_orga.html","Vorbereitung öffnen")</x:f>
      </x:c>
    </x:row>
    <x:row r="25" ht="70" customHeight="1">
      <x:c r="A25" s="125" t="str">
        <x:v>Physik</x:v>
      </x:c>
      <x:c r="B25" s="126" t="n">
        <x:v>9</x:v>
      </x:c>
      <x:c r="C25" s="60" t="str">
        <x:v>Mechanik</x:v>
      </x:c>
      <x:c r="D25" s="126" t="n">
        <x:v>21</x:v>
      </x:c>
      <x:c r="E25" s="60" t="str">
        <x:v>Zweites Newtonsches Gesetz – Kraft, Masse und Beschleunigung</x:v>
      </x:c>
      <x:c r="F25" s="60" t="str">
        <x:v>vorstrukturierte Tabelle, Satzstarter und Hilfekarte.</x:v>
      </x:c>
      <x:c r="G25" s="60" t="str">
        <x:v>selbstständige Auswertung mit Fachbegriffen. Hauptschulniveau qualitativ; Realschulniveau F = m·a; Erweiterung analysiert Messunsicherheiten und Reibung.</x:v>
      </x:c>
      <x:c r="H25" s="60" t="str">
        <x:v>Das newtonsche Grundgesetz qualitativ und auf Realschulniveau quantitativ anwenden, um Kraft, Masse und Beschleunigung bei Bewegungsvorgängen zu verknüpfen.</x:v>
      </x:c>
      <x:c r="I25" s="60" t="str">
        <x:v>LE: Gleiche Zugkraft bei unterschiedlichen Wagenmassen bzw. unterschiedliche Zugkraft bei gleicher Masse vergleichen.
SE: Rollwagen mit Zuggewicht untersuchen; eine Variable konstant halten und Beschleunigungswirkung vergleichen.</x:v>
      </x:c>
      <x:c r="J25" s="60" t="str">
        <x:v>Zugkraft mit Wägezelle und Bewegung mit Ultraschall erfassen</x:v>
      </x:c>
      <x:c r="K25" s="60" t="str">
        <x:v>ph_k9_st21_zweites_newtonsches_gesetz_kraft_masse_und_beschleunigung</x:v>
      </x:c>
      <x:c r="L25" s="60" t="str">
        <x:v>https://raw.githubusercontent.com/burgnetz-wq/froebel/main/bilder/physik/092_beschleunigung.jpg</x:v>
      </x:c>
      <x:c r="M25" s="158" t="e">
        <x:f>HYPERLINK("https://burgnetz-wq.github.io/froebel/physik/html/ph9_stunde_21_zweites_newtonsches_gesetz_kraft_masse_und_beschleunigung.html","Schüler-Modul öffnen")</x:f>
      </x:c>
      <x:c r="N25" s="159" t="e">
        <x:f>HYPERLINK("lehrer/physik/ph_k9_st21_zweites_newtonsches_gesetz_kraft_masse_und_beschleunigung_orga.html","Vorbereitung öffnen")</x:f>
      </x:c>
    </x:row>
    <x:row r="26" ht="70" customHeight="1">
      <x:c r="A26" s="125" t="str">
        <x:v>Physik</x:v>
      </x:c>
      <x:c r="B26" s="126" t="n">
        <x:v>9</x:v>
      </x:c>
      <x:c r="C26" s="60" t="str">
        <x:v>Mechanik</x:v>
      </x:c>
      <x:c r="D26" s="126" t="n">
        <x:v>22</x:v>
      </x:c>
      <x:c r="E26" s="60" t="str">
        <x:v>Drittes Newtonsches Gesetz – Actio und Reactio</x:v>
      </x:c>
      <x:c r="F26" s="60" t="str">
        <x:v>vorstrukturierte Tabelle, Satzstarter und Hilfekarte.</x:v>
      </x:c>
      <x:c r="G26" s="60" t="str">
        <x:v>selbstständige Auswertung mit Fachbegriffen. Grundniveau erkennt Kräftepaare; Regelstandard ordnet Kräfte verschiedenen Körpern zu; Erweiterung erklärt Rückstoß und Fortbewegung.</x:v>
      </x:c>
      <x:c r="H26" s="60" t="str">
        <x:v>Kraft und Gegenkraft als gleich große, entgegengesetzt gerichtete Kräfte an verschiedenen Körpern beschreiben und Alltagssituationen erklären.</x:v>
      </x:c>
      <x:c r="I26" s="60" t="str">
        <x:v>LE: Zwei gekoppelte Federkraftmesser auseinanderziehen und gleiche Anzeigen zeigen.
SE: Paarweise Federkraftmesser untersuchen; zusätzlich zwei Rollwagen mit gespannter Feder auseinanderfahren lassen.</x:v>
      </x:c>
      <x:c r="J26" s="60" t="str">
        <x:v>—</x:v>
      </x:c>
      <x:c r="K26" s="60" t="str">
        <x:v>ph_k9_st22_drittes_newtonsches_gesetz_actio_und_reactio</x:v>
      </x:c>
      <x:c r="L26" s="60" t="str">
        <x:v>https://raw.githubusercontent.com/burgnetz-wq/froebel/main/bilder/physik/024_newton_krafte.jpg</x:v>
      </x:c>
      <x:c r="M26" s="158" t="e">
        <x:f>HYPERLINK("https://burgnetz-wq.github.io/froebel/physik/html/ph9_stunde_22_drittes_newtonsches_gesetz_actio_und_reactio.html","Schüler-Modul öffnen")</x:f>
      </x:c>
      <x:c r="N26" s="159" t="e">
        <x:f>HYPERLINK("lehrer/physik/ph_k9_st22_drittes_newtonsches_gesetz_actio_und_reactio_orga.html","Vorbereitung öffnen")</x:f>
      </x:c>
    </x:row>
    <x:row r="27" ht="70" customHeight="1">
      <x:c r="A27" s="125" t="str">
        <x:v>Physik</x:v>
      </x:c>
      <x:c r="B27" s="126" t="n">
        <x:v>9</x:v>
      </x:c>
      <x:c r="C27" s="60" t="str">
        <x:v>Mechanik</x:v>
      </x:c>
      <x:c r="D27" s="126" t="n">
        <x:v>23</x:v>
      </x:c>
      <x:c r="E27" s="60" t="str">
        <x:v>Gravitation, Masse und Gewichtskraft</x:v>
      </x:c>
      <x:c r="F27" s="60" t="str">
        <x:v>vorstrukturierte Tabelle, Satzstarter und Hilfekarte.</x:v>
      </x:c>
      <x:c r="G27" s="60" t="str">
        <x:v>selbstständige Auswertung mit Fachbegriffen. Grundniveau unterscheidet Masse und Gewicht; Regelstandard nutzt F_G = m·g; Erweiterung diskutiert Ortsabhängigkeit von g und Planetenbewegung.</x:v>
      </x:c>
      <x:c r="H27" s="60" t="str">
        <x:v>Gravitation als elementare Grunderscheinung beschreiben, Masse und Gewichtskraft unterscheiden und Beispiele wie Gewicht, Gezeiten und Planetenbewegung einordnen.</x:v>
      </x:c>
      <x:c r="I27" s="60" t="str">
        <x:v>LE: Federkraftmesser mit gleicher Masse in verschiedenen Orientierungen; Modellvergleich Gewichtskraft auf Erde und Mond.
SE: Gewichtskraft verschiedener Massen messen, F_G gegen m auftragen und Zusammenhang bestimmen.</x:v>
      </x:c>
      <x:c r="J27" s="60" t="str">
        <x:v>Gewichtskraft mit kalibrierter Wägezelle messen</x:v>
      </x:c>
      <x:c r="K27" s="60" t="str">
        <x:v>ph_k9_st23_gravitation_masse_und_gewichtskraft</x:v>
      </x:c>
      <x:c r="L27" s="60" t="str">
        <x:v>https://raw.githubusercontent.com/burgnetz-wq/froebel/main/bilder/physik/091_gravitation.jpg</x:v>
      </x:c>
      <x:c r="M27" s="158" t="e">
        <x:f>HYPERLINK("https://burgnetz-wq.github.io/froebel/physik/html/ph9_stunde_23_gravitation_masse_und_gewichtskraft.html","Schüler-Modul öffnen")</x:f>
      </x:c>
      <x:c r="N27" s="159" t="e">
        <x:f>HYPERLINK("lehrer/physik/ph_k9_st23_gravitation_masse_und_gewichtskraft_orga.html","Vorbereitung öffnen")</x:f>
      </x:c>
    </x:row>
    <x:row r="28" ht="70" customHeight="1">
      <x:c r="A28" s="127" t="str">
        <x:v>Physik</x:v>
      </x:c>
      <x:c r="B28" s="128" t="n">
        <x:v>9</x:v>
      </x:c>
      <x:c r="C28" s="63" t="str">
        <x:v>Mechanik</x:v>
      </x:c>
      <x:c r="D28" s="128" t="n">
        <x:v>24</x:v>
      </x:c>
      <x:c r="E28" s="63" t="str">
        <x:v>Projekt und Lernkontrolle – Bewegungen und Kräfte im Alltag</x:v>
      </x:c>
      <x:c r="F28" s="63" t="str">
        <x:v>vorstrukturierte Tabelle, Satzstarter und Hilfekarte.</x:v>
      </x:c>
      <x:c r="G28" s="63" t="str">
        <x:v>selbstständige Auswertung mit Fachbegriffen. Grundniveau arbeitet mit vorgegebenem Plan; Regelstandard plant Variablen selbst; Erweiterung vergleicht zwei Messmethoden und bewertet Unsicherheiten.</x:v>
      </x:c>
      <x:c r="H28" s="63" t="str">
        <x:v>Bewegungs- und Kraftzusammenhänge in einem selbst geplanten Kurzexperiment untersuchen, Daten auswerten und Ergebnisse adressatengerecht präsentieren.</x:v>
      </x:c>
      <x:c r="I28" s="63" t="str">
        <x:v>LE: Beispielmessung am Fahrradmodell oder Rollwagen vollständig von Fragestellung bis Ergebnissatz vormachen.
SE: Gruppen wählen eine Station: Geschwindigkeit, Beschleunigung, Bremsweg, Kraftmessung oder Gravitation; sie planen, messen, dokumentieren und präsentieren kurz.</x:v>
      </x:c>
      <x:c r="J28" s="63" t="str">
        <x:v>Wahlstationen mit Ultraschall, Lichtschranke oder Wägezelle</x:v>
      </x:c>
      <x:c r="K28" s="63" t="str">
        <x:v>ph_k9_st24_projekt_und_lernkontrolle_bewegungen_und_krafte_im_alltag</x:v>
      </x:c>
      <x:c r="L28" s="63" t="str">
        <x:v>https://raw.githubusercontent.com/burgnetz-wq/froebel/main/bilder/physik/023_gleichfoermige_bewegung.jpg</x:v>
      </x:c>
      <x:c r="M28" s="160" t="e">
        <x:f>HYPERLINK("https://burgnetz-wq.github.io/froebel/physik/html/ph9_stunde_24_projekt_und_lernkontrolle_bewegungen_und_kraefte_im_alltag.html","Schüler-Modul öffnen")</x:f>
      </x:c>
      <x:c r="N28" s="161" t="e">
        <x:f>HYPERLINK("lehrer/physik/ph_k9_st24_projekt_und_lernkontrolle_bewegungen_und_krafte_im_alltag_orga.html","Vorbereitung öffnen")</x:f>
      </x:c>
    </x:row>
  </x:sheetData>
  <x:mergeCells>
    <x:mergeCell ref="A1:N1"/>
    <x:mergeCell ref="A2:N2"/>
  </x:mergeCells>
  <x:pageMargins left="0.7" right="0.7" top="0.75" bottom="0.75" header="0.3" footer="0.3"/>
  <x:tableParts count="1">
    <x:tablePart xmlns:r="http://schemas.openxmlformats.org/officeDocument/2006/relationships" r:id="R6ce13ec41dae4e61"/>
  </x:tableParts>
</x:worksheet>
</file>

<file path=xl/worksheets/sheet6.xml><?xml version="1.0" encoding="utf-8"?>
<x:worksheet xmlns:x="http://schemas.openxmlformats.org/spreadsheetml/2006/main">
  <x:sheetFormatPr defaultRowHeight="15"/>
  <x:cols>
    <x:col min="1" max="1" width="13" hidden="0" customWidth="1"/>
    <x:col min="2" max="2" width="9" hidden="0" customWidth="1"/>
    <x:col min="3" max="3" width="26" hidden="0" customWidth="1"/>
    <x:col min="4" max="4" width="9" hidden="0" customWidth="1"/>
    <x:col min="5" max="5" width="42" hidden="0" customWidth="1"/>
    <x:col min="6" max="6" width="42" hidden="0" customWidth="1"/>
    <x:col min="7" max="7" width="45" hidden="0" customWidth="1"/>
    <x:col min="8" max="8" width="44" hidden="0" customWidth="1"/>
    <x:col min="9" max="9" width="50" hidden="0" customWidth="1"/>
    <x:col min="10" max="10" width="36" hidden="0" customWidth="1"/>
    <x:col min="11" max="11" width="42" hidden="0" customWidth="1"/>
    <x:col min="12" max="12" width="52" hidden="0" customWidth="1"/>
    <x:col min="13" max="13" width="22" hidden="0" customWidth="1"/>
    <x:col min="14" max="14" width="24" hidden="0" customWidth="1"/>
  </x:cols>
  <x:sheetData>
    <x:row r="1" ht="34" customHeight="1">
      <x:c r="A1" s="111" t="str">
        <x:v>Physik Klasse 10 – kombinierter Stoffverteilungsplan HSA/RSA</x:v>
      </x:c>
      <x:c r="B1" s="111"/>
      <x:c r="C1" s="111"/>
      <x:c r="D1" s="111"/>
      <x:c r="E1" s="111"/>
      <x:c r="F1" s="111"/>
      <x:c r="G1" s="111"/>
      <x:c r="H1" s="111"/>
      <x:c r="I1" s="111"/>
      <x:c r="J1" s="111"/>
      <x:c r="K1" s="111"/>
      <x:c r="L1" s="111"/>
      <x:c r="M1" s="111"/>
      <x:c r="N1" s="111"/>
    </x:row>
    <x:row r="2" ht="42" customHeight="1">
      <x:c r="A2" s="115" t="str">
        <x:v>Jede Zeile entspricht einer Unterrichtsstunde. Die Schüler-Module werden aus der bestehenden GitHub-Pages-Struktur geöffnet; die Lehrer-Vorbereitungen liegen im beigefügten Ordner.</x:v>
      </x:c>
      <x:c r="B2" s="115"/>
      <x:c r="C2" s="115"/>
      <x:c r="D2" s="115"/>
      <x:c r="E2" s="115"/>
      <x:c r="F2" s="115"/>
      <x:c r="G2" s="115"/>
      <x:c r="H2" s="115"/>
      <x:c r="I2" s="115"/>
      <x:c r="J2" s="115"/>
      <x:c r="K2" s="115"/>
      <x:c r="L2" s="115"/>
      <x:c r="M2" s="115"/>
      <x:c r="N2" s="115"/>
    </x:row>
    <x:row r="4" ht="42" customHeight="1">
      <x:c r="A4" s="117" t="str">
        <x:v>Fach</x:v>
      </x:c>
      <x:c r="B4" s="118" t="str">
        <x:v>Klasse</x:v>
      </x:c>
      <x:c r="C4" s="118" t="str">
        <x:v>Lernbereich</x:v>
      </x:c>
      <x:c r="D4" s="118" t="str">
        <x:v>Stunde</x:v>
      </x:c>
      <x:c r="E4" s="118" t="str">
        <x:v>Thema der Unterrichtsstunde</x:v>
      </x:c>
      <x:c r="F4" s="118" t="str">
        <x:v>Inhalt HSA</x:v>
      </x:c>
      <x:c r="G4" s="118" t="str">
        <x:v>Inhalt RSA</x:v>
      </x:c>
      <x:c r="H4" s="118" t="str">
        <x:v>Kompetenz</x:v>
      </x:c>
      <x:c r="I4" s="118" t="str">
        <x:v>Experiment / Material</x:v>
      </x:c>
      <x:c r="J4" s="118" t="str">
        <x:v>Arduino-Einsatz</x:v>
      </x:c>
      <x:c r="K4" s="118" t="str">
        <x:v>Modul-ID</x:v>
      </x:c>
      <x:c r="L4" s="118" t="str">
        <x:v>Bild aus GitHub</x:v>
      </x:c>
      <x:c r="M4" s="118" t="str">
        <x:v>Schüler-Modul</x:v>
      </x:c>
      <x:c r="N4" s="119" t="str">
        <x:v>Lehrer-Vorbereitung</x:v>
      </x:c>
    </x:row>
    <x:row r="5" ht="70" customHeight="1">
      <x:c r="A5" s="123" t="str">
        <x:v>Physik</x:v>
      </x:c>
      <x:c r="B5" s="124" t="n">
        <x:v>10</x:v>
      </x:c>
      <x:c r="C5" s="57" t="str">
        <x:v>Elektromagnetismus</x:v>
      </x:c>
      <x:c r="D5" s="124" t="n">
        <x:v>1</x:v>
      </x:c>
      <x:c r="E5" s="57" t="str">
        <x:v>Magnetische Pole, Kräfte und Erdmagnetfeld</x:v>
      </x:c>
      <x:c r="F5" s="57" t="str">
        <x:v>vorstrukturierte Tabelle, Satzstarter und Hilfekarte.</x:v>
      </x:c>
      <x:c r="G5" s="57" t="str">
        <x:v>selbstständige Auswertung mit Fachbegriffen. Grundniveau: vorgezeichnetes Raster; Erweiterung: Feldstärkeprofil interpretieren.</x:v>
      </x:c>
      <x:c r="H5" s="57" t="str">
        <x:v>Magnete charakterisieren; magnetische Wechselwirkungen und das Erdmagnetfeld beschreiben.</x:v>
      </x:c>
      <x:c r="I5" s="57" t="str">
        <x:v>LE: Schwebender Ringmagnet bzw. Kraftwirkung verschiedener Magnetanordnungen.
SE: Magnetpole prüfen und Feldrichtungen mit Kompassnadeln kartieren.</x:v>
      </x:c>
      <x:c r="J5" s="57" t="str">
        <x:v>Magnetfeld mit linearem Hall-Sensor erfassen</x:v>
      </x:c>
      <x:c r="K5" s="57" t="str">
        <x:v>ph_k10_st01_magnetische_pole_krafte_und_erdmagnetfeld</x:v>
      </x:c>
      <x:c r="L5" s="57" t="str">
        <x:v>https://raw.githubusercontent.com/burgnetz-wq/froebel/main/bilder/physik/018_kompass_erdmagnetfeld.jpg</x:v>
      </x:c>
      <x:c r="M5" s="156" t="e">
        <x:f>HYPERLINK("https://burgnetz-wq.github.io/froebel/physik/html/ph10_stunde_01_magnetische_pole_kraefte_und_erdmagnetfeld.html","Schüler-Modul öffnen")</x:f>
      </x:c>
      <x:c r="N5" s="157" t="e">
        <x:f>HYPERLINK("lehrer/physik/ph_k10_st01_magnetische_pole_krafte_und_erdmagnetfeld_orga.html","Vorbereitung öffnen")</x:f>
      </x:c>
    </x:row>
    <x:row r="6" ht="70" customHeight="1">
      <x:c r="A6" s="125" t="str">
        <x:v>Physik</x:v>
      </x:c>
      <x:c r="B6" s="126" t="n">
        <x:v>10</x:v>
      </x:c>
      <x:c r="C6" s="60" t="str">
        <x:v>Elektromagnetismus</x:v>
      </x:c>
      <x:c r="D6" s="126" t="n">
        <x:v>2</x:v>
      </x:c>
      <x:c r="E6" s="60" t="str">
        <x:v>Elektrisches und magnetisches Feld vergleichen</x:v>
      </x:c>
      <x:c r="F6" s="60" t="str">
        <x:v>vorstrukturierte Tabelle, Satzstarter und Hilfekarte.</x:v>
      </x:c>
      <x:c r="G6" s="60" t="str">
        <x:v>selbstständige Auswertung mit Fachbegriffen. Satzstarter und Begriffskarten; Erweiterung: Grenzen der Feldlinienmodelle.</x:v>
      </x:c>
      <x:c r="H6" s="60" t="str">
        <x:v>Elektrisches und magnetisches Feld als Modelle berührungsfreier Wechselwirkungen vergleichen.</x:v>
      </x:c>
      <x:c r="I6" s="60" t="str">
        <x:v>LE: Geladener Kunststoffstab und Magnet wirken ohne Berührung auf geeignete Probekörper.
SE: Beobachtungen ordnen und Gemeinsamkeiten/Unterschiede in einer Vergleichsmatrix sichern.</x:v>
      </x:c>
      <x:c r="J6" s="60" t="str">
        <x:v>nein</x:v>
      </x:c>
      <x:c r="K6" s="60" t="str">
        <x:v>ph_k10_st02_elektrisches_und_magnetisches_feld_vergleichen</x:v>
      </x:c>
      <x:c r="L6" s="60" t="str">
        <x:v>https://raw.githubusercontent.com/burgnetz-wq/froebel/main/bilder/physik/090_physik_klassenraum.jpg</x:v>
      </x:c>
      <x:c r="M6" s="158" t="e">
        <x:f>HYPERLINK("https://burgnetz-wq.github.io/froebel/physik/html/ph10_stunde_02_elektrisches_und_magnetisches_feld_vergleichen.html","Schüler-Modul öffnen")</x:f>
      </x:c>
      <x:c r="N6" s="159" t="e">
        <x:f>HYPERLINK("lehrer/physik/ph_k10_st02_elektrisches_und_magnetisches_feld_vergleichen_orga.html","Vorbereitung öffnen")</x:f>
      </x:c>
    </x:row>
    <x:row r="7" ht="70" customHeight="1">
      <x:c r="A7" s="125" t="str">
        <x:v>Physik</x:v>
      </x:c>
      <x:c r="B7" s="126" t="n">
        <x:v>10</x:v>
      </x:c>
      <x:c r="C7" s="60" t="str">
        <x:v>Elektromagnetismus</x:v>
      </x:c>
      <x:c r="D7" s="126" t="n">
        <x:v>3</x:v>
      </x:c>
      <x:c r="E7" s="60" t="str">
        <x:v>Elektromagnet: Windungszahl, Stromstärke und Eisenkern</x:v>
      </x:c>
      <x:c r="F7" s="60" t="str">
        <x:v>vorstrukturierte Tabelle, Satzstarter und Hilfekarte.</x:v>
      </x:c>
      <x:c r="G7" s="60" t="str">
        <x:v>selbstständige Auswertung mit Fachbegriffen. Vorbereitete Spule/Sketch; Erweiterung: Kennlinie und Energiebedarf.</x:v>
      </x:c>
      <x:c r="H7" s="60" t="str">
        <x:v>Aufbau und Wirkungsweise von Elektromagneten beschreiben und Einflussgrößen experimentell untersuchen.</x:v>
      </x:c>
      <x:c r="I7" s="60" t="str">
        <x:v>LE: Hebemagnet mit veränderbarer Windungszahl und Eisenkern.
SE: Gruppen messen die Zahl angehobener Büroklammern bei veränderter Windungszahl/Kernart.</x:v>
      </x:c>
      <x:c r="J7" s="60" t="str">
        <x:v>zeitgesteuerte Ansteuerung über MOSFET-Modul und Strommessung</x:v>
      </x:c>
      <x:c r="K7" s="60" t="str">
        <x:v>ph_k10_st03_elektromagnet_windungszahl_stromstarke_und_eisenkern</x:v>
      </x:c>
      <x:c r="L7" s="60" t="str">
        <x:v>https://raw.githubusercontent.com/burgnetz-wq/froebel/main/bilder/physik/019_elektromagnet.jpg</x:v>
      </x:c>
      <x:c r="M7" s="158" t="e">
        <x:f>HYPERLINK("https://burgnetz-wq.github.io/froebel/physik/html/ph10_stunde_03_elektromagnet_windungszahl_stromstaerke_und_eisenkern.html","Schüler-Modul öffnen")</x:f>
      </x:c>
      <x:c r="N7" s="159" t="e">
        <x:f>HYPERLINK("lehrer/physik/ph_k10_st03_elektromagnet_windungszahl_stromstarke_und_eisenkern_orga.html","Vorbereitung öffnen")</x:f>
      </x:c>
    </x:row>
    <x:row r="8" ht="70" customHeight="1">
      <x:c r="A8" s="125" t="str">
        <x:v>Physik</x:v>
      </x:c>
      <x:c r="B8" s="126" t="n">
        <x:v>10</x:v>
      </x:c>
      <x:c r="C8" s="60" t="str">
        <x:v>Elektromagnetismus</x:v>
      </x:c>
      <x:c r="D8" s="126" t="n">
        <x:v>4</x:v>
      </x:c>
      <x:c r="E8" s="60" t="str">
        <x:v>Kraft auf einen stromdurchflossenen Leiter</x:v>
      </x:c>
      <x:c r="F8" s="60" t="str">
        <x:v>vorstrukturierte Tabelle, Satzstarter und Hilfekarte.</x:v>
      </x:c>
      <x:c r="G8" s="60" t="str">
        <x:v>selbstständige Auswertung mit Fachbegriffen. Pfeilkarten; Erweiterung: Richtung für neue Fälle vorhersagen.</x:v>
      </x:c>
      <x:c r="H8" s="60" t="str">
        <x:v>Kraftwirkung auf stromdurchflossene Leiter im Magnetfeld beschreiben und Richtung untersuchen.</x:v>
      </x:c>
      <x:c r="I8" s="60" t="str">
        <x:v>LE: Leiterschaukel im Hufeisenmagneten mit Umpolung.
SE: Leiterschaukel aufbauen; Strom- und Magnetrichtung variieren; Beobachtungsmatrix ausfüllen.</x:v>
      </x:c>
      <x:c r="J8" s="60" t="str">
        <x:v>kurze Stromimpulse per MOSFET-Modul</x:v>
      </x:c>
      <x:c r="K8" s="60" t="str">
        <x:v>ph_k10_st04_kraft_auf_einen_stromdurchflossenen_leiter</x:v>
      </x:c>
      <x:c r="L8" s="60" t="str">
        <x:v>https://raw.githubusercontent.com/burgnetz-wq/froebel/main/bilder/physik/019_elektromagnet.jpg</x:v>
      </x:c>
      <x:c r="M8" s="158" t="e">
        <x:f>HYPERLINK("https://burgnetz-wq.github.io/froebel/physik/html/ph10_stunde_04_kraft_auf_einen_stromdurchflossenen_leiter.html","Schüler-Modul öffnen")</x:f>
      </x:c>
      <x:c r="N8" s="159" t="e">
        <x:f>HYPERLINK("lehrer/physik/ph_k10_st04_kraft_auf_einen_stromdurchflossenen_leiter_orga.html","Vorbereitung öffnen")</x:f>
      </x:c>
    </x:row>
    <x:row r="9" ht="70" customHeight="1">
      <x:c r="A9" s="125" t="str">
        <x:v>Physik</x:v>
      </x:c>
      <x:c r="B9" s="126" t="n">
        <x:v>10</x:v>
      </x:c>
      <x:c r="C9" s="60" t="str">
        <x:v>Elektromagnetismus</x:v>
      </x:c>
      <x:c r="D9" s="126" t="n">
        <x:v>5</x:v>
      </x:c>
      <x:c r="E9" s="60" t="str">
        <x:v>Elektromotor, Lautsprecher und Relais</x:v>
      </x:c>
      <x:c r="F9" s="60" t="str">
        <x:v>vorstrukturierte Tabelle, Satzstarter und Hilfekarte.</x:v>
      </x:c>
      <x:c r="G9" s="60" t="str">
        <x:v>selbstständige Auswertung mit Fachbegriffen. Verdrahtungskarte; Erweiterung: PWM-Drehzahlkennlinie.</x:v>
      </x:c>
      <x:c r="H9" s="60" t="str">
        <x:v>Anwendungen magnetischer Wirkungen beschreiben und Energieumwandlungen erklären.</x:v>
      </x:c>
      <x:c r="I9" s="60" t="str">
        <x:v>LE: Geöffneter Gleichstrommotor, Lautsprecher und Relais im Funktionsvergleich.
SE: Einfachen Motor oder Papierlautsprecher aufbauen und Funktionskette beschriften.</x:v>
      </x:c>
      <x:c r="J9" s="60" t="str">
        <x:v>Motor-PWM und Tonerzeugung; Relais nur über Treibermodul</x:v>
      </x:c>
      <x:c r="K9" s="60" t="str">
        <x:v>ph_k10_st05_elektromotor_lautsprecher_und_relais</x:v>
      </x:c>
      <x:c r="L9" s="60" t="str">
        <x:v>https://raw.githubusercontent.com/burgnetz-wq/froebel/main/bilder/physik/044_generator_motor.jpg</x:v>
      </x:c>
      <x:c r="M9" s="158" t="e">
        <x:f>HYPERLINK("https://burgnetz-wq.github.io/froebel/physik/html/ph10_stunde_05_elektromotor_lautsprecher_und_relais.html","Schüler-Modul öffnen")</x:f>
      </x:c>
      <x:c r="N9" s="159" t="e">
        <x:f>HYPERLINK("lehrer/physik/ph_k10_st05_elektromotor_lautsprecher_und_relais_orga.html","Vorbereitung öffnen")</x:f>
      </x:c>
    </x:row>
    <x:row r="10" ht="70" customHeight="1">
      <x:c r="A10" s="125" t="str">
        <x:v>Physik</x:v>
      </x:c>
      <x:c r="B10" s="126" t="n">
        <x:v>10</x:v>
      </x:c>
      <x:c r="C10" s="60" t="str">
        <x:v>Elektromagnetismus</x:v>
      </x:c>
      <x:c r="D10" s="126" t="n">
        <x:v>6</x:v>
      </x:c>
      <x:c r="E10" s="60" t="str">
        <x:v>Elektromagnetische Induktion</x:v>
      </x:c>
      <x:c r="F10" s="60" t="str">
        <x:v>vorstrukturierte Tabelle, Satzstarter und Hilfekarte.</x:v>
      </x:c>
      <x:c r="G10" s="60" t="str">
        <x:v>selbstständige Auswertung mit Fachbegriffen. Beobachtungstabelle; Erweiterung: qualitative Abhängigkeiten begründen.</x:v>
      </x:c>
      <x:c r="H10" s="60" t="str">
        <x:v>Induktionsbedingungen benennen und das Induktionsgesetz qualitativ formulieren.</x:v>
      </x:c>
      <x:c r="I10" s="60" t="str">
        <x:v>LE: Magnet fällt durch Spule; Galvanometer zeigt Ausschläge.
SE: Magnetgeschwindigkeit, Polung und Windungszahl systematisch variieren.</x:v>
      </x:c>
      <x:c r="J10" s="60" t="str">
        <x:v>geschütztes Induktions-Messinterface mit Mittelpunktvorspannung</x:v>
      </x:c>
      <x:c r="K10" s="60" t="str">
        <x:v>ph_k10_st06_elektromagnetische_induktion</x:v>
      </x:c>
      <x:c r="L10" s="60" t="str">
        <x:v>https://raw.githubusercontent.com/burgnetz-wq/froebel/main/bilder/physik/043_induktion.jpg</x:v>
      </x:c>
      <x:c r="M10" s="158" t="e">
        <x:f>HYPERLINK("https://burgnetz-wq.github.io/froebel/physik/html/ph10_stunde_06_elektromagnetische_induktion.html","Schüler-Modul öffnen")</x:f>
      </x:c>
      <x:c r="N10" s="159" t="e">
        <x:f>HYPERLINK("lehrer/physik/ph_k10_st06_elektromagnetische_induktion_orga.html","Vorbereitung öffnen")</x:f>
      </x:c>
    </x:row>
    <x:row r="11" ht="70" customHeight="1">
      <x:c r="A11" s="125" t="str">
        <x:v>Physik</x:v>
      </x:c>
      <x:c r="B11" s="126" t="n">
        <x:v>10</x:v>
      </x:c>
      <x:c r="C11" s="60" t="str">
        <x:v>Elektromagnetismus</x:v>
      </x:c>
      <x:c r="D11" s="126" t="n">
        <x:v>7</x:v>
      </x:c>
      <x:c r="E11" s="60" t="str">
        <x:v>Generator und Wechselspannung</x:v>
      </x:c>
      <x:c r="F11" s="60" t="str">
        <x:v>vorstrukturierte Tabelle, Satzstarter und Hilfekarte.</x:v>
      </x:c>
      <x:c r="G11" s="60" t="str">
        <x:v>selbstständige Auswertung mit Fachbegriffen. Vorgegebene Kurven; Erweiterung: T=1/f anwenden.</x:v>
      </x:c>
      <x:c r="H11" s="60" t="str">
        <x:v>Generatorprinzip erklären; Gleich- und Wechselspannung vergleichen; Amplitude, Periodendauer und Frequenz beschreiben.</x:v>
      </x:c>
      <x:c r="I11" s="60" t="str">
        <x:v>LE: Handgenerator am Oszilloskop bzw. Spannungs-Zeit-Diagramm.
SE: Kurbelgeschwindigkeit verändern und Frequenz/Amplitude vergleichen.</x:v>
      </x:c>
      <x:c r="J11" s="60" t="str">
        <x:v>Frequenzmessung über Komparator-/Optokoppler-Modul</x:v>
      </x:c>
      <x:c r="K11" s="60" t="str">
        <x:v>ph_k10_st07_generator_und_wechselspannung</x:v>
      </x:c>
      <x:c r="L11" s="60" t="str">
        <x:v>https://raw.githubusercontent.com/burgnetz-wq/froebel/main/bilder/physik/044_generator_motor.jpg</x:v>
      </x:c>
      <x:c r="M11" s="158" t="e">
        <x:f>HYPERLINK("https://burgnetz-wq.github.io/froebel/physik/html/ph10_stunde_07_generator_und_wechselspannung.html","Schüler-Modul öffnen")</x:f>
      </x:c>
      <x:c r="N11" s="159" t="e">
        <x:f>HYPERLINK("lehrer/physik/ph_k10_st07_generator_und_wechselspannung_orga.html","Vorbereitung öffnen")</x:f>
      </x:c>
    </x:row>
    <x:row r="12" ht="70" customHeight="1">
      <x:c r="A12" s="125" t="str">
        <x:v>Physik</x:v>
      </x:c>
      <x:c r="B12" s="126" t="n">
        <x:v>10</x:v>
      </x:c>
      <x:c r="C12" s="60" t="str">
        <x:v>Elektromagnetismus</x:v>
      </x:c>
      <x:c r="D12" s="126" t="n">
        <x:v>8</x:v>
      </x:c>
      <x:c r="E12" s="60" t="str">
        <x:v>Transformator und Stromverbundnetz</x:v>
      </x:c>
      <x:c r="F12" s="60" t="str">
        <x:v>vorstrukturierte Tabelle, Satzstarter und Hilfekarte.</x:v>
      </x:c>
      <x:c r="G12" s="60" t="str">
        <x:v>selbstständige Auswertung mit Fachbegriffen. Tabelle mit Hilfsformel; Erweiterung: Leitungsverluste qualitativ bewerten.</x:v>
      </x:c>
      <x:c r="H12" s="60" t="str">
        <x:v>Aufbau und Wirkungsweise des Transformators sowie Energieübertragung im Stromnetz erklären.</x:v>
      </x:c>
      <x:c r="I12" s="60" t="str">
        <x:v>LE: Niederspannungs-Transformator mit verschiedenen Windungszahlen.
SE: Spannungsverhältnis bei mehreren Spulenpaaren messen und vergleichen.</x:v>
      </x:c>
      <x:c r="J12" s="60" t="str">
        <x:v>Messwerterfassung hinter Gleichrichter und Spannungsteiler</x:v>
      </x:c>
      <x:c r="K12" s="60" t="str">
        <x:v>ph_k10_st08_transformator_und_stromverbundnetz</x:v>
      </x:c>
      <x:c r="L12" s="60" t="str">
        <x:v>https://raw.githubusercontent.com/burgnetz-wq/froebel/main/bilder/physik/045_transformator.jpg</x:v>
      </x:c>
      <x:c r="M12" s="158" t="e">
        <x:f>HYPERLINK("https://burgnetz-wq.github.io/froebel/physik/html/ph10_stunde_08_transformator_und_stromverbundnetz.html","Schüler-Modul öffnen")</x:f>
      </x:c>
      <x:c r="N12" s="159" t="e">
        <x:f>HYPERLINK("lehrer/physik/ph_k10_st08_transformator_und_stromverbundnetz_orga.html","Vorbereitung öffnen")</x:f>
      </x:c>
    </x:row>
    <x:row r="13" ht="70" customHeight="1">
      <x:c r="A13" s="125" t="str">
        <x:v>Physik</x:v>
      </x:c>
      <x:c r="B13" s="126" t="n">
        <x:v>10</x:v>
      </x:c>
      <x:c r="C13" s="60" t="str">
        <x:v>Mechanik</x:v>
      </x:c>
      <x:c r="D13" s="126" t="n">
        <x:v>9</x:v>
      </x:c>
      <x:c r="E13" s="60" t="str">
        <x:v>Bewegung, Bezugssystem, Weg, Zeit und Geschwindigkeit</x:v>
      </x:c>
      <x:c r="F13" s="60" t="str">
        <x:v>vorstrukturierte Tabelle, Satzstarter und Hilfekarte.</x:v>
      </x:c>
      <x:c r="G13" s="60" t="str">
        <x:v>selbstständige Auswertung mit Fachbegriffen. Formeldreieck; Erweiterung: relative Bewegung.</x:v>
      </x:c>
      <x:c r="H13" s="60" t="str">
        <x:v>Bewegung definieren; Weg, Zeit und Geschwindigkeit charakterisieren, messen und berechnen.</x:v>
      </x:c>
      <x:c r="I13" s="60" t="str">
        <x:v>LE: Spielzeugauto wird aus verschiedenen Bezugssystemen beobachtet.
SE: Weg-Zeit-Messung mit Maßband und Stoppuhr.</x:v>
      </x:c>
      <x:c r="J13" s="60" t="str">
        <x:v>Abstandsmessung mit HC-SR04</x:v>
      </x:c>
      <x:c r="K13" s="60" t="str">
        <x:v>ph_k10_st09_bewegung_bezugssystem_weg_zeit_und_geschwindigkeit</x:v>
      </x:c>
      <x:c r="L13" s="60" t="str">
        <x:v>https://raw.githubusercontent.com/burgnetz-wq/froebel/main/bilder/physik/023_gleichfoermige_bewegung.jpg</x:v>
      </x:c>
      <x:c r="M13" s="158" t="e">
        <x:f>HYPERLINK("https://burgnetz-wq.github.io/froebel/physik/html/ph10_stunde_09_bewegung_bezugssystem_weg_zeit_und_geschwindigkeit.html","Schüler-Modul öffnen")</x:f>
      </x:c>
      <x:c r="N13" s="159" t="e">
        <x:f>HYPERLINK("lehrer/physik/ph_k10_st09_bewegung_bezugssystem_weg_zeit_und_geschwindigkeit_orga.html","Vorbereitung öffnen")</x:f>
      </x:c>
    </x:row>
    <x:row r="14" ht="70" customHeight="1">
      <x:c r="A14" s="125" t="str">
        <x:v>Physik</x:v>
      </x:c>
      <x:c r="B14" s="126" t="n">
        <x:v>10</x:v>
      </x:c>
      <x:c r="C14" s="60" t="str">
        <x:v>Mechanik</x:v>
      </x:c>
      <x:c r="D14" s="126" t="n">
        <x:v>10</x:v>
      </x:c>
      <x:c r="E14" s="60" t="str">
        <x:v>Geradlinig gleichförmige Bewegung und Diagramme</x:v>
      </x:c>
      <x:c r="F14" s="60" t="str">
        <x:v>vorstrukturierte Tabelle, Satzstarter und Hilfekarte.</x:v>
      </x:c>
      <x:c r="G14" s="60" t="str">
        <x:v>selbstständige Auswertung mit Fachbegriffen. Vorstrukturierte Tabelle; Erweiterung: lineare Regression.</x:v>
      </x:c>
      <x:c r="H14" s="60" t="str">
        <x:v>Gleichförmige Bewegung mit Gleichung und s-t-/v-t-Diagramm beschreiben.</x:v>
      </x:c>
      <x:c r="I14" s="60" t="str">
        <x:v>LE: Motorwagen fährt mit nahezu konstanter Geschwindigkeit.
SE: Messreihe aufnehmen und aus Steigung die Geschwindigkeit bestimmen.</x:v>
      </x:c>
      <x:c r="J14" s="60" t="str">
        <x:v>Ultraschall-Datenlogger</x:v>
      </x:c>
      <x:c r="K14" s="60" t="str">
        <x:v>ph_k10_st10_geradlinig_gleichformige_bewegung_und_diagramme</x:v>
      </x:c>
      <x:c r="L14" s="60" t="str">
        <x:v>https://raw.githubusercontent.com/burgnetz-wq/froebel/main/bilder/physik/023_gleichfoermige_bewegung.jpg</x:v>
      </x:c>
      <x:c r="M14" s="158" t="e">
        <x:f>HYPERLINK("https://burgnetz-wq.github.io/froebel/physik/html/ph10_stunde_10_geradlinig_gleichfoermige_bewegung_und_diagramme.html","Schüler-Modul öffnen")</x:f>
      </x:c>
      <x:c r="N14" s="159" t="e">
        <x:f>HYPERLINK("lehrer/physik/ph_k10_st10_geradlinig_gleichformige_bewegung_und_diagramme_orga.html","Vorbereitung öffnen")</x:f>
      </x:c>
    </x:row>
    <x:row r="15" ht="70" customHeight="1">
      <x:c r="A15" s="125" t="str">
        <x:v>Physik</x:v>
      </x:c>
      <x:c r="B15" s="126" t="n">
        <x:v>10</x:v>
      </x:c>
      <x:c r="C15" s="60" t="str">
        <x:v>Mechanik</x:v>
      </x:c>
      <x:c r="D15" s="126" t="n">
        <x:v>11</x:v>
      </x:c>
      <x:c r="E15" s="60" t="str">
        <x:v>Geradlinig gleichmäßig beschleunigte Bewegung</x:v>
      </x:c>
      <x:c r="F15" s="60" t="str">
        <x:v>vorstrukturierte Tabelle, Satzstarter und Hilfekarte.</x:v>
      </x:c>
      <x:c r="G15" s="60" t="str">
        <x:v>selbstständige Auswertung mit Fachbegriffen. Vorgegebene Diagrammachsen; Erweiterung: a aus v-t-Steigung.</x:v>
      </x:c>
      <x:c r="H15" s="60" t="str">
        <x:v>Beschleunigte Bewegung in s-t- und v-t-Diagrammen beschreiben und interpretieren.</x:v>
      </x:c>
      <x:c r="I15" s="60" t="str">
        <x:v>LE: Wagen auf leicht geneigter Bahn.
SE: Messwerte aufnehmen, Geschwindigkeitsänderungen bestimmen und Diagramme vergleichen.</x:v>
      </x:c>
      <x:c r="J15" s="60" t="str">
        <x:v>Ultraschall-Datenlogger</x:v>
      </x:c>
      <x:c r="K15" s="60" t="str">
        <x:v>ph_k10_st11_geradlinig_gleichmaig_beschleunigte_bewegung</x:v>
      </x:c>
      <x:c r="L15" s="60" t="str">
        <x:v>https://raw.githubusercontent.com/burgnetz-wq/froebel/main/bilder/physik/023_gleichfoermige_bewegung.jpg</x:v>
      </x:c>
      <x:c r="M15" s="158" t="e">
        <x:f>HYPERLINK("https://burgnetz-wq.github.io/froebel/physik/html/ph10_stunde_11_geradlinig_gleichmaessig_beschleunigte_bewegung.html","Schüler-Modul öffnen")</x:f>
      </x:c>
      <x:c r="N15" s="159" t="e">
        <x:f>HYPERLINK("lehrer/physik/ph_k10_st11_geradlinig_gleichmaig_beschleunigte_bewegung_orga.html","Vorbereitung öffnen")</x:f>
      </x:c>
    </x:row>
    <x:row r="16" ht="70" customHeight="1">
      <x:c r="A16" s="125" t="str">
        <x:v>Physik</x:v>
      </x:c>
      <x:c r="B16" s="126" t="n">
        <x:v>10</x:v>
      </x:c>
      <x:c r="C16" s="60" t="str">
        <x:v>Mechanik</x:v>
      </x:c>
      <x:c r="D16" s="126" t="n">
        <x:v>12</x:v>
      </x:c>
      <x:c r="E16" s="60" t="str">
        <x:v>Freier Fall</x:v>
      </x:c>
      <x:c r="F16" s="60" t="str">
        <x:v>vorstrukturierte Tabelle, Satzstarter und Hilfekarte.</x:v>
      </x:c>
      <x:c r="G16" s="60" t="str">
        <x:v>selbstständige Auswertung mit Fachbegriffen. Vorgegebene Auswertungsformel; Erweiterung: Unsicherheit von g.</x:v>
      </x:c>
      <x:c r="H16" s="60" t="str">
        <x:v>Bewegungsgesetze auf den freien Fall anwenden und Diagramme interpretieren.</x:v>
      </x:c>
      <x:c r="I16" s="60" t="str">
        <x:v>LE: Fallkörper und Stroboskop-/Videoaufnahme.
SE: Fallzeit für verschiedene Höhen messen und auswerten.</x:v>
      </x:c>
      <x:c r="J16" s="60" t="str">
        <x:v>Lichtschranke mit Interrupt</x:v>
      </x:c>
      <x:c r="K16" s="60" t="str">
        <x:v>ph_k10_st12_freier_fall</x:v>
      </x:c>
      <x:c r="L16" s="60" t="str">
        <x:v>https://raw.githubusercontent.com/burgnetz-wq/froebel/main/bilder/physik/092_beschleunigung.jpg</x:v>
      </x:c>
      <x:c r="M16" s="158" t="e">
        <x:f>HYPERLINK("https://burgnetz-wq.github.io/froebel/physik/html/ph10_stunde_12_freier_fall.html","Schüler-Modul öffnen")</x:f>
      </x:c>
      <x:c r="N16" s="159" t="e">
        <x:f>HYPERLINK("lehrer/physik/ph_k10_st12_freier_fall_orga.html","Vorbereitung öffnen")</x:f>
      </x:c>
    </x:row>
    <x:row r="17" ht="70" customHeight="1">
      <x:c r="A17" s="125" t="str">
        <x:v>Physik</x:v>
      </x:c>
      <x:c r="B17" s="126" t="n">
        <x:v>10</x:v>
      </x:c>
      <x:c r="C17" s="60" t="str">
        <x:v>Mechanik</x:v>
      </x:c>
      <x:c r="D17" s="126" t="n">
        <x:v>13</x:v>
      </x:c>
      <x:c r="E17" s="60" t="str">
        <x:v>Erstes newtonsches Gesetz und Trägheit</x:v>
      </x:c>
      <x:c r="F17" s="60" t="str">
        <x:v>vorstrukturierte Tabelle, Satzstarter und Hilfekarte.</x:v>
      </x:c>
      <x:c r="G17" s="60" t="str">
        <x:v>selbstständige Auswertung mit Fachbegriffen. Satzstarter; Erweiterung: Bezug zum Sicherheitsgurt.</x:v>
      </x:c>
      <x:c r="H17" s="60" t="str">
        <x:v>Alltagsvorgänge mit dem Trägheitsgesetz erklären.</x:v>
      </x:c>
      <x:c r="I17" s="60" t="str">
        <x:v>LE: Tischtuch-/Münzexperiment und Wagen mit plötzlichem Stopp.
SE: Mehrere Trägheitsversuche durchführen und Ursache-Wirkungs-Sätze formulieren.</x:v>
      </x:c>
      <x:c r="J17" s="60" t="str">
        <x:v>nein</x:v>
      </x:c>
      <x:c r="K17" s="60" t="str">
        <x:v>ph_k10_st13_erstes_newtonsches_gesetz_und_tragheit</x:v>
      </x:c>
      <x:c r="L17" s="60" t="str">
        <x:v>https://raw.githubusercontent.com/burgnetz-wq/froebel/main/bilder/physik/024_newton_krafte.jpg</x:v>
      </x:c>
      <x:c r="M17" s="158" t="e">
        <x:f>HYPERLINK("https://burgnetz-wq.github.io/froebel/physik/html/ph10_stunde_13_erstes_newtonsches_gesetz_und_traegheit.html","Schüler-Modul öffnen")</x:f>
      </x:c>
      <x:c r="N17" s="159" t="e">
        <x:f>HYPERLINK("lehrer/physik/ph_k10_st13_erstes_newtonsches_gesetz_und_tragheit_orga.html","Vorbereitung öffnen")</x:f>
      </x:c>
    </x:row>
    <x:row r="18" ht="70" customHeight="1">
      <x:c r="A18" s="125" t="str">
        <x:v>Physik</x:v>
      </x:c>
      <x:c r="B18" s="126" t="n">
        <x:v>10</x:v>
      </x:c>
      <x:c r="C18" s="60" t="str">
        <x:v>Mechanik</x:v>
      </x:c>
      <x:c r="D18" s="126" t="n">
        <x:v>14</x:v>
      </x:c>
      <x:c r="E18" s="60" t="str">
        <x:v>Zweites newtonsches Gesetz: F = m · a</x:v>
      </x:c>
      <x:c r="F18" s="60" t="str">
        <x:v>vorstrukturierte Tabelle, Satzstarter und Hilfekarte.</x:v>
      </x:c>
      <x:c r="G18" s="60" t="str">
        <x:v>selbstständige Auswertung mit Fachbegriffen. Teilweise ausgefüllte Tabelle; Erweiterung: Proportionalitäten.</x:v>
      </x:c>
      <x:c r="H18" s="60" t="str">
        <x:v>Newtonsches Grundgesetz experimentell prüfen und zur Berechnung anwenden.</x:v>
      </x:c>
      <x:c r="I18" s="60" t="str">
        <x:v>LE: Wagen mit Zugkraft und veränderlicher Masse.
SE: Einfluss von Kraft und Masse auf die Beschleunigung untersuchen.</x:v>
      </x:c>
      <x:c r="J18" s="60" t="str">
        <x:v>Ultraschall plus optional Loadcell/HX711</x:v>
      </x:c>
      <x:c r="K18" s="60" t="str">
        <x:v>ph_k10_st14_zweites_newtonsches_gesetz_f_m_a</x:v>
      </x:c>
      <x:c r="L18" s="60" t="str">
        <x:v>https://raw.githubusercontent.com/burgnetz-wq/froebel/main/bilder/physik/024_newton_krafte.jpg</x:v>
      </x:c>
      <x:c r="M18" s="158" t="e">
        <x:f>HYPERLINK("https://burgnetz-wq.github.io/froebel/physik/html/ph10_stunde_14_zweites_newtonsches_gesetz_f_m_a.html","Schüler-Modul öffnen")</x:f>
      </x:c>
      <x:c r="N18" s="159" t="e">
        <x:f>HYPERLINK("lehrer/physik/ph_k10_st14_zweites_newtonsches_gesetz_f_m_a_orga.html","Vorbereitung öffnen")</x:f>
      </x:c>
    </x:row>
    <x:row r="19" ht="70" customHeight="1">
      <x:c r="A19" s="125" t="str">
        <x:v>Physik</x:v>
      </x:c>
      <x:c r="B19" s="126" t="n">
        <x:v>10</x:v>
      </x:c>
      <x:c r="C19" s="60" t="str">
        <x:v>Mechanik</x:v>
      </x:c>
      <x:c r="D19" s="126" t="n">
        <x:v>15</x:v>
      </x:c>
      <x:c r="E19" s="60" t="str">
        <x:v>Drittes newtonsches Gesetz: Actio und Reactio</x:v>
      </x:c>
      <x:c r="F19" s="60" t="str">
        <x:v>vorstrukturierte Tabelle, Satzstarter und Hilfekarte.</x:v>
      </x:c>
      <x:c r="G19" s="60" t="str">
        <x:v>selbstständige Auswertung mit Fachbegriffen. Pfeilvorlagen; Erweiterung: Kräfte an verschiedenen Körpern trennen.</x:v>
      </x:c>
      <x:c r="H19" s="60" t="str">
        <x:v>Wechselwirkungskräfte als gleich groß und entgegengesetzt gerichtet erklären.</x:v>
      </x:c>
      <x:c r="I19" s="60" t="str">
        <x:v>LE: Zwei gekoppelte Federkraftmesser bzw. Wagenstoß.
SE: Ballonrakete und Kraftpaar-Skizzen.</x:v>
      </x:c>
      <x:c r="J19" s="60" t="str">
        <x:v>zwei Kraftsensoren</x:v>
      </x:c>
      <x:c r="K19" s="60" t="str">
        <x:v>ph_k10_st15_drittes_newtonsches_gesetz_actio_und_reactio</x:v>
      </x:c>
      <x:c r="L19" s="60" t="str">
        <x:v>https://raw.githubusercontent.com/burgnetz-wq/froebel/main/bilder/physik/024_newton_krafte.jpg</x:v>
      </x:c>
      <x:c r="M19" s="158" t="e">
        <x:f>HYPERLINK("https://burgnetz-wq.github.io/froebel/physik/html/ph10_stunde_15_drittes_newtonsches_gesetz_actio_und_reactio.html","Schüler-Modul öffnen")</x:f>
      </x:c>
      <x:c r="N19" s="159" t="e">
        <x:f>HYPERLINK("lehrer/physik/ph_k10_st15_drittes_newtonsches_gesetz_actio_und_reactio_orga.html","Vorbereitung öffnen")</x:f>
      </x:c>
    </x:row>
    <x:row r="20" ht="70" customHeight="1">
      <x:c r="A20" s="125" t="str">
        <x:v>Physik</x:v>
      </x:c>
      <x:c r="B20" s="126" t="n">
        <x:v>10</x:v>
      </x:c>
      <x:c r="C20" s="60" t="str">
        <x:v>Mechanik</x:v>
      </x:c>
      <x:c r="D20" s="126" t="n">
        <x:v>16</x:v>
      </x:c>
      <x:c r="E20" s="60" t="str">
        <x:v>Gravitation, Gewichtskraft und Planetenbewegung</x:v>
      </x:c>
      <x:c r="F20" s="60" t="str">
        <x:v>vorstrukturierte Tabelle, Satzstarter und Hilfekarte.</x:v>
      </x:c>
      <x:c r="G20" s="60" t="str">
        <x:v>selbstständige Auswertung mit Fachbegriffen. Rechentabelle; Erweiterung: g aus M und r.</x:v>
      </x:c>
      <x:c r="H20" s="60" t="str">
        <x:v>Gravitation beschreiben und Beispiele wie Gewichtskraft, Gezeiten und Planetenbewegung erklären.</x:v>
      </x:c>
      <x:c r="I20" s="60" t="str">
        <x:v>LE: Orbit-/Gravitationstrichter als qualitatives Modell.
SE: Gewichtskräfte auf Erde, Mond und Planeten berechnen; Modellgrenzen diskutieren.</x:v>
      </x:c>
      <x:c r="J20" s="60" t="str">
        <x:v>nein</x:v>
      </x:c>
      <x:c r="K20" s="60" t="str">
        <x:v>ph_k10_st16_gravitation_gewichtskraft_und_planetenbewegung</x:v>
      </x:c>
      <x:c r="L20" s="60" t="str">
        <x:v>https://raw.githubusercontent.com/burgnetz-wq/froebel/main/bilder/physik/004_sonnensystem.jpg</x:v>
      </x:c>
      <x:c r="M20" s="158" t="e">
        <x:f>HYPERLINK("https://burgnetz-wq.github.io/froebel/physik/html/ph10_stunde_16_gravitation_gewichtskraft_und_planetenbewegung.html","Schüler-Modul öffnen")</x:f>
      </x:c>
      <x:c r="N20" s="159" t="e">
        <x:f>HYPERLINK("lehrer/physik/ph_k10_st16_gravitation_gewichtskraft_und_planetenbewegung_orga.html","Vorbereitung öffnen")</x:f>
      </x:c>
    </x:row>
    <x:row r="21" ht="70" customHeight="1">
      <x:c r="A21" s="125" t="str">
        <x:v>Physik</x:v>
      </x:c>
      <x:c r="B21" s="126" t="n">
        <x:v>10</x:v>
      </x:c>
      <x:c r="C21" s="60" t="str">
        <x:v>Mechanik</x:v>
      </x:c>
      <x:c r="D21" s="126" t="n">
        <x:v>17</x:v>
      </x:c>
      <x:c r="E21" s="60" t="str">
        <x:v>Gleichförmige Kreisbewegung</x:v>
      </x:c>
      <x:c r="F21" s="60" t="str">
        <x:v>vorstrukturierte Tabelle, Satzstarter und Hilfekarte.</x:v>
      </x:c>
      <x:c r="G21" s="60" t="str">
        <x:v>selbstständige Auswertung mit Fachbegriffen. Rechenschritte; Erweiterung: Einfluss des Radius.</x:v>
      </x:c>
      <x:c r="H21" s="60" t="str">
        <x:v>Kreisbewegung mit Bahngeschwindigkeit, Umlaufzeit und Drehzahl beschreiben.</x:v>
      </x:c>
      <x:c r="I21" s="60" t="str">
        <x:v>LE: Rotierender Körper mit sichtbarer Umlaufbahn.
SE: Umlaufzeit messen und Bahngeschwindigkeit berechnen.</x:v>
      </x:c>
      <x:c r="J21" s="60" t="str">
        <x:v>Drehzahlmessung mit Hall-Sensor</x:v>
      </x:c>
      <x:c r="K21" s="60" t="str">
        <x:v>ph_k10_st17_gleichformige_kreisbewegung</x:v>
      </x:c>
      <x:c r="L21" s="60" t="str">
        <x:v>https://raw.githubusercontent.com/burgnetz-wq/froebel/main/bilder/physik/023_gleichfoermige_bewegung.jpg</x:v>
      </x:c>
      <x:c r="M21" s="158" t="e">
        <x:f>HYPERLINK("https://burgnetz-wq.github.io/froebel/physik/html/ph10_stunde_17_gleichfoermige_kreisbewegung.html","Schüler-Modul öffnen")</x:f>
      </x:c>
      <x:c r="N21" s="159" t="e">
        <x:f>HYPERLINK("lehrer/physik/ph_k10_st17_gleichformige_kreisbewegung_orga.html","Vorbereitung öffnen")</x:f>
      </x:c>
    </x:row>
    <x:row r="22" ht="70" customHeight="1">
      <x:c r="A22" s="125" t="str">
        <x:v>Physik</x:v>
      </x:c>
      <x:c r="B22" s="126" t="n">
        <x:v>10</x:v>
      </x:c>
      <x:c r="C22" s="60" t="str">
        <x:v>Mechanik</x:v>
      </x:c>
      <x:c r="D22" s="126" t="n">
        <x:v>18</x:v>
      </x:c>
      <x:c r="E22" s="60" t="str">
        <x:v>Schwingungen und ihre Kenngrößen</x:v>
      </x:c>
      <x:c r="F22" s="60" t="str">
        <x:v>vorstrukturierte Tabelle, Satzstarter und Hilfekarte.</x:v>
      </x:c>
      <x:c r="G22" s="60" t="str">
        <x:v>selbstständige Auswertung mit Fachbegriffen. Markierte Kurven; Erweiterung: Phasenlage.</x:v>
      </x:c>
      <x:c r="H22" s="60" t="str">
        <x:v>Schwingungen als periodische Bewegungen mit Amplitude, Periodendauer und Frequenz beschreiben.</x:v>
      </x:c>
      <x:c r="I22" s="60" t="str">
        <x:v>LE: Federpendel und Fadenpendel im Vergleich.
SE: Amplitude, Periodendauer und Frequenz an mehreren Systemen bestimmen.</x:v>
      </x:c>
      <x:c r="J22" s="60" t="str">
        <x:v>Abstandssensor zeichnet Schwingung auf</x:v>
      </x:c>
      <x:c r="K22" s="60" t="str">
        <x:v>ph_k10_st18_schwingungen_und_ihre_kenngroen</x:v>
      </x:c>
      <x:c r="L22" s="60" t="str">
        <x:v>https://raw.githubusercontent.com/burgnetz-wq/froebel/main/bilder/physik/094_schwingung_welle.jpg</x:v>
      </x:c>
      <x:c r="M22" s="158" t="e">
        <x:f>HYPERLINK("https://burgnetz-wq.github.io/froebel/physik/html/ph10_stunde_18_schwingungen_und_ihre_kenngroessen.html","Schüler-Modul öffnen")</x:f>
      </x:c>
      <x:c r="N22" s="159" t="e">
        <x:f>HYPERLINK("lehrer/physik/ph_k10_st18_schwingungen_und_ihre_kenngroen_orga.html","Vorbereitung öffnen")</x:f>
      </x:c>
    </x:row>
    <x:row r="23" ht="70" customHeight="1">
      <x:c r="A23" s="125" t="str">
        <x:v>Physik</x:v>
      </x:c>
      <x:c r="B23" s="126" t="n">
        <x:v>10</x:v>
      </x:c>
      <x:c r="C23" s="60" t="str">
        <x:v>Mechanik</x:v>
      </x:c>
      <x:c r="D23" s="126" t="n">
        <x:v>19</x:v>
      </x:c>
      <x:c r="E23" s="60" t="str">
        <x:v>Schwingungsdauer des Fadenpendels</x:v>
      </x:c>
      <x:c r="F23" s="60" t="str">
        <x:v>vorstrukturierte Tabelle, Satzstarter und Hilfekarte.</x:v>
      </x:c>
      <x:c r="G23" s="60" t="str">
        <x:v>selbstständige Auswertung mit Fachbegriffen. Vorgegebene Variablenkontrolle; Erweiterung: T² gegen l.</x:v>
      </x:c>
      <x:c r="H23" s="60" t="str">
        <x:v>Abhängigkeit der Schwingungsdauer experimentell untersuchen und Messfehler betrachten.</x:v>
      </x:c>
      <x:c r="I23" s="60" t="str">
        <x:v>LE: Pendel mit deutlich verschiedenen Längen.
SE: Messreihe T(l) aufnehmen; Einfluss von Masse und Auslenkung prüfen.</x:v>
      </x:c>
      <x:c r="J23" s="60" t="str">
        <x:v>IR-Lichtschranke misst Periodendauer</x:v>
      </x:c>
      <x:c r="K23" s="60" t="str">
        <x:v>ph_k10_st19_schwingungsdauer_des_fadenpendels</x:v>
      </x:c>
      <x:c r="L23" s="60" t="str">
        <x:v>https://raw.githubusercontent.com/burgnetz-wq/froebel/main/bilder/physik/094_schwingung_welle.jpg</x:v>
      </x:c>
      <x:c r="M23" s="158" t="e">
        <x:f>HYPERLINK("https://burgnetz-wq.github.io/froebel/physik/html/ph10_stunde_19_schwingungsdauer_des_fadenpendels.html","Schüler-Modul öffnen")</x:f>
      </x:c>
      <x:c r="N23" s="159" t="e">
        <x:f>HYPERLINK("lehrer/physik/ph_k10_st19_schwingungsdauer_des_fadenpendels_orga.html","Vorbereitung öffnen")</x:f>
      </x:c>
    </x:row>
    <x:row r="24" ht="70" customHeight="1">
      <x:c r="A24" s="125" t="str">
        <x:v>Physik</x:v>
      </x:c>
      <x:c r="B24" s="126" t="n">
        <x:v>10</x:v>
      </x:c>
      <x:c r="C24" s="60" t="str">
        <x:v>Mechanik</x:v>
      </x:c>
      <x:c r="D24" s="126" t="n">
        <x:v>20</x:v>
      </x:c>
      <x:c r="E24" s="60" t="str">
        <x:v>Wellen als Ausbreitung von Schwingungen</x:v>
      </x:c>
      <x:c r="F24" s="60" t="str">
        <x:v>vorstrukturierte Tabelle, Satzstarter und Hilfekarte.</x:v>
      </x:c>
      <x:c r="G24" s="60" t="str">
        <x:v>selbstständige Auswertung mit Fachbegriffen. Begriffskarten; Erweiterung: v=λf.</x:v>
      </x:c>
      <x:c r="H24" s="60" t="str">
        <x:v>Wellen mit Wellenlänge, Frequenz und Ausbreitungsgeschwindigkeit beschreiben; Energieübertragung erklären.</x:v>
      </x:c>
      <x:c r="I24" s="60" t="str">
        <x:v>LE: Slinky- und Wasserwellen-Demonstration.
SE: Transversal- und Longitudinalwellen erzeugen, messen und vergleichen.</x:v>
      </x:c>
      <x:c r="J24" s="60" t="str">
        <x:v>nein</x:v>
      </x:c>
      <x:c r="K24" s="60" t="str">
        <x:v>ph_k10_st20_wellen_als_ausbreitung_von_schwingungen</x:v>
      </x:c>
      <x:c r="L24" s="60" t="str">
        <x:v>https://raw.githubusercontent.com/burgnetz-wq/froebel/main/bilder/physik/094_schwingung_welle.jpg</x:v>
      </x:c>
      <x:c r="M24" s="158" t="e">
        <x:f>HYPERLINK("https://burgnetz-wq.github.io/froebel/physik/html/ph10_stunde_20_wellen_als_ausbreitung_von_schwingungen.html","Schüler-Modul öffnen")</x:f>
      </x:c>
      <x:c r="N24" s="159" t="e">
        <x:f>HYPERLINK("lehrer/physik/ph_k10_st20_wellen_als_ausbreitung_von_schwingungen_orga.html","Vorbereitung öffnen")</x:f>
      </x:c>
    </x:row>
    <x:row r="25" ht="70" customHeight="1">
      <x:c r="A25" s="125" t="str">
        <x:v>Physik</x:v>
      </x:c>
      <x:c r="B25" s="126" t="n">
        <x:v>10</x:v>
      </x:c>
      <x:c r="C25" s="60" t="str">
        <x:v>Mechanik</x:v>
      </x:c>
      <x:c r="D25" s="126" t="n">
        <x:v>21</x:v>
      </x:c>
      <x:c r="E25" s="60" t="str">
        <x:v>Schall, Frequenz, Tonhöhe und Lärmschutz</x:v>
      </x:c>
      <x:c r="F25" s="60" t="str">
        <x:v>vorstrukturierte Tabelle, Satzstarter und Hilfekarte.</x:v>
      </x:c>
      <x:c r="G25" s="60" t="str">
        <x:v>selbstständige Auswertung mit Fachbegriffen. Vorgegebene Frequenzbereiche; Erweiterung: Abtastrate und Aliasing.</x:v>
      </x:c>
      <x:c r="H25" s="60" t="str">
        <x:v>Schall als Welle beschreiben, Frequenz und Tonhöhe verknüpfen und Lärmschutz bewerten.</x:v>
      </x:c>
      <x:c r="I25" s="60" t="str">
        <x:v>LE: Frequenzgenerator/Lautsprecher und Stimmgabeln.
SE: Töne erzeugen, Frequenzen vergleichen und relative Schallpegel im Raum untersuchen.</x:v>
      </x:c>
      <x:c r="J25" s="60" t="str">
        <x:v>Piezo-Ausgabe und Mikrofonmodul</x:v>
      </x:c>
      <x:c r="K25" s="60" t="str">
        <x:v>ph_k10_st21_schall_frequenz_tonhohe_und_larmschutz</x:v>
      </x:c>
      <x:c r="L25" s="60" t="str">
        <x:v>https://raw.githubusercontent.com/burgnetz-wq/froebel/main/bilder/physik/031_schall_wellen.jpg</x:v>
      </x:c>
      <x:c r="M25" s="158" t="e">
        <x:f>HYPERLINK("https://burgnetz-wq.github.io/froebel/physik/html/ph10_stunde_21_schall_frequenz_tonhoehe_und_laermschutz.html","Schüler-Modul öffnen")</x:f>
      </x:c>
      <x:c r="N25" s="159" t="e">
        <x:f>HYPERLINK("lehrer/physik/ph_k10_st21_schall_frequenz_tonhohe_und_larmschutz_orga.html","Vorbereitung öffnen")</x:f>
      </x:c>
    </x:row>
    <x:row r="26" ht="70" customHeight="1">
      <x:c r="A26" s="125" t="str">
        <x:v>Physik</x:v>
      </x:c>
      <x:c r="B26" s="126" t="n">
        <x:v>10</x:v>
      </x:c>
      <x:c r="C26" s="60" t="str">
        <x:v>Mechanik</x:v>
      </x:c>
      <x:c r="D26" s="126" t="n">
        <x:v>22</x:v>
      </x:c>
      <x:c r="E26" s="60" t="str">
        <x:v>Arbeit, Energieformen und Energie als Zustandsgröße</x:v>
      </x:c>
      <x:c r="F26" s="60" t="str">
        <x:v>vorstrukturierte Tabelle, Satzstarter und Hilfekarte.</x:v>
      </x:c>
      <x:c r="G26" s="60" t="str">
        <x:v>selbstständige Auswertung mit Fachbegriffen. Formelhilfe; Erweiterung: Arbeit aus F-s-Diagramm.</x:v>
      </x:c>
      <x:c r="H26" s="60" t="str">
        <x:v>Arbeit und Energie verknüpfen; Energieformen benennen und Beispielen zuordnen.</x:v>
      </x:c>
      <x:c r="I26" s="60" t="str">
        <x:v>LE: Wagen wird auf verschiedene Höhen gezogen.
SE: Hubarbeit messen/berechnen und Energieformen in Prozessketten identifizieren.</x:v>
      </x:c>
      <x:c r="J26" s="60" t="str">
        <x:v>Kraftsensor und Wegsensor</x:v>
      </x:c>
      <x:c r="K26" s="60" t="str">
        <x:v>ph_k10_st22_arbeit_energieformen_und_energie_als_zustandsgroe</x:v>
      </x:c>
      <x:c r="L26" s="60" t="str">
        <x:v>https://raw.githubusercontent.com/burgnetz-wq/froebel/main/bilder/physik/038_arbeit_leistung.jpg</x:v>
      </x:c>
      <x:c r="M26" s="158" t="e">
        <x:f>HYPERLINK("https://burgnetz-wq.github.io/froebel/physik/html/ph10_stunde_22_arbeit_energieformen_und_energie_als_zustandsgroesse.html","Schüler-Modul öffnen")</x:f>
      </x:c>
      <x:c r="N26" s="159" t="e">
        <x:f>HYPERLINK("lehrer/physik/ph_k10_st22_arbeit_energieformen_und_energie_als_zustandsgroe_orga.html","Vorbereitung öffnen")</x:f>
      </x:c>
    </x:row>
    <x:row r="27" ht="70" customHeight="1">
      <x:c r="A27" s="125" t="str">
        <x:v>Physik</x:v>
      </x:c>
      <x:c r="B27" s="126" t="n">
        <x:v>10</x:v>
      </x:c>
      <x:c r="C27" s="60" t="str">
        <x:v>Mechanik</x:v>
      </x:c>
      <x:c r="D27" s="126" t="n">
        <x:v>23</x:v>
      </x:c>
      <x:c r="E27" s="60" t="str">
        <x:v>Allgemeiner Energieerhaltungssatz</x:v>
      </x:c>
      <x:c r="F27" s="60" t="str">
        <x:v>vorstrukturierte Tabelle, Satzstarter und Hilfekarte.</x:v>
      </x:c>
      <x:c r="G27" s="60" t="str">
        <x:v>selbstständige Auswertung mit Fachbegriffen. Vorgegebene Energiepfeile; Erweiterung: dissipierte Energie.</x:v>
      </x:c>
      <x:c r="H27" s="60" t="str">
        <x:v>Energieumwandlung, -übertragung und -speicherung beschreiben und Energieerhaltung anwenden.</x:v>
      </x:c>
      <x:c r="I27" s="60" t="str">
        <x:v>LE: Pendel oder Kugelbahn mit mehreren Energieformen.
SE: Energieflussdiagramm für eine Kugelbahn erstellen und Messwerte vergleichen.</x:v>
      </x:c>
      <x:c r="J27" s="60" t="str">
        <x:v>Ultraschall-/Lichtschranken-Datenlogger</x:v>
      </x:c>
      <x:c r="K27" s="60" t="str">
        <x:v>ph_k10_st23_allgemeiner_energieerhaltungssatz</x:v>
      </x:c>
      <x:c r="L27" s="60" t="str">
        <x:v>https://raw.githubusercontent.com/burgnetz-wq/froebel/main/bilder/physik/036_energie_formen.jpg</x:v>
      </x:c>
      <x:c r="M27" s="158" t="e">
        <x:f>HYPERLINK("https://burgnetz-wq.github.io/froebel/physik/html/ph10_stunde_23_allgemeiner_energieerhaltungssatz.html","Schüler-Modul öffnen")</x:f>
      </x:c>
      <x:c r="N27" s="159" t="e">
        <x:f>HYPERLINK("lehrer/physik/ph_k10_st23_allgemeiner_energieerhaltungssatz_orga.html","Vorbereitung öffnen")</x:f>
      </x:c>
    </x:row>
    <x:row r="28" ht="70" customHeight="1">
      <x:c r="A28" s="125" t="str">
        <x:v>Physik</x:v>
      </x:c>
      <x:c r="B28" s="126" t="n">
        <x:v>10</x:v>
      </x:c>
      <x:c r="C28" s="60" t="str">
        <x:v>Mechanik</x:v>
      </x:c>
      <x:c r="D28" s="126" t="n">
        <x:v>24</x:v>
      </x:c>
      <x:c r="E28" s="60" t="str">
        <x:v>Wirkungsgrad und Versorgung mit elektrischer Energie</x:v>
      </x:c>
      <x:c r="F28" s="60" t="str">
        <x:v>vorstrukturierte Tabelle, Satzstarter und Hilfekarte.</x:v>
      </x:c>
      <x:c r="G28" s="60" t="str">
        <x:v>selbstständige Auswertung mit Fachbegriffen. Berechnungsschablone; Erweiterung: Unsicherheit und Systemgrenzen.</x:v>
      </x:c>
      <x:c r="H28" s="60" t="str">
        <x:v>Wirkungsgrad beschreiben/berechnen und Energieversorgung sachlich bewerten.</x:v>
      </x:c>
      <x:c r="I28" s="60" t="str">
        <x:v>LE: Motor treibt Generator; Eingangs- und Ausgangsleistung werden verglichen.
SE: Kleinverbraucher oder Solarzelle messen und Wirkungsgrad bzw. Nutzanteil bestimmen.</x:v>
      </x:c>
      <x:c r="J28" s="60" t="str">
        <x:v>Strom-/Spannungsmessung mit INA219</x:v>
      </x:c>
      <x:c r="K28" s="60" t="str">
        <x:v>ph_k10_st24_wirkungsgrad_und_versorgung_mit_elektrischer_energie</x:v>
      </x:c>
      <x:c r="L28" s="60" t="str">
        <x:v>https://raw.githubusercontent.com/burgnetz-wq/froebel/main/bilder/physik/064_elektrische_energie.jpg</x:v>
      </x:c>
      <x:c r="M28" s="158" t="e">
        <x:f>HYPERLINK("https://burgnetz-wq.github.io/froebel/physik/html/ph10_stunde_24_wirkungsgrad_und_versorgung_mit_elektrischer_energie.html","Schüler-Modul öffnen")</x:f>
      </x:c>
      <x:c r="N28" s="159" t="e">
        <x:f>HYPERLINK("lehrer/physik/ph_k10_st24_wirkungsgrad_und_versorgung_mit_elektrischer_energie_orga.html","Vorbereitung öffnen")</x:f>
      </x:c>
    </x:row>
    <x:row r="29" ht="70" customHeight="1">
      <x:c r="A29" s="125" t="str">
        <x:v>Physik</x:v>
      </x:c>
      <x:c r="B29" s="126" t="n">
        <x:v>10</x:v>
      </x:c>
      <x:c r="C29" s="60" t="str">
        <x:v>Atomphysik</x:v>
      </x:c>
      <x:c r="D29" s="126" t="n">
        <x:v>25</x:v>
      </x:c>
      <x:c r="E29" s="60" t="str">
        <x:v>Atomkern und Nuklidschreibweise</x:v>
      </x:c>
      <x:c r="F29" s="60" t="str">
        <x:v>vorstrukturierte Tabelle, Satzstarter und Hilfekarte.</x:v>
      </x:c>
      <x:c r="G29" s="60" t="str">
        <x:v>selbstständige Auswertung mit Fachbegriffen. Farbcodierte Karten; Erweiterung: Massendefekt qualitativ.</x:v>
      </x:c>
      <x:c r="H29" s="60" t="str">
        <x:v>Protonen und Neutronen unterscheiden und Atomkerne in Symbolschreibweise bestimmen.</x:v>
      </x:c>
      <x:c r="I29" s="60" t="str">
        <x:v>LE: Kernmodell mit austauschbaren Protonen/Neutronen.
SE: Nuklide aus Karten bauen, Isotope vergleichen und Symbolschreibweise üben.</x:v>
      </x:c>
      <x:c r="J29" s="60" t="str">
        <x:v>nein</x:v>
      </x:c>
      <x:c r="K29" s="60" t="str">
        <x:v>ph_k10_st25_atomkern_und_nuklidschreibweise</x:v>
      </x:c>
      <x:c r="L29" s="60" t="str">
        <x:v>https://raw.githubusercontent.com/burgnetz-wq/froebel/main/bilder/physik/042_radioaktivitaet.jpg</x:v>
      </x:c>
      <x:c r="M29" s="158" t="e">
        <x:f>HYPERLINK("https://burgnetz-wq.github.io/froebel/physik/html/ph10_stunde_25_atomkern_und_nuklidschreibweise.html","Schüler-Modul öffnen")</x:f>
      </x:c>
      <x:c r="N29" s="159" t="e">
        <x:f>HYPERLINK("lehrer/physik/ph_k10_st25_atomkern_und_nuklidschreibweise_orga.html","Vorbereitung öffnen")</x:f>
      </x:c>
    </x:row>
    <x:row r="30" ht="70" customHeight="1">
      <x:c r="A30" s="125" t="str">
        <x:v>Physik</x:v>
      </x:c>
      <x:c r="B30" s="126" t="n">
        <x:v>10</x:v>
      </x:c>
      <x:c r="C30" s="60" t="str">
        <x:v>Atomphysik</x:v>
      </x:c>
      <x:c r="D30" s="126" t="n">
        <x:v>26</x:v>
      </x:c>
      <x:c r="E30" s="60" t="str">
        <x:v>α-, β- und γ-Strahlung: Eigenschaften, Nachweis und Abschirmung</x:v>
      </x:c>
      <x:c r="F30" s="60" t="str">
        <x:v>vorstrukturierte Tabelle, Satzstarter und Hilfekarte.</x:v>
      </x:c>
      <x:c r="G30" s="60" t="str">
        <x:v>selbstständige Auswertung mit Fachbegriffen. Tabelle mit Auswahlfeldern; Erweiterung: Modellgrenzen der Lichtanalogie.</x:v>
      </x:c>
      <x:c r="H30" s="60" t="str">
        <x:v>Strahlungsarten unterscheiden, Nachweisverfahren nennen und Strahlenschutzmaßnahmen ableiten.</x:v>
      </x:c>
      <x:c r="I30" s="60" t="str">
        <x:v>LE: Nur zugelassenes Demonstrationsgerät bzw. Video/Cloud-Chamber-Aufnahme; Lichtanalogie für Abschirmung.
SE: Eigenschaftskarten zuordnen und Lichtabsorption durch Materialien als Modell untersuchen.</x:v>
      </x:c>
      <x:c r="J30" s="60" t="str">
        <x:v>LDR/Photodiode als sicheres Abschirmungsmodell</x:v>
      </x:c>
      <x:c r="K30" s="60" t="str">
        <x:v>ph_k10_st26_und_strahlung_eigenschaften_nachweis_und_abschirmung</x:v>
      </x:c>
      <x:c r="L30" s="60" t="str">
        <x:v>https://raw.githubusercontent.com/burgnetz-wq/froebel/main/bilder/physik/042_radioaktivitaet.jpg</x:v>
      </x:c>
      <x:c r="M30" s="158" t="e">
        <x:f>HYPERLINK("https://burgnetz-wq.github.io/froebel/physik/html/ph10_stunde_26_und_strahlung_eigenschaften_nachweis_und_abschirmung.html","Schüler-Modul öffnen")</x:f>
      </x:c>
      <x:c r="N30" s="159" t="e">
        <x:f>HYPERLINK("lehrer/physik/ph_k10_st26_und_strahlung_eigenschaften_nachweis_und_abschirmung_orga.html","Vorbereitung öffnen")</x:f>
      </x:c>
    </x:row>
    <x:row r="31" ht="70" customHeight="1">
      <x:c r="A31" s="125" t="str">
        <x:v>Physik</x:v>
      </x:c>
      <x:c r="B31" s="126" t="n">
        <x:v>10</x:v>
      </x:c>
      <x:c r="C31" s="60" t="str">
        <x:v>Atomphysik</x:v>
      </x:c>
      <x:c r="D31" s="126" t="n">
        <x:v>27</x:v>
      </x:c>
      <x:c r="E31" s="60" t="str">
        <x:v>Radioaktiver Zerfall und Halbwertszeit</x:v>
      </x:c>
      <x:c r="F31" s="60" t="str">
        <x:v>vorstrukturierte Tabelle, Satzstarter und Hilfekarte.</x:v>
      </x:c>
      <x:c r="G31" s="60" t="str">
        <x:v>selbstständige Auswertung mit Fachbegriffen. Vorbereitete Achsen; Erweiterung: exponentielle Modellfunktion.</x:v>
      </x:c>
      <x:c r="H31" s="60" t="str">
        <x:v>Kernumwandlung beschreiben und Halbwertszeit definieren.</x:v>
      </x:c>
      <x:c r="I31" s="60" t="str">
        <x:v>LE: Zerfall mit vielen Münzen/Würfeln demonstrieren.
SE: Würfelzerfall in Gruppen durchführen, Werte auftragen und Halbwertszeit abschätzen.</x:v>
      </x:c>
      <x:c r="J31" s="60" t="str">
        <x:v>Arduino-Zufallssimulation als Vergleich</x:v>
      </x:c>
      <x:c r="K31" s="60" t="str">
        <x:v>ph_k10_st27_radioaktiver_zerfall_und_halbwertszeit</x:v>
      </x:c>
      <x:c r="L31" s="60" t="str">
        <x:v>https://raw.githubusercontent.com/burgnetz-wq/froebel/main/bilder/physik/042_radioaktivitaet.jpg</x:v>
      </x:c>
      <x:c r="M31" s="158" t="e">
        <x:f>HYPERLINK("https://burgnetz-wq.github.io/froebel/physik/html/ph10_stunde_27_radioaktiver_zerfall_und_halbwertszeit.html","Schüler-Modul öffnen")</x:f>
      </x:c>
      <x:c r="N31" s="159" t="e">
        <x:f>HYPERLINK("lehrer/physik/ph_k10_st27_radioaktiver_zerfall_und_halbwertszeit_orga.html","Vorbereitung öffnen")</x:f>
      </x:c>
    </x:row>
    <x:row r="32" ht="70" customHeight="1">
      <x:c r="A32" s="127" t="str">
        <x:v>Physik</x:v>
      </x:c>
      <x:c r="B32" s="128" t="n">
        <x:v>10</x:v>
      </x:c>
      <x:c r="C32" s="63" t="str">
        <x:v>Atomphysik</x:v>
      </x:c>
      <x:c r="D32" s="128" t="n">
        <x:v>28</x:v>
      </x:c>
      <x:c r="E32" s="63" t="str">
        <x:v>Anwendungen, Strahlenschutz, Kernspaltung und Kernfusion</x:v>
      </x:c>
      <x:c r="F32" s="63" t="str">
        <x:v>vorstrukturierte Tabelle, Satzstarter und Hilfekarte.</x:v>
      </x:c>
      <x:c r="G32" s="63" t="str">
        <x:v>selbstständige Auswertung mit Fachbegriffen. Pro-/Contra-Karten; Erweiterung: Kriteriengewichtung.</x:v>
      </x:c>
      <x:c r="H32" s="63" t="str">
        <x:v>Anwendungen von Radionukliden beschreiben, Strahlenschutz bewerten und begründet Stellung beziehen.</x:v>
      </x:c>
      <x:c r="I32" s="63" t="str">
        <x:v>LE: Abstandsgesetz als Lichtmodell; Dosisreduktion durch Abstand und Abschirmung.
SE: Stationenlernen Medizin/Technik/Energie; abschließende strukturierte Diskussion.</x:v>
      </x:c>
      <x:c r="J32" s="63" t="str">
        <x:v>LDR-Datenlogger für Abstandsgesetz-Modell</x:v>
      </x:c>
      <x:c r="K32" s="63" t="str">
        <x:v>ph_k10_st28_anwendungen_strahlenschutz_kernspaltung_und_kernfusion</x:v>
      </x:c>
      <x:c r="L32" s="63" t="str">
        <x:v>https://raw.githubusercontent.com/burgnetz-wq/froebel/main/bilder/physik/054_sonne_aufbau.jpg</x:v>
      </x:c>
      <x:c r="M32" s="160" t="e">
        <x:f>HYPERLINK("https://burgnetz-wq.github.io/froebel/physik/html/ph10_stunde_28_anwendungen_strahlenschutz_kernspaltung_und_kernfusion.html","Schüler-Modul öffnen")</x:f>
      </x:c>
      <x:c r="N32" s="161" t="e">
        <x:f>HYPERLINK("lehrer/physik/ph_k10_st28_anwendungen_strahlenschutz_kernspaltung_und_kernfusion_orga.html","Vorbereitung öffnen")</x:f>
      </x:c>
    </x:row>
  </x:sheetData>
  <x:mergeCells>
    <x:mergeCell ref="A1:N1"/>
    <x:mergeCell ref="A2:N2"/>
  </x:mergeCells>
  <x:pageMargins left="0.7" right="0.7" top="0.75" bottom="0.75" header="0.3" footer="0.3"/>
  <x:tableParts count="1">
    <x:tablePart xmlns:r="http://schemas.openxmlformats.org/officeDocument/2006/relationships" r:id="R4db60e4a693a487b"/>
  </x:tableParts>
</x:worksheet>
</file>

<file path=xl/worksheets/sheet7.xml><?xml version="1.0" encoding="utf-8"?>
<x:worksheet xmlns:x="http://schemas.openxmlformats.org/spreadsheetml/2006/main">
  <x:sheetFormatPr defaultRowHeight="15"/>
  <x:cols>
    <x:col min="1" max="1" width="13" hidden="0" customWidth="1"/>
    <x:col min="2" max="2" width="9" hidden="0" customWidth="1"/>
    <x:col min="3" max="3" width="26" hidden="0" customWidth="1"/>
    <x:col min="4" max="4" width="9" hidden="0" customWidth="1"/>
    <x:col min="5" max="5" width="42" hidden="0" customWidth="1"/>
    <x:col min="6" max="6" width="42" hidden="0" customWidth="1"/>
    <x:col min="7" max="7" width="45" hidden="0" customWidth="1"/>
    <x:col min="8" max="8" width="44" hidden="0" customWidth="1"/>
    <x:col min="9" max="9" width="50" hidden="0" customWidth="1"/>
    <x:col min="10" max="10" width="36" hidden="0" customWidth="1"/>
    <x:col min="11" max="11" width="42" hidden="0" customWidth="1"/>
    <x:col min="12" max="12" width="52" hidden="0" customWidth="1"/>
    <x:col min="13" max="13" width="22" hidden="0" customWidth="1"/>
    <x:col min="14" max="14" width="24" hidden="0" customWidth="1"/>
  </x:cols>
  <x:sheetData>
    <x:row r="1" ht="34" customHeight="1">
      <x:c r="A1" s="111" t="str">
        <x:v>Astronomie Klasse 10 – Zusatzplan</x:v>
      </x:c>
      <x:c r="B1" s="111"/>
      <x:c r="C1" s="111"/>
      <x:c r="D1" s="111"/>
      <x:c r="E1" s="111"/>
      <x:c r="F1" s="111"/>
      <x:c r="G1" s="111"/>
      <x:c r="H1" s="111"/>
      <x:c r="I1" s="111"/>
      <x:c r="J1" s="111"/>
      <x:c r="K1" s="111"/>
      <x:c r="L1" s="111"/>
      <x:c r="M1" s="111"/>
      <x:c r="N1" s="111"/>
    </x:row>
    <x:row r="2" ht="42" customHeight="1">
      <x:c r="A2" s="115" t="str">
        <x:v>Jede Zeile entspricht einer Unterrichtsstunde. Die Schüler-Module werden aus der bestehenden GitHub-Pages-Struktur geöffnet; die Lehrer-Vorbereitungen liegen im beigefügten Ordner.</x:v>
      </x:c>
      <x:c r="B2" s="115"/>
      <x:c r="C2" s="115"/>
      <x:c r="D2" s="115"/>
      <x:c r="E2" s="115"/>
      <x:c r="F2" s="115"/>
      <x:c r="G2" s="115"/>
      <x:c r="H2" s="115"/>
      <x:c r="I2" s="115"/>
      <x:c r="J2" s="115"/>
      <x:c r="K2" s="115"/>
      <x:c r="L2" s="115"/>
      <x:c r="M2" s="115"/>
      <x:c r="N2" s="115"/>
    </x:row>
    <x:row r="4" ht="42" customHeight="1">
      <x:c r="A4" s="117" t="str">
        <x:v>Fach</x:v>
      </x:c>
      <x:c r="B4" s="118" t="str">
        <x:v>Klasse</x:v>
      </x:c>
      <x:c r="C4" s="118" t="str">
        <x:v>Lernbereich</x:v>
      </x:c>
      <x:c r="D4" s="118" t="str">
        <x:v>Stunde</x:v>
      </x:c>
      <x:c r="E4" s="118" t="str">
        <x:v>Thema der Unterrichtsstunde</x:v>
      </x:c>
      <x:c r="F4" s="118" t="str">
        <x:v>Inhalt HSA</x:v>
      </x:c>
      <x:c r="G4" s="118" t="str">
        <x:v>Inhalt RSA</x:v>
      </x:c>
      <x:c r="H4" s="118" t="str">
        <x:v>Kompetenz</x:v>
      </x:c>
      <x:c r="I4" s="118" t="str">
        <x:v>Experiment / Material</x:v>
      </x:c>
      <x:c r="J4" s="118" t="str">
        <x:v>Arduino-Einsatz</x:v>
      </x:c>
      <x:c r="K4" s="118" t="str">
        <x:v>Modul-ID</x:v>
      </x:c>
      <x:c r="L4" s="118" t="str">
        <x:v>Bild aus GitHub</x:v>
      </x:c>
      <x:c r="M4" s="118" t="str">
        <x:v>Schüler-Modul</x:v>
      </x:c>
      <x:c r="N4" s="119" t="str">
        <x:v>Lehrer-Vorbereitung</x:v>
      </x:c>
    </x:row>
    <x:row r="5" ht="70" customHeight="1">
      <x:c r="A5" s="123" t="str">
        <x:v>Astronomie</x:v>
      </x:c>
      <x:c r="B5" s="124" t="n">
        <x:v>10</x:v>
      </x:c>
      <x:c r="C5" s="57" t="str">
        <x:v>Astronomie</x:v>
      </x:c>
      <x:c r="D5" s="124" t="n">
        <x:v>1</x:v>
      </x:c>
      <x:c r="E5" s="57" t="str">
        <x:v>Astronomie als Beobachtungswissenschaft und elektromagnetisches Spektrum</x:v>
      </x:c>
      <x:c r="F5" s="57" t="str">
        <x:v>vorstrukturierte Tabelle, Satzstarter und Hilfekarte.</x:v>
      </x:c>
      <x:c r="G5" s="57" t="str">
        <x:v>selbstständige Auswertung mit Fachbegriffen. Farbcodierte Karten; Erweiterung: Atmosphäre als Beobachtungsfilter.</x:v>
      </x:c>
      <x:c r="H5" s="57" t="str">
        <x:v>Bedeutung astronomischer Beobachtungen einschätzen und Strahlungsarten passenden Instrumenten zuordnen.</x:v>
      </x:c>
      <x:c r="I5" s="57" t="str">
        <x:v>LE: Spektrum einer Lampe mit Beugungsgitter zeigen.
SE: Instrumente und Wellenlängenbereiche in Gruppen zuordnen; Beobachtungsgrenzen diskutieren.</x:v>
      </x:c>
      <x:c r="J5" s="57" t="str">
        <x:v>RGB-/Farbsensor misst Lampenspektren grob</x:v>
      </x:c>
      <x:c r="K5" s="57" t="str">
        <x:v>as_k10_st01_astronomie_als_beobachtungswissenschaft_und_elektromagnetisches_spektrum</x:v>
      </x:c>
      <x:c r="L5" s="57" t="str">
        <x:v>https://raw.githubusercontent.com/burgnetz-wq/froebel/main/bilder/physik/084_elektromagnetisches_spektrum.jpg</x:v>
      </x:c>
      <x:c r="M5" s="156" t="e">
        <x:f>HYPERLINK("https://burgnetz-wq.github.io/froebel/physik/html/as10_stunde_01_astronomie_als_beobachtungswissenschaft_und_elektromagnetisches_spektrum.html","Schüler-Modul öffnen")</x:f>
      </x:c>
      <x:c r="N5" s="157" t="e">
        <x:f>HYPERLINK("lehrer/astronomie/as_k10_st01_astronomie_als_beobachtungswissenschaft_und_elektromagnetisches_spektrum_orga.html","Vorbereitung öffnen")</x:f>
      </x:c>
    </x:row>
    <x:row r="6" ht="70" customHeight="1">
      <x:c r="A6" s="125" t="str">
        <x:v>Astronomie</x:v>
      </x:c>
      <x:c r="B6" s="126" t="n">
        <x:v>10</x:v>
      </x:c>
      <x:c r="C6" s="60" t="str">
        <x:v>Astronomie</x:v>
      </x:c>
      <x:c r="D6" s="126" t="n">
        <x:v>2</x:v>
      </x:c>
      <x:c r="E6" s="60" t="str">
        <x:v>Himmelskugel, Horizont und Orientierung</x:v>
      </x:c>
      <x:c r="F6" s="60" t="str">
        <x:v>vorstrukturierte Tabelle, Satzstarter und Hilfekarte.</x:v>
      </x:c>
      <x:c r="G6" s="60" t="str">
        <x:v>selbstständige Auswertung mit Fachbegriffen. Beschriftungshilfe; Erweiterung: Koordinatensysteme vergleichen.</x:v>
      </x:c>
      <x:c r="H6" s="60" t="str">
        <x:v>Sich mit Horizont, Himmelsrichtungen und Sternbildern orientieren.</x:v>
      </x:c>
      <x:c r="I6" s="60" t="str">
        <x:v>LE: Globus und transparente Himmelskugel als Modell.
SE: Eigenen Horizontkreis konstruieren und Richtungen/Zenit/Nadir zuordnen.</x:v>
      </x:c>
      <x:c r="J6" s="60" t="str">
        <x:v>nein</x:v>
      </x:c>
      <x:c r="K6" s="60" t="str">
        <x:v>as_k10_st02_himmelskugel_horizont_und_orientierung</x:v>
      </x:c>
      <x:c r="L6" s="60" t="str">
        <x:v>https://raw.githubusercontent.com/burgnetz-wq/froebel/main/bilder/physik/049_teleskop.jpg</x:v>
      </x:c>
      <x:c r="M6" s="158" t="e">
        <x:f>HYPERLINK("https://burgnetz-wq.github.io/froebel/physik/html/as10_stunde_02_himmelskugel_horizont_und_orientierung.html","Schüler-Modul öffnen")</x:f>
      </x:c>
      <x:c r="N6" s="159" t="e">
        <x:f>HYPERLINK("lehrer/astronomie/as_k10_st02_himmelskugel_horizont_und_orientierung_orga.html","Vorbereitung öffnen")</x:f>
      </x:c>
    </x:row>
    <x:row r="7" ht="70" customHeight="1">
      <x:c r="A7" s="125" t="str">
        <x:v>Astronomie</x:v>
      </x:c>
      <x:c r="B7" s="126" t="n">
        <x:v>10</x:v>
      </x:c>
      <x:c r="C7" s="60" t="str">
        <x:v>Astronomie</x:v>
      </x:c>
      <x:c r="D7" s="126" t="n">
        <x:v>3</x:v>
      </x:c>
      <x:c r="E7" s="60" t="str">
        <x:v>Drehbare Sternkarte und jahreszeitliche Sternbilder</x:v>
      </x:c>
      <x:c r="F7" s="60" t="str">
        <x:v>vorstrukturierte Tabelle, Satzstarter und Hilfekarte.</x:v>
      </x:c>
      <x:c r="G7" s="60" t="str">
        <x:v>selbstständige Auswertung mit Fachbegriffen. Markierte Leitsterne; Erweiterung: Sichtbarkeit begründen.</x:v>
      </x:c>
      <x:c r="H7" s="60" t="str">
        <x:v>Drehbare Sternkarte einsetzen und wichtige Sternbilder je nach Jahreszeit auffinden.</x:v>
      </x:c>
      <x:c r="I7" s="60" t="str">
        <x:v>LE: Planisphäre auf Datum/Uhrzeit einstellen.
SE: Sternkarten-Rallye mit konkreten Beobachtungsaufträgen.</x:v>
      </x:c>
      <x:c r="J7" s="60" t="str">
        <x:v>nein</x:v>
      </x:c>
      <x:c r="K7" s="60" t="str">
        <x:v>as_k10_st03_drehbare_sternkarte_und_jahreszeitliche_sternbilder</x:v>
      </x:c>
      <x:c r="L7" s="60" t="str">
        <x:v>https://raw.githubusercontent.com/burgnetz-wq/froebel/main/bilder/physik/049_teleskop.jpg</x:v>
      </x:c>
      <x:c r="M7" s="158" t="e">
        <x:f>HYPERLINK("https://burgnetz-wq.github.io/froebel/physik/html/as10_stunde_03_drehbare_sternkarte_und_jahreszeitliche_sternbilder.html","Schüler-Modul öffnen")</x:f>
      </x:c>
      <x:c r="N7" s="159" t="e">
        <x:f>HYPERLINK("lehrer/astronomie/as_k10_st03_drehbare_sternkarte_und_jahreszeitliche_sternbilder_orga.html","Vorbereitung öffnen")</x:f>
      </x:c>
    </x:row>
    <x:row r="8" ht="70" customHeight="1">
      <x:c r="A8" s="125" t="str">
        <x:v>Astronomie</x:v>
      </x:c>
      <x:c r="B8" s="126" t="n">
        <x:v>10</x:v>
      </x:c>
      <x:c r="C8" s="60" t="str">
        <x:v>Astronomie</x:v>
      </x:c>
      <x:c r="D8" s="126" t="n">
        <x:v>4</x:v>
      </x:c>
      <x:c r="E8" s="60" t="str">
        <x:v>Polarstern, Erdrotation und scheinbare Himmelsbewegung</x:v>
      </x:c>
      <x:c r="F8" s="60" t="str">
        <x:v>vorstrukturierte Tabelle, Satzstarter und Hilfekarte.</x:v>
      </x:c>
      <x:c r="G8" s="60" t="str">
        <x:v>selbstständige Auswertung mit Fachbegriffen. Orientierungslinien; Erweiterung: zirkumpolare Sterne.</x:v>
      </x:c>
      <x:c r="H8" s="60" t="str">
        <x:v>Nordrichtung mit Polarstern bestimmen und Auswirkungen der Erdrotation beschreiben.</x:v>
      </x:c>
      <x:c r="I8" s="60" t="str">
        <x:v>LE: Drehbare Sternkuppel/Globus mit festem Polarstern.
SE: Strichspurenmodell erstellen und Rotationsrichtung auswerten.</x:v>
      </x:c>
      <x:c r="J8" s="60" t="str">
        <x:v>Schrittmotor bewegt Sternscheibe kontrolliert</x:v>
      </x:c>
      <x:c r="K8" s="60" t="str">
        <x:v>as_k10_st04_polarstern_erdrotation_und_scheinbare_himmelsbewegung</x:v>
      </x:c>
      <x:c r="L8" s="60" t="str">
        <x:v>https://raw.githubusercontent.com/burgnetz-wq/froebel/main/bilder/physik/049_teleskop.jpg</x:v>
      </x:c>
      <x:c r="M8" s="158" t="e">
        <x:f>HYPERLINK("https://burgnetz-wq.github.io/froebel/physik/html/as10_stunde_04_polarstern_erdrotation_und_scheinbare_himmelsbewegung.html","Schüler-Modul öffnen")</x:f>
      </x:c>
      <x:c r="N8" s="159" t="e">
        <x:f>HYPERLINK("lehrer/astronomie/as_k10_st04_polarstern_erdrotation_und_scheinbare_himmelsbewegung_orga.html","Vorbereitung öffnen")</x:f>
      </x:c>
    </x:row>
    <x:row r="9" ht="70" customHeight="1">
      <x:c r="A9" s="125" t="str">
        <x:v>Astronomie</x:v>
      </x:c>
      <x:c r="B9" s="126" t="n">
        <x:v>10</x:v>
      </x:c>
      <x:c r="C9" s="60" t="str">
        <x:v>Astronomie</x:v>
      </x:c>
      <x:c r="D9" s="126" t="n">
        <x:v>5</x:v>
      </x:c>
      <x:c r="E9" s="60" t="str">
        <x:v>Astronomische Beobachtung planen und dokumentieren</x:v>
      </x:c>
      <x:c r="F9" s="60" t="str">
        <x:v>vorstrukturierte Tabelle, Satzstarter und Hilfekarte.</x:v>
      </x:c>
      <x:c r="G9" s="60" t="str">
        <x:v>selbstständige Auswertung mit Fachbegriffen. Vorlage mit Satzanfängen; Erweiterung: Beobachtungsunsicherheit.</x:v>
      </x:c>
      <x:c r="H9" s="60" t="str">
        <x:v>Beobachtungen mit Sternkarte/Software vorbereiten, durchführen und protokollieren.</x:v>
      </x:c>
      <x:c r="I9" s="60" t="str">
        <x:v>LE: Teleskoptypen und Okulare an einem entfernten Tagesobjekt vergleichen.
SE: Beobachtungsplan mit Ziel, Zeit, Richtung, Gerät und Protokoll entwickeln.</x:v>
      </x:c>
      <x:c r="J9" s="60" t="str">
        <x:v>Umgebungshelligkeit protokollieren</x:v>
      </x:c>
      <x:c r="K9" s="60" t="str">
        <x:v>as_k10_st05_astronomische_beobachtung_planen_und_dokumentieren</x:v>
      </x:c>
      <x:c r="L9" s="60" t="str">
        <x:v>https://raw.githubusercontent.com/burgnetz-wq/froebel/main/bilder/physik/049_teleskop.jpg</x:v>
      </x:c>
      <x:c r="M9" s="158" t="e">
        <x:f>HYPERLINK("https://burgnetz-wq.github.io/froebel/physik/html/as10_stunde_05_astronomische_beobachtung_planen_und_dokumentieren.html","Schüler-Modul öffnen")</x:f>
      </x:c>
      <x:c r="N9" s="159" t="e">
        <x:f>HYPERLINK("lehrer/astronomie/as_k10_st05_astronomische_beobachtung_planen_und_dokumentieren_orga.html","Vorbereitung öffnen")</x:f>
      </x:c>
    </x:row>
    <x:row r="10" ht="70" customHeight="1">
      <x:c r="A10" s="125" t="str">
        <x:v>Astronomie</x:v>
      </x:c>
      <x:c r="B10" s="126" t="n">
        <x:v>10</x:v>
      </x:c>
      <x:c r="C10" s="60" t="str">
        <x:v>Astronomie</x:v>
      </x:c>
      <x:c r="D10" s="126" t="n">
        <x:v>6</x:v>
      </x:c>
      <x:c r="E10" s="60" t="str">
        <x:v>Vom geozentrischen zum heliozentrischen Weltbild; Schattenstab</x:v>
      </x:c>
      <x:c r="F10" s="60" t="str">
        <x:v>vorstrukturierte Tabelle, Satzstarter und Hilfekarte.</x:v>
      </x:c>
      <x:c r="G10" s="60" t="str">
        <x:v>selbstständige Auswertung mit Fachbegriffen. Vergleichstabelle; Erweiterung: Belege für Erdbewegung.</x:v>
      </x:c>
      <x:c r="H10" s="60" t="str">
        <x:v>Historische Weltbilder vergleichen und den Übergang zum heliozentrischen Weltbild begründen.</x:v>
      </x:c>
      <x:c r="I10" s="60" t="str">
        <x:v>LE: Schattenstab zeigt scheinbaren Sonnenlauf.
SE: Schattenlänge/-richtung messen und mit Weltbildmodellen deuten.</x:v>
      </x:c>
      <x:c r="J10" s="60" t="str">
        <x:v>Lichtsensor/RTC protokolliert Helligkeitsverlauf oder Servo-Sonnenmodell</x:v>
      </x:c>
      <x:c r="K10" s="60" t="str">
        <x:v>as_k10_st06_vom_geozentrischen_zum_heliozentrischen_weltbild_schattenstab</x:v>
      </x:c>
      <x:c r="L10" s="60" t="str">
        <x:v>https://raw.githubusercontent.com/burgnetz-wq/froebel/main/bilder/physik/090_physik_klassenraum.jpg</x:v>
      </x:c>
      <x:c r="M10" s="158" t="e">
        <x:f>HYPERLINK("https://burgnetz-wq.github.io/froebel/physik/html/as10_stunde_06_vom_geozentrischen_zum_heliozentrischen_weltbild_schattenstab.html","Schüler-Modul öffnen")</x:f>
      </x:c>
      <x:c r="N10" s="159" t="e">
        <x:f>HYPERLINK("lehrer/astronomie/as_k10_st06_vom_geozentrischen_zum_heliozentrischen_weltbild_schattenstab_orga.html","Vorbereitung öffnen")</x:f>
      </x:c>
    </x:row>
    <x:row r="11" ht="70" customHeight="1">
      <x:c r="A11" s="125" t="str">
        <x:v>Astronomie</x:v>
      </x:c>
      <x:c r="B11" s="126" t="n">
        <x:v>10</x:v>
      </x:c>
      <x:c r="C11" s="60" t="str">
        <x:v>Astronomie</x:v>
      </x:c>
      <x:c r="D11" s="126" t="n">
        <x:v>7</x:v>
      </x:c>
      <x:c r="E11" s="60" t="str">
        <x:v>Entstehung, räumlicher Aufbau und Klassen von Himmelskörpern</x:v>
      </x:c>
      <x:c r="F11" s="60" t="str">
        <x:v>vorstrukturierte Tabelle, Satzstarter und Hilfekarte.</x:v>
      </x:c>
      <x:c r="G11" s="60" t="str">
        <x:v>selbstständige Auswertung mit Fachbegriffen. Kriterienhilfe; Erweiterung: IAU-Planetendefinition.</x:v>
      </x:c>
      <x:c r="H11" s="60" t="str">
        <x:v>Entstehung und Aufbau des Sonnensystems beschreiben; Sonne, Planet, Mond, Zwergplanet und Kleinkörper definieren.</x:v>
      </x:c>
      <x:c r="I11" s="60" t="str">
        <x:v>LE: Rotierende Scheibe mit Körnern als begrenztes Akkretionsmodell.
SE: Objektkarten klassifizieren und Kriterien begründen.</x:v>
      </x:c>
      <x:c r="J11" s="60" t="str">
        <x:v>nein</x:v>
      </x:c>
      <x:c r="K11" s="60" t="str">
        <x:v>as_k10_st07_entstehung_raumlicher_aufbau_und_klassen_von_himmelskorpern</x:v>
      </x:c>
      <x:c r="L11" s="60" t="str">
        <x:v>https://raw.githubusercontent.com/burgnetz-wq/froebel/main/bilder/physik/004_sonnensystem.jpg</x:v>
      </x:c>
      <x:c r="M11" s="158" t="e">
        <x:f>HYPERLINK("https://burgnetz-wq.github.io/froebel/physik/html/as10_stunde_07_entstehung_raeumlicher_aufbau_und_klassen_von_himmelskoerpern.html","Schüler-Modul öffnen")</x:f>
      </x:c>
      <x:c r="N11" s="159" t="e">
        <x:f>HYPERLINK("lehrer/astronomie/as_k10_st07_entstehung_raumlicher_aufbau_und_klassen_von_himmelskorpern_orga.html","Vorbereitung öffnen")</x:f>
      </x:c>
    </x:row>
    <x:row r="12" ht="70" customHeight="1">
      <x:c r="A12" s="125" t="str">
        <x:v>Astronomie</x:v>
      </x:c>
      <x:c r="B12" s="126" t="n">
        <x:v>10</x:v>
      </x:c>
      <x:c r="C12" s="60" t="str">
        <x:v>Astronomie</x:v>
      </x:c>
      <x:c r="D12" s="126" t="n">
        <x:v>8</x:v>
      </x:c>
      <x:c r="E12" s="60" t="str">
        <x:v>Größen und Entfernungen im Sonnensystem</x:v>
      </x:c>
      <x:c r="F12" s="60" t="str">
        <x:v>vorstrukturierte Tabelle, Satzstarter und Hilfekarte.</x:v>
      </x:c>
      <x:c r="G12" s="60" t="str">
        <x:v>selbstständige Auswertung mit Fachbegriffen. Vorgegebener Maßstab; Erweiterung: zwei Maßstäbe vergleichen.</x:v>
      </x:c>
      <x:c r="H12" s="60" t="str">
        <x:v>Größenordnungen vergleichen und maßstäbliche Modelle erstellen.</x:v>
      </x:c>
      <x:c r="I12" s="60" t="str">
        <x:v>LE: Erde-Mond-System mit Kugeln und Maßband.
SE: Maßstabsmodell auf Schulgelände planen und prüfen.</x:v>
      </x:c>
      <x:c r="J12" s="60" t="str">
        <x:v>Ultraschallsensor als Distanzanzeige im Modell</x:v>
      </x:c>
      <x:c r="K12" s="60" t="str">
        <x:v>as_k10_st08_groen_und_entfernungen_im_sonnensystem</x:v>
      </x:c>
      <x:c r="L12" s="60" t="str">
        <x:v>https://raw.githubusercontent.com/burgnetz-wq/froebel/main/bilder/physik/054_sonne_aufbau.jpg</x:v>
      </x:c>
      <x:c r="M12" s="158" t="e">
        <x:f>HYPERLINK("https://burgnetz-wq.github.io/froebel/physik/html/as10_stunde_08_groessen_und_entfernungen_im_sonnensystem.html","Schüler-Modul öffnen")</x:f>
      </x:c>
      <x:c r="N12" s="159" t="e">
        <x:f>HYPERLINK("lehrer/astronomie/as_k10_st08_groen_und_entfernungen_im_sonnensystem_orga.html","Vorbereitung öffnen")</x:f>
      </x:c>
    </x:row>
    <x:row r="13" ht="70" customHeight="1">
      <x:c r="A13" s="125" t="str">
        <x:v>Astronomie</x:v>
      </x:c>
      <x:c r="B13" s="126" t="n">
        <x:v>10</x:v>
      </x:c>
      <x:c r="C13" s="60" t="str">
        <x:v>Astronomie</x:v>
      </x:c>
      <x:c r="D13" s="126" t="n">
        <x:v>9</x:v>
      </x:c>
      <x:c r="E13" s="60" t="str">
        <x:v>Erdrotation, Erdrevolution und Jahreszeiten</x:v>
      </x:c>
      <x:c r="F13" s="60" t="str">
        <x:v>vorstrukturierte Tabelle, Satzstarter und Hilfekarte.</x:v>
      </x:c>
      <x:c r="G13" s="60" t="str">
        <x:v>selbstständige Auswertung mit Fachbegriffen. Beschriftetes Modell; Erweiterung: Jahreszeiten auf Südhalbkugel.</x:v>
      </x:c>
      <x:c r="H13" s="60" t="str">
        <x:v>Tag/Jahr durch Erdbewegungen erklären und Zusammenhang zwischen Achsneigung und Jahreszeiten herstellen.</x:v>
      </x:c>
      <x:c r="I13" s="60" t="str">
        <x:v>LE: Globus-Lampen-Modell mit geneigter Erdachse.
SE: Beleuchtungswinkel und Tagbogen für verschiedene Positionen vergleichen.</x:v>
      </x:c>
      <x:c r="J13" s="60" t="str">
        <x:v>Lichtsensor auf geneigtem Globus</x:v>
      </x:c>
      <x:c r="K13" s="60" t="str">
        <x:v>as_k10_st09_erdrotation_erdrevolution_und_jahreszeiten</x:v>
      </x:c>
      <x:c r="L13" s="60" t="str">
        <x:v>https://raw.githubusercontent.com/burgnetz-wq/froebel/main/bilder/physik/048_jahreszeiten.jpg</x:v>
      </x:c>
      <x:c r="M13" s="158" t="e">
        <x:f>HYPERLINK("https://burgnetz-wq.github.io/froebel/physik/html/as10_stunde_09_erdrotation_erdrevolution_und_jahreszeiten.html","Schüler-Modul öffnen")</x:f>
      </x:c>
      <x:c r="N13" s="159" t="e">
        <x:f>HYPERLINK("lehrer/astronomie/as_k10_st09_erdrotation_erdrevolution_und_jahreszeiten_orga.html","Vorbereitung öffnen")</x:f>
      </x:c>
    </x:row>
    <x:row r="14" ht="70" customHeight="1">
      <x:c r="A14" s="125" t="str">
        <x:v>Astronomie</x:v>
      </x:c>
      <x:c r="B14" s="126" t="n">
        <x:v>10</x:v>
      </x:c>
      <x:c r="C14" s="60" t="str">
        <x:v>Astronomie</x:v>
      </x:c>
      <x:c r="D14" s="126" t="n">
        <x:v>10</x:v>
      </x:c>
      <x:c r="E14" s="60" t="str">
        <x:v>Mondphasen und Finsternisse</x:v>
      </x:c>
      <x:c r="F14" s="60" t="str">
        <x:v>vorstrukturierte Tabelle, Satzstarter und Hilfekarte.</x:v>
      </x:c>
      <x:c r="G14" s="60" t="str">
        <x:v>selbstständige Auswertung mit Fachbegriffen. Phasenkarten; Erweiterung: Knotenlinie und Finsternisperioden.</x:v>
      </x:c>
      <x:c r="H14" s="60" t="str">
        <x:v>Phasen und Finsternisse erklären und wahre/scheinbare Bewegungen unterscheiden.</x:v>
      </x:c>
      <x:c r="I14" s="60" t="str">
        <x:v>LE: Lampe-Erde-Mond-Modell.
SE: Mondphasen aus eigener Perspektive fotografisch/skizzenhaft dokumentieren.</x:v>
      </x:c>
      <x:c r="J14" s="60" t="str">
        <x:v>Servo bewegt Mondmodell; LED stellt Sonne dar</x:v>
      </x:c>
      <x:c r="K14" s="60" t="str">
        <x:v>as_k10_st10_mondphasen_und_finsternisse</x:v>
      </x:c>
      <x:c r="L14" s="60" t="str">
        <x:v>https://raw.githubusercontent.com/burgnetz-wq/froebel/main/bilder/physik/009_mondphasen.jpg</x:v>
      </x:c>
      <x:c r="M14" s="158" t="e">
        <x:f>HYPERLINK("https://burgnetz-wq.github.io/froebel/physik/html/as10_stunde_10_mondphasen_und_finsternisse.html","Schüler-Modul öffnen")</x:f>
      </x:c>
      <x:c r="N14" s="159" t="e">
        <x:f>HYPERLINK("lehrer/astronomie/as_k10_st10_mondphasen_und_finsternisse_orga.html","Vorbereitung öffnen")</x:f>
      </x:c>
    </x:row>
    <x:row r="15" ht="70" customHeight="1">
      <x:c r="A15" s="125" t="str">
        <x:v>Astronomie</x:v>
      </x:c>
      <x:c r="B15" s="126" t="n">
        <x:v>10</x:v>
      </x:c>
      <x:c r="C15" s="60" t="str">
        <x:v>Astronomie</x:v>
      </x:c>
      <x:c r="D15" s="126" t="n">
        <x:v>11</x:v>
      </x:c>
      <x:c r="E15" s="60" t="str">
        <x:v>Keplersche Gesetze</x:v>
      </x:c>
      <x:c r="F15" s="60" t="str">
        <x:v>vorstrukturierte Tabelle, Satzstarter und Hilfekarte.</x:v>
      </x:c>
      <x:c r="G15" s="60" t="str">
        <x:v>selbstständige Auswertung mit Fachbegriffen. Vorstrukturierte Ellipse; Erweiterung: drittes Gesetz mit Daten.</x:v>
      </x:c>
      <x:c r="H15" s="60" t="str">
        <x:v>Planetenbewegung mit den keplerschen Gesetzen beschreiben.</x:v>
      </x:c>
      <x:c r="I15" s="60" t="str">
        <x:v>LE: Ellipse mit Schnur und zwei Brennpunkten.
SE: Ellipsen zeichnen, Sektoren vergleichen und Umlaufdaten auswerten.</x:v>
      </x:c>
      <x:c r="J15" s="60" t="str">
        <x:v>nein</x:v>
      </x:c>
      <x:c r="K15" s="60" t="str">
        <x:v>as_k10_st11_keplersche_gesetze</x:v>
      </x:c>
      <x:c r="L15" s="60" t="str">
        <x:v>https://raw.githubusercontent.com/burgnetz-wq/froebel/main/bilder/physik/055_keplergesetze.jpg</x:v>
      </x:c>
      <x:c r="M15" s="158" t="e">
        <x:f>HYPERLINK("https://burgnetz-wq.github.io/froebel/physik/html/as10_stunde_11_keplersche_gesetze.html","Schüler-Modul öffnen")</x:f>
      </x:c>
      <x:c r="N15" s="159" t="e">
        <x:f>HYPERLINK("lehrer/astronomie/as_k10_st11_keplersche_gesetze_orga.html","Vorbereitung öffnen")</x:f>
      </x:c>
    </x:row>
    <x:row r="16" ht="70" customHeight="1">
      <x:c r="A16" s="125" t="str">
        <x:v>Astronomie</x:v>
      </x:c>
      <x:c r="B16" s="126" t="n">
        <x:v>10</x:v>
      </x:c>
      <x:c r="C16" s="60" t="str">
        <x:v>Astronomie</x:v>
      </x:c>
      <x:c r="D16" s="126" t="n">
        <x:v>12</x:v>
      </x:c>
      <x:c r="E16" s="60" t="str">
        <x:v>Gravitation und Umlaufbahnen</x:v>
      </x:c>
      <x:c r="F16" s="60" t="str">
        <x:v>vorstrukturierte Tabelle, Satzstarter und Hilfekarte.</x:v>
      </x:c>
      <x:c r="G16" s="60" t="str">
        <x:v>selbstständige Auswertung mit Fachbegriffen. Formelhilfen; Erweiterung: Proportionalitäten.</x:v>
      </x:c>
      <x:c r="H16" s="60" t="str">
        <x:v>Gravitationsgesetz auf Bewegungen im Sonnensystem anwenden.</x:v>
      </x:c>
      <x:c r="I16" s="60" t="str">
        <x:v>LE: Kugelbahn/Orbittrichter als qualitatives Modell.
SE: Rechenstationen zu Gewichtskraft, Umlaufbahn und Fluchtgeschwindigkeit qualitativ.</x:v>
      </x:c>
      <x:c r="J16" s="60" t="str">
        <x:v>Hall-Sensor misst Modell-Umlaufzeit</x:v>
      </x:c>
      <x:c r="K16" s="60" t="str">
        <x:v>as_k10_st12_gravitation_und_umlaufbahnen</x:v>
      </x:c>
      <x:c r="L16" s="60" t="str">
        <x:v>https://raw.githubusercontent.com/burgnetz-wq/froebel/main/bilder/physik/091_gravitation.jpg</x:v>
      </x:c>
      <x:c r="M16" s="158" t="e">
        <x:f>HYPERLINK("https://burgnetz-wq.github.io/froebel/physik/html/as10_stunde_12_gravitation_und_umlaufbahnen.html","Schüler-Modul öffnen")</x:f>
      </x:c>
      <x:c r="N16" s="159" t="e">
        <x:f>HYPERLINK("lehrer/astronomie/as_k10_st12_gravitation_und_umlaufbahnen_orga.html","Vorbereitung öffnen")</x:f>
      </x:c>
    </x:row>
    <x:row r="17" ht="70" customHeight="1">
      <x:c r="A17" s="125" t="str">
        <x:v>Astronomie</x:v>
      </x:c>
      <x:c r="B17" s="126" t="n">
        <x:v>10</x:v>
      </x:c>
      <x:c r="C17" s="60" t="str">
        <x:v>Astronomie</x:v>
      </x:c>
      <x:c r="D17" s="126" t="n">
        <x:v>13</x:v>
      </x:c>
      <x:c r="E17" s="60" t="str">
        <x:v>Aufbau der Sonne, Kernfusion und Energietransport</x:v>
      </x:c>
      <x:c r="F17" s="60" t="str">
        <x:v>vorstrukturierte Tabelle, Satzstarter und Hilfekarte.</x:v>
      </x:c>
      <x:c r="G17" s="60" t="str">
        <x:v>selbstständige Auswertung mit Fachbegriffen. Beschriftete Vorlage; Erweiterung: Strahlungs- vs. Konvektionszone.</x:v>
      </x:c>
      <x:c r="H17" s="60" t="str">
        <x:v>Aufbau der Sonne, Energiequelle und Energietransport beschreiben.</x:v>
      </x:c>
      <x:c r="I17" s="60" t="str">
        <x:v>LE: Konvektionszelle in erwärmtem Wasser als Transportmodell.
SE: Schichtenmodell der Sonne erstellen und Energiefluss erklären.</x:v>
      </x:c>
      <x:c r="J17" s="60" t="str">
        <x:v>Temperatur-Datenlogger für Konvektion</x:v>
      </x:c>
      <x:c r="K17" s="60" t="str">
        <x:v>as_k10_st13_aufbau_der_sonne_kernfusion_und_energietransport</x:v>
      </x:c>
      <x:c r="L17" s="60" t="str">
        <x:v>https://raw.githubusercontent.com/burgnetz-wq/froebel/main/bilder/physik/054_sonne_aufbau.jpg</x:v>
      </x:c>
      <x:c r="M17" s="158" t="e">
        <x:f>HYPERLINK("https://burgnetz-wq.github.io/froebel/physik/html/as10_stunde_13_aufbau_der_sonne_kernfusion_und_energietransport.html","Schüler-Modul öffnen")</x:f>
      </x:c>
      <x:c r="N17" s="159" t="e">
        <x:f>HYPERLINK("lehrer/astronomie/as_k10_st13_aufbau_der_sonne_kernfusion_und_energietransport_orga.html","Vorbereitung öffnen")</x:f>
      </x:c>
    </x:row>
    <x:row r="18" ht="70" customHeight="1">
      <x:c r="A18" s="125" t="str">
        <x:v>Astronomie</x:v>
      </x:c>
      <x:c r="B18" s="126" t="n">
        <x:v>10</x:v>
      </x:c>
      <x:c r="C18" s="60" t="str">
        <x:v>Astronomie</x:v>
      </x:c>
      <x:c r="D18" s="126" t="n">
        <x:v>14</x:v>
      </x:c>
      <x:c r="E18" s="60" t="str">
        <x:v>Sonnenstrahlung, Spektrum, Aktivität und Weltraumwetter</x:v>
      </x:c>
      <x:c r="F18" s="60" t="str">
        <x:v>vorstrukturierte Tabelle, Satzstarter und Hilfekarte.</x:v>
      </x:c>
      <x:c r="G18" s="60" t="str">
        <x:v>selbstständige Auswertung mit Fachbegriffen. Begriffskarten; Erweiterung: Auswirkungen auf Satelliten/Stromnetze.</x:v>
      </x:c>
      <x:c r="H18" s="60" t="str">
        <x:v>Strahlungsarten einordnen, Sonnenaktivität beschreiben und Wirkungen auf den erdnahen Raum diskutieren.</x:v>
      </x:c>
      <x:c r="I18" s="60" t="str">
        <x:v>LE: Lampenspektrum und Magnetfeldmodell für Sonnenwind.
SE: Spektren vergleichen und Ereigniskarten zu Sonnenflecken/Flares/Polarlichtern auswerten.</x:v>
      </x:c>
      <x:c r="J18" s="60" t="str">
        <x:v>RGB-/Lichtsensor vergleicht Lichtquellen; keine direkte Sonnenmessung</x:v>
      </x:c>
      <x:c r="K18" s="60" t="str">
        <x:v>as_k10_st14_sonnenstrahlung_spektrum_aktivitat_und_weltraumwetter</x:v>
      </x:c>
      <x:c r="L18" s="60" t="str">
        <x:v>https://raw.githubusercontent.com/burgnetz-wq/froebel/main/bilder/physik/054_sonne_aufbau.jpg</x:v>
      </x:c>
      <x:c r="M18" s="158" t="e">
        <x:f>HYPERLINK("https://burgnetz-wq.github.io/froebel/physik/html/as10_stunde_14_sonnenstrahlung_spektrum_aktivitaet_und_weltraumwetter.html","Schüler-Modul öffnen")</x:f>
      </x:c>
      <x:c r="N18" s="159" t="e">
        <x:f>HYPERLINK("lehrer/astronomie/as_k10_st14_sonnenstrahlung_spektrum_aktivitat_und_weltraumwetter_orga.html","Vorbereitung öffnen")</x:f>
      </x:c>
    </x:row>
    <x:row r="19" ht="70" customHeight="1">
      <x:c r="A19" s="125" t="str">
        <x:v>Astronomie</x:v>
      </x:c>
      <x:c r="B19" s="126" t="n">
        <x:v>10</x:v>
      </x:c>
      <x:c r="C19" s="60" t="str">
        <x:v>Astronomie</x:v>
      </x:c>
      <x:c r="D19" s="126" t="n">
        <x:v>15</x:v>
      </x:c>
      <x:c r="E19" s="60" t="str">
        <x:v>Planeten klassifizieren und Bedingungen für Leben</x:v>
      </x:c>
      <x:c r="F19" s="60" t="str">
        <x:v>vorstrukturierte Tabelle, Satzstarter und Hilfekarte.</x:v>
      </x:c>
      <x:c r="G19" s="60" t="str">
        <x:v>selbstständige Auswertung mit Fachbegriffen. Kriterienliste; Erweiterung: Biosignaturen.</x:v>
      </x:c>
      <x:c r="H19" s="60" t="str">
        <x:v>Planeten anhand geeigneter Kriterien klassifizieren und Möglichkeit von Leben diskutieren.</x:v>
      </x:c>
      <x:c r="I19" s="60" t="str">
        <x:v>LE: Albedo-/Temperaturmodell mit hellen und dunklen Flächen.
SE: Planeten-Datenmatrix auswerten und Habitalitätskriterien gewichten.</x:v>
      </x:c>
      <x:c r="J19" s="60" t="str">
        <x:v>zwei Temperatursensoren vergleichen Oberflächen</x:v>
      </x:c>
      <x:c r="K19" s="60" t="str">
        <x:v>as_k10_st15_planeten_klassifizieren_und_bedingungen_fur_leben</x:v>
      </x:c>
      <x:c r="L19" s="60" t="str">
        <x:v>https://raw.githubusercontent.com/burgnetz-wq/froebel/main/bilder/physik/004_sonnensystem.jpg</x:v>
      </x:c>
      <x:c r="M19" s="158" t="e">
        <x:f>HYPERLINK("https://burgnetz-wq.github.io/froebel/physik/html/as10_stunde_15_planeten_klassifizieren_und_bedingungen_fuer_leben.html","Schüler-Modul öffnen")</x:f>
      </x:c>
      <x:c r="N19" s="159" t="e">
        <x:f>HYPERLINK("lehrer/astronomie/as_k10_st15_planeten_klassifizieren_und_bedingungen_fur_leben_orga.html","Vorbereitung öffnen")</x:f>
      </x:c>
    </x:row>
    <x:row r="20" ht="70" customHeight="1">
      <x:c r="A20" s="125" t="str">
        <x:v>Astronomie</x:v>
      </x:c>
      <x:c r="B20" s="126" t="n">
        <x:v>10</x:v>
      </x:c>
      <x:c r="C20" s="60" t="str">
        <x:v>Astronomie</x:v>
      </x:c>
      <x:c r="D20" s="126" t="n">
        <x:v>16</x:v>
      </x:c>
      <x:c r="E20" s="60" t="str">
        <x:v>Mondoberfläche, Gezeiten und Raumfahrt</x:v>
      </x:c>
      <x:c r="F20" s="60" t="str">
        <x:v>vorstrukturierte Tabelle, Satzstarter und Hilfekarte.</x:v>
      </x:c>
      <x:c r="G20" s="60" t="str">
        <x:v>selbstständige Auswertung mit Fachbegriffen. Kratermessschablone; Erweiterung: synchrone Rotation.</x:v>
      </x:c>
      <x:c r="H20" s="60" t="str">
        <x:v>Mondstrukturen beschreiben, Erde-Mond-Wechselwirkung erklären und Bedeutung der Raumfahrt belegen.</x:v>
      </x:c>
      <x:c r="I20" s="60" t="str">
        <x:v>LE: Kraterentstehung in Mehl/Kakao; Gezeitenmodell.
SE: Kraterparameter variieren, Mondbilder auswerten und Raumfahrtbelege zuordnen.</x:v>
      </x:c>
      <x:c r="J20" s="60" t="str">
        <x:v>Beschleunigungssensor misst Aufprallstärke im Modell</x:v>
      </x:c>
      <x:c r="K20" s="60" t="str">
        <x:v>as_k10_st16_mondoberflache_gezeiten_und_raumfahrt</x:v>
      </x:c>
      <x:c r="L20" s="60" t="str">
        <x:v>https://raw.githubusercontent.com/burgnetz-wq/froebel/main/bilder/physik/009_mondphasen.jpg</x:v>
      </x:c>
      <x:c r="M20" s="158" t="e">
        <x:f>HYPERLINK("https://burgnetz-wq.github.io/froebel/physik/html/as10_stunde_16_mondoberflaeche_gezeiten_und_raumfahrt.html","Schüler-Modul öffnen")</x:f>
      </x:c>
      <x:c r="N20" s="159" t="e">
        <x:f>HYPERLINK("lehrer/astronomie/as_k10_st16_mondoberflache_gezeiten_und_raumfahrt_orga.html","Vorbereitung öffnen")</x:f>
      </x:c>
    </x:row>
    <x:row r="21" ht="70" customHeight="1">
      <x:c r="A21" s="125" t="str">
        <x:v>Astronomie</x:v>
      </x:c>
      <x:c r="B21" s="126" t="n">
        <x:v>10</x:v>
      </x:c>
      <x:c r="C21" s="60" t="str">
        <x:v>Astronomie</x:v>
      </x:c>
      <x:c r="D21" s="126" t="n">
        <x:v>17</x:v>
      </x:c>
      <x:c r="E21" s="60" t="str">
        <x:v>Lichtjahr, Blick in die Vergangenheit und scheinbare Helligkeit</x:v>
      </x:c>
      <x:c r="F21" s="60" t="str">
        <x:v>vorstrukturierte Tabelle, Satzstarter und Hilfekarte.</x:v>
      </x:c>
      <x:c r="G21" s="60" t="str">
        <x:v>selbstständige Auswertung mit Fachbegriffen. Vorgegebene Achsen; Erweiterung: 1/r²-Fit.</x:v>
      </x:c>
      <x:c r="H21" s="60" t="str">
        <x:v>Blick in die Tiefe als Blick in die Vergangenheit erklären und scheinbare/absolute Helligkeit unterscheiden.</x:v>
      </x:c>
      <x:c r="I21" s="60" t="str">
        <x:v>LE: Lichtquelle in verschiedenen Abständen.
SE: Helligkeit gegen Abstand messen und graphisch darstellen.</x:v>
      </x:c>
      <x:c r="J21" s="60" t="str">
        <x:v>LDR/BH1750-Datenlogger</x:v>
      </x:c>
      <x:c r="K21" s="60" t="str">
        <x:v>as_k10_st17_lichtjahr_blick_in_die_vergangenheit_und_scheinbare_helligkeit</x:v>
      </x:c>
      <x:c r="L21" s="60" t="str">
        <x:v>https://raw.githubusercontent.com/burgnetz-wq/froebel/main/bilder/physik/077_lichtjahr.jpg</x:v>
      </x:c>
      <x:c r="M21" s="158" t="e">
        <x:f>HYPERLINK("https://burgnetz-wq.github.io/froebel/physik/html/as10_stunde_17_lichtjahr_blick_in_die_vergangenheit_und_scheinbare_helligkeit.html","Schüler-Modul öffnen")</x:f>
      </x:c>
      <x:c r="N21" s="159" t="e">
        <x:f>HYPERLINK("lehrer/astronomie/as_k10_st17_lichtjahr_blick_in_die_vergangenheit_und_scheinbare_helligkeit_orga.html","Vorbereitung öffnen")</x:f>
      </x:c>
    </x:row>
    <x:row r="22" ht="70" customHeight="1">
      <x:c r="A22" s="125" t="str">
        <x:v>Astronomie</x:v>
      </x:c>
      <x:c r="B22" s="126" t="n">
        <x:v>10</x:v>
      </x:c>
      <x:c r="C22" s="60" t="str">
        <x:v>Astronomie</x:v>
      </x:c>
      <x:c r="D22" s="126" t="n">
        <x:v>18</x:v>
      </x:c>
      <x:c r="E22" s="60" t="str">
        <x:v>Astronomische Entfernungsbestimmung durch Parallaxe</x:v>
      </x:c>
      <x:c r="F22" s="60" t="str">
        <x:v>vorstrukturierte Tabelle, Satzstarter und Hilfekarte.</x:v>
      </x:c>
      <x:c r="G22" s="60" t="str">
        <x:v>selbstständige Auswertung mit Fachbegriffen. Geometrieschablone; Erweiterung: Parsecs.</x:v>
      </x:c>
      <x:c r="H22" s="60" t="str">
        <x:v>Eine Methode der Entfernungsbestimmung erklären und Messgrenzen beurteilen.</x:v>
      </x:c>
      <x:c r="I22" s="60" t="str">
        <x:v>LE: Daumenparallaxe vor fernem Hintergrund.
SE: Parallaxe eines Modellsterns aus zwei Basispositionen messen und Entfernung bestimmen.</x:v>
      </x:c>
      <x:c r="J22" s="60" t="str">
        <x:v>Servo verschiebt Sensor/Kamera reproduzierbar</x:v>
      </x:c>
      <x:c r="K22" s="60" t="str">
        <x:v>as_k10_st18_astronomische_entfernungsbestimmung_durch_parallaxe</x:v>
      </x:c>
      <x:c r="L22" s="60" t="str">
        <x:v>https://raw.githubusercontent.com/burgnetz-wq/froebel/main/bilder/physik/049_teleskop.jpg</x:v>
      </x:c>
      <x:c r="M22" s="158" t="e">
        <x:f>HYPERLINK("https://burgnetz-wq.github.io/froebel/physik/html/as10_stunde_18_astronomische_entfernungsbestimmung_durch_parallaxe.html","Schüler-Modul öffnen")</x:f>
      </x:c>
      <x:c r="N22" s="159" t="e">
        <x:f>HYPERLINK("lehrer/astronomie/as_k10_st18_astronomische_entfernungsbestimmung_durch_parallaxe_orga.html","Vorbereitung öffnen")</x:f>
      </x:c>
    </x:row>
    <x:row r="23" ht="70" customHeight="1">
      <x:c r="A23" s="125" t="str">
        <x:v>Astronomie</x:v>
      </x:c>
      <x:c r="B23" s="126" t="n">
        <x:v>10</x:v>
      </x:c>
      <x:c r="C23" s="60" t="str">
        <x:v>Astronomie</x:v>
      </x:c>
      <x:c r="D23" s="126" t="n">
        <x:v>19</x:v>
      </x:c>
      <x:c r="E23" s="60" t="str">
        <x:v>Sternspektren, Farben und Temperaturen</x:v>
      </x:c>
      <x:c r="F23" s="60" t="str">
        <x:v>vorstrukturierte Tabelle, Satzstarter und Hilfekarte.</x:v>
      </x:c>
      <x:c r="G23" s="60" t="str">
        <x:v>selbstständige Auswertung mit Fachbegriffen. Farbleiste; Erweiterung: Absorptionslinien.</x:v>
      </x:c>
      <x:c r="H23" s="60" t="str">
        <x:v>Zustandsgrößen von Sternen benennen und Spektren/Farben zur Temperaturdeutung nutzen.</x:v>
      </x:c>
      <x:c r="I23" s="60" t="str">
        <x:v>LE: Spektren verschiedener Lampen mit Beugungsgitter.
SE: Sternfarbkarten und Spektren klassifizieren; Temperaturreihenfolge begründen.</x:v>
      </x:c>
      <x:c r="J23" s="60" t="str">
        <x:v>RGB-Sensor vergleicht Modelllichtquellen</x:v>
      </x:c>
      <x:c r="K23" s="60" t="str">
        <x:v>as_k10_st19_sternspektren_farben_und_temperaturen</x:v>
      </x:c>
      <x:c r="L23" s="60" t="str">
        <x:v>https://raw.githubusercontent.com/burgnetz-wq/froebel/main/bilder/physik/046_sterne_spektrum.jpg</x:v>
      </x:c>
      <x:c r="M23" s="158" t="e">
        <x:f>HYPERLINK("https://burgnetz-wq.github.io/froebel/physik/html/as10_stunde_19_sternspektren_farben_und_temperaturen.html","Schüler-Modul öffnen")</x:f>
      </x:c>
      <x:c r="N23" s="159" t="e">
        <x:f>HYPERLINK("lehrer/astronomie/as_k10_st19_sternspektren_farben_und_temperaturen_orga.html","Vorbereitung öffnen")</x:f>
      </x:c>
    </x:row>
    <x:row r="24" ht="70" customHeight="1">
      <x:c r="A24" s="125" t="str">
        <x:v>Astronomie</x:v>
      </x:c>
      <x:c r="B24" s="126" t="n">
        <x:v>10</x:v>
      </x:c>
      <x:c r="C24" s="60" t="str">
        <x:v>Astronomie</x:v>
      </x:c>
      <x:c r="D24" s="126" t="n">
        <x:v>20</x:v>
      </x:c>
      <x:c r="E24" s="60" t="str">
        <x:v>Hertzsprung-Russell-Diagramm</x:v>
      </x:c>
      <x:c r="F24" s="60" t="str">
        <x:v>vorstrukturierte Tabelle, Satzstarter und Hilfekarte.</x:v>
      </x:c>
      <x:c r="G24" s="60" t="str">
        <x:v>selbstständige Auswertung mit Fachbegriffen. Koordinatenhilfe; Erweiterung: Entwicklungspfade.</x:v>
      </x:c>
      <x:c r="H24" s="60" t="str">
        <x:v>Zusammenhänge zwischen Sternzustandsgrößen im H-R-Diagramm herstellen.</x:v>
      </x:c>
      <x:c r="I24" s="60" t="str">
        <x:v>LE: Großes Boden-H-R-Diagramm mit Sternkarten.
SE: Sterne einordnen und Hauptreihe/Riesen/Weiße Zwerge identifizieren.</x:v>
      </x:c>
      <x:c r="J24" s="60" t="str">
        <x:v>nein</x:v>
      </x:c>
      <x:c r="K24" s="60" t="str">
        <x:v>as_k10_st20_hertzsprung_russell_diagramm</x:v>
      </x:c>
      <x:c r="L24" s="60" t="str">
        <x:v>https://raw.githubusercontent.com/burgnetz-wq/froebel/main/bilder/physik/046_sterne_spektrum.jpg</x:v>
      </x:c>
      <x:c r="M24" s="158" t="e">
        <x:f>HYPERLINK("https://burgnetz-wq.github.io/froebel/physik/html/as10_stunde_20_hertzsprung_russell_diagramm.html","Schüler-Modul öffnen")</x:f>
      </x:c>
      <x:c r="N24" s="159" t="e">
        <x:f>HYPERLINK("lehrer/astronomie/as_k10_st20_hertzsprung_russell_diagramm_orga.html","Vorbereitung öffnen")</x:f>
      </x:c>
    </x:row>
    <x:row r="25" ht="70" customHeight="1">
      <x:c r="A25" s="125" t="str">
        <x:v>Astronomie</x:v>
      </x:c>
      <x:c r="B25" s="126" t="n">
        <x:v>10</x:v>
      </x:c>
      <x:c r="C25" s="60" t="str">
        <x:v>Astronomie</x:v>
      </x:c>
      <x:c r="D25" s="126" t="n">
        <x:v>21</x:v>
      </x:c>
      <x:c r="E25" s="60" t="str">
        <x:v>Entstehung und Entwicklung sonnenähnlicher Sterne</x:v>
      </x:c>
      <x:c r="F25" s="60" t="str">
        <x:v>vorstrukturierte Tabelle, Satzstarter und Hilfekarte.</x:v>
      </x:c>
      <x:c r="G25" s="60" t="str">
        <x:v>selbstständige Auswertung mit Fachbegriffen. Karten mit Hinweisen; Erweiterung: Zeitskalen.</x:v>
      </x:c>
      <x:c r="H25" s="60" t="str">
        <x:v>Sternentstehung und Entwicklung der Sonne mit dem H-R-Diagramm beschreiben.</x:v>
      </x:c>
      <x:c r="I25" s="60" t="str">
        <x:v>LE: Gaswolken-/Gravitationsmodell mit Tuch und Kugeln als begrenztes Modell.
SE: Entwicklungsphasen ordnen und im H-R-Diagramm markieren.</x:v>
      </x:c>
      <x:c r="J25" s="60" t="str">
        <x:v>nein</x:v>
      </x:c>
      <x:c r="K25" s="60" t="str">
        <x:v>as_k10_st21_entstehung_und_entwicklung_sonnenahnlicher_sterne</x:v>
      </x:c>
      <x:c r="L25" s="60" t="str">
        <x:v>https://raw.githubusercontent.com/burgnetz-wq/froebel/main/bilder/physik/078_sternentwicklung.jpg</x:v>
      </x:c>
      <x:c r="M25" s="158" t="e">
        <x:f>HYPERLINK("https://burgnetz-wq.github.io/froebel/physik/html/as10_stunde_21_entstehung_und_entwicklung_sonnenaehnlicher_sterne.html","Schüler-Modul öffnen")</x:f>
      </x:c>
      <x:c r="N25" s="159" t="e">
        <x:f>HYPERLINK("lehrer/astronomie/as_k10_st21_entstehung_und_entwicklung_sonnenahnlicher_sterne_orga.html","Vorbereitung öffnen")</x:f>
      </x:c>
    </x:row>
    <x:row r="26" ht="70" customHeight="1">
      <x:c r="A26" s="125" t="str">
        <x:v>Astronomie</x:v>
      </x:c>
      <x:c r="B26" s="126" t="n">
        <x:v>10</x:v>
      </x:c>
      <x:c r="C26" s="60" t="str">
        <x:v>Astronomie</x:v>
      </x:c>
      <x:c r="D26" s="126" t="n">
        <x:v>22</x:v>
      </x:c>
      <x:c r="E26" s="60" t="str">
        <x:v>Massereiche Sterne und Endstadien</x:v>
      </x:c>
      <x:c r="F26" s="60" t="str">
        <x:v>vorstrukturierte Tabelle, Satzstarter und Hilfekarte.</x:v>
      </x:c>
      <x:c r="G26" s="60" t="str">
        <x:v>selbstständige Auswertung mit Fachbegriffen. Vorgegebene Pfade; Erweiterung: Nukleosynthese.</x:v>
      </x:c>
      <x:c r="H26" s="60" t="str">
        <x:v>Bedeutung der Sternmasse für Entwicklungswege und Endstadien beschreiben.</x:v>
      </x:c>
      <x:c r="I26" s="60" t="str">
        <x:v>LE: Druck-/Gegendruckmodell mit Ballon oder Feder.
SE: Entscheidungsbaum für Weißen Zwerg, Neutronenstern und Schwarzes Loch erstellen.</x:v>
      </x:c>
      <x:c r="J26" s="60" t="str">
        <x:v>nein</x:v>
      </x:c>
      <x:c r="K26" s="60" t="str">
        <x:v>as_k10_st22_massereiche_sterne_und_endstadien</x:v>
      </x:c>
      <x:c r="L26" s="60" t="str">
        <x:v>https://raw.githubusercontent.com/burgnetz-wq/froebel/main/bilder/physik/078_sternentwicklung.jpg</x:v>
      </x:c>
      <x:c r="M26" s="158" t="e">
        <x:f>HYPERLINK("https://burgnetz-wq.github.io/froebel/physik/html/as10_stunde_22_massereiche_sterne_und_endstadien.html","Schüler-Modul öffnen")</x:f>
      </x:c>
      <x:c r="N26" s="159" t="e">
        <x:f>HYPERLINK("lehrer/astronomie/as_k10_st22_massereiche_sterne_und_endstadien_orga.html","Vorbereitung öffnen")</x:f>
      </x:c>
    </x:row>
    <x:row r="27" ht="70" customHeight="1">
      <x:c r="A27" s="125" t="str">
        <x:v>Astronomie</x:v>
      </x:c>
      <x:c r="B27" s="126" t="n">
        <x:v>10</x:v>
      </x:c>
      <x:c r="C27" s="60" t="str">
        <x:v>Astronomie</x:v>
      </x:c>
      <x:c r="D27" s="126" t="n">
        <x:v>23</x:v>
      </x:c>
      <x:c r="E27" s="60" t="str">
        <x:v>Milchstraße, Galaxien und großräumige Strukturen</x:v>
      </x:c>
      <x:c r="F27" s="60" t="str">
        <x:v>vorstrukturierte Tabelle, Satzstarter und Hilfekarte.</x:v>
      </x:c>
      <x:c r="G27" s="60" t="str">
        <x:v>selbstständige Auswertung mit Fachbegriffen. Klassifikationsschlüssel; Erweiterung: Dunkle Materie als offene Frage.</x:v>
      </x:c>
      <x:c r="H27" s="60" t="str">
        <x:v>Milchstraße beschreiben, Sonnensystem einordnen und Galaxienformen/Verteilung erläutern.</x:v>
      </x:c>
      <x:c r="I27" s="60" t="str">
        <x:v>LE: Galaxienbilder und Rotationsmodell.
SE: Galaxien klassifizieren und kosmische Adresskette erstellen.</x:v>
      </x:c>
      <x:c r="J27" s="60" t="str">
        <x:v>Schrittmotor dreht Spiralgalaxienmodell</x:v>
      </x:c>
      <x:c r="K27" s="60" t="str">
        <x:v>as_k10_st23_milchstrae_galaxien_und_groraumige_strukturen</x:v>
      </x:c>
      <x:c r="L27" s="60" t="str">
        <x:v>https://raw.githubusercontent.com/burgnetz-wq/froebel/main/bilder/physik/047_galaxien.jpg</x:v>
      </x:c>
      <x:c r="M27" s="158" t="e">
        <x:f>HYPERLINK("https://burgnetz-wq.github.io/froebel/physik/html/as10_stunde_23_milchstrasse_galaxien_und_grossraeumige_strukturen.html","Schüler-Modul öffnen")</x:f>
      </x:c>
      <x:c r="N27" s="159" t="e">
        <x:f>HYPERLINK("lehrer/astronomie/as_k10_st23_milchstrae_galaxien_und_groraumige_strukturen_orga.html","Vorbereitung öffnen")</x:f>
      </x:c>
    </x:row>
    <x:row r="28" ht="70" customHeight="1">
      <x:c r="A28" s="127" t="str">
        <x:v>Astronomie</x:v>
      </x:c>
      <x:c r="B28" s="128" t="n">
        <x:v>10</x:v>
      </x:c>
      <x:c r="C28" s="63" t="str">
        <x:v>Astronomie</x:v>
      </x:c>
      <x:c r="D28" s="128" t="n">
        <x:v>24</x:v>
      </x:c>
      <x:c r="E28" s="63" t="str">
        <x:v>Urknall, Expansion, Rotverschiebung und kosmische Hintergrundstrahlung</x:v>
      </x:c>
      <x:c r="F28" s="63" t="str">
        <x:v>vorstrukturierte Tabelle, Satzstarter und Hilfekarte.</x:v>
      </x:c>
      <x:c r="G28" s="63" t="str">
        <x:v>selbstständige Auswertung mit Fachbegriffen. Satzstarter; Erweiterung: Evidenzkette und offene Fragen.</x:v>
      </x:c>
      <x:c r="H28" s="63" t="str">
        <x:v>Urknalltheorie, Frühphase, Expansion, Rotverschiebung und Hintergrundstrahlung beschreiben; naturwissenschaftliche Sicht diskutieren.</x:v>
      </x:c>
      <x:c r="I28" s="63" t="str">
        <x:v>LE: Ballon-/Gummibandmodell der Expansion und Spektralverschiebung mit Feder/Wellenbild.
SE: Modellgalaxien messen, Hubble-ähnliches Diagramm erstellen und Modellgrenzen diskutieren.</x:v>
      </x:c>
      <x:c r="J28" s="63" t="str">
        <x:v>Abstandssensor protokolliert Modellabstände</x:v>
      </x:c>
      <x:c r="K28" s="63" t="str">
        <x:v>as_k10_st24_urknall_expansion_rotverschiebung_und_kosmische_hintergrundstrahlung</x:v>
      </x:c>
      <x:c r="L28" s="63" t="str">
        <x:v>https://raw.githubusercontent.com/burgnetz-wq/froebel/main/bilder/physik/087_universum_entstehung.jpg</x:v>
      </x:c>
      <x:c r="M28" s="160" t="e">
        <x:f>HYPERLINK("https://burgnetz-wq.github.io/froebel/physik/html/as10_stunde_24_urknall_expansion_rotverschiebung_und_kosmische_hintergrundstrahlung.html","Schüler-Modul öffnen")</x:f>
      </x:c>
      <x:c r="N28" s="161" t="e">
        <x:f>HYPERLINK("lehrer/astronomie/as_k10_st24_urknall_expansion_rotverschiebung_und_kosmische_hintergrundstrahlung_orga.html","Vorbereitung öffnen")</x:f>
      </x:c>
    </x:row>
  </x:sheetData>
  <x:mergeCells>
    <x:mergeCell ref="A1:N1"/>
    <x:mergeCell ref="A2:N2"/>
  </x:mergeCells>
  <x:pageMargins left="0.7" right="0.7" top="0.75" bottom="0.75" header="0.3" footer="0.3"/>
  <x:tableParts count="1">
    <x:tablePart xmlns:r="http://schemas.openxmlformats.org/officeDocument/2006/relationships" r:id="Rd35913e5d3dc4c12"/>
  </x:tableParts>
</x:worksheet>
</file>

<file path=xl/worksheets/sheet8.xml><?xml version="1.0" encoding="utf-8"?>
<x:worksheet xmlns:x="http://schemas.openxmlformats.org/spreadsheetml/2006/main">
  <x:sheetFormatPr defaultRowHeight="15"/>
  <x:cols>
    <x:col min="1" max="1" width="42" hidden="0" customWidth="1"/>
    <x:col min="2" max="2" width="56" hidden="0" customWidth="1"/>
    <x:col min="3" max="3" width="22" hidden="0" customWidth="1"/>
    <x:col min="4" max="4" width="78" hidden="0" customWidth="1"/>
  </x:cols>
  <x:sheetData>
    <x:row r="1" ht="32" customHeight="1">
      <x:c r="A1" s="110" t="str">
        <x:v>Quellen und technische Grundlagen</x:v>
      </x:c>
      <x:c r="B1" s="110"/>
      <x:c r="C1" s="110"/>
      <x:c r="D1" s="110"/>
    </x:row>
    <x:row r="3">
      <x:c r="A3" s="189" t="str">
        <x:v>Quelle</x:v>
      </x:c>
      <x:c r="B3" s="190" t="str">
        <x:v>Verwendung</x:v>
      </x:c>
      <x:c r="C3" s="190" t="str">
        <x:v>Stand</x:v>
      </x:c>
      <x:c r="D3" s="191" t="str">
        <x:v>URL</x:v>
      </x:c>
    </x:row>
    <x:row r="4" ht="72" customHeight="1">
      <x:c r="A4" s="56" t="str">
        <x:v>Thüringer Lehrplan Physik Regelschule</x:v>
      </x:c>
      <x:c r="B4" s="57" t="str">
        <x:v>Lehrplanbezug der Klassen 7–10</x:v>
      </x:c>
      <x:c r="C4" s="57" t="str">
        <x:v>2012</x:v>
      </x:c>
      <x:c r="D4" s="58" t="str">
        <x:v>https://www.schule-am-kiliansberg.de/regelschule/th%C3%BCringer-lehrpl%C3%A4ne/</x:v>
      </x:c>
    </x:row>
    <x:row r="5" ht="72" customHeight="1">
      <x:c r="A5" s="59" t="str">
        <x:v>Thüringer Lehrplan Astronomie Regelschule</x:v>
      </x:c>
      <x:c r="B5" s="60" t="str">
        <x:v>Zusatzplan Astronomie Klasse 10</x:v>
      </x:c>
      <x:c r="C5" s="60" t="str">
        <x:v>2012</x:v>
      </x:c>
      <x:c r="D5" s="61" t="str">
        <x:v>https://www.schule-am-kiliansberg.de/regelschule/th%C3%BCringer-lehrpl%C3%A4ne/</x:v>
      </x:c>
    </x:row>
    <x:row r="6" ht="72" customHeight="1">
      <x:c r="A6" s="59" t="str">
        <x:v>GitHub – Physikbilder</x:v>
      </x:c>
      <x:c r="B6" s="60" t="str">
        <x:v>Bildzuordnung für Wiki und Lehrer-Dashboards</x:v>
      </x:c>
      <x:c r="C6" s="60" t="str">
        <x:v>abgerufen 09.07.2026</x:v>
      </x:c>
      <x:c r="D6" s="61" t="str">
        <x:v>https://github.com/burgnetz-wq/froebel/tree/main/bilder/physik</x:v>
      </x:c>
    </x:row>
    <x:row r="7" ht="72" customHeight="1">
      <x:c r="A7" s="59" t="str">
        <x:v>GitHub – Physik-HTML</x:v>
      </x:c>
      <x:c r="B7" s="60" t="str">
        <x:v>Bestehende Schüler-Module</x:v>
      </x:c>
      <x:c r="C7" s="60" t="str">
        <x:v>abgerufen 09.07.2026</x:v>
      </x:c>
      <x:c r="D7" s="61" t="str">
        <x:v>https://github.com/burgnetz-wq/froebel/tree/main/physik/html</x:v>
      </x:c>
    </x:row>
    <x:row r="8" ht="72" customHeight="1">
      <x:c r="A8" s="62" t="str">
        <x:v>Hochgeladenes TiddlyWiki physik.html</x:v>
      </x:c>
      <x:c r="B8" s="63" t="str">
        <x:v>Kompetenzen, Experimente, Differenzierung und Stundenfolge</x:v>
      </x:c>
      <x:c r="C8" s="63" t="str">
        <x:v>Dateistand 06.07.2026</x:v>
      </x:c>
      <x:c r="D8" s="64" t="str">
        <x:v>lokale Ausgangsdatei physik.zip</x:v>
      </x:c>
    </x:row>
  </x:sheetData>
  <x:mergeCells>
    <x:mergeCell ref="A1:D1"/>
  </x:mergeCells>
  <x:pageMargins left="0.7" right="0.7" top="0.75" bottom="0.75" header="0.3" footer="0.3"/>
  <x:tableParts count="1">
    <x:tablePart xmlns:r="http://schemas.openxmlformats.org/officeDocument/2006/relationships" r:id="Rd5c0a94cfd5641b6"/>
  </x:tableParts>
</x:worksheet>
</file>