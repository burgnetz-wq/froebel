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d1cee1554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5e9be848d14a4fad"/>
    <x:sheet xmlns:r="http://schemas.openxmlformats.org/officeDocument/2006/relationships" name="Gesamtplan" sheetId="2" r:id="R4fe1fb9c63b54c02"/>
    <x:sheet xmlns:r="http://schemas.openxmlformats.org/officeDocument/2006/relationships" name="Klasse 5" sheetId="3" r:id="R70b04ea222e640ab"/>
    <x:sheet xmlns:r="http://schemas.openxmlformats.org/officeDocument/2006/relationships" name="Klasse 6" sheetId="4" r:id="R4668de6963924012"/>
    <x:sheet xmlns:r="http://schemas.openxmlformats.org/officeDocument/2006/relationships" name="Klasse 7" sheetId="5" r:id="R0d7268450dd246c1"/>
    <x:sheet xmlns:r="http://schemas.openxmlformats.org/officeDocument/2006/relationships" name="Klasse 8" sheetId="6" r:id="R353d16f7e072494c"/>
    <x:sheet xmlns:r="http://schemas.openxmlformats.org/officeDocument/2006/relationships" name="Klasse 9" sheetId="7" r:id="Recafd9cdf0b044d4"/>
    <x:sheet xmlns:r="http://schemas.openxmlformats.org/officeDocument/2006/relationships" name="Klasse 10" sheetId="8" r:id="R2c2511a7257e43f3"/>
    <x:sheet xmlns:r="http://schemas.openxmlformats.org/officeDocument/2006/relationships" name="Dateizuordnung" sheetId="9" r:id="R5c1b3911c9a04222"/>
    <x:sheet xmlns:r="http://schemas.openxmlformats.org/officeDocument/2006/relationships" name="Quellen" sheetId="10" r:id="R1393e2ac9673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563C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4EA"/>
      </x:patternFill>
    </x:fill>
  </x:fills>
  <x:borders count="24">
    <x:border/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2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0" fontId="0" fillId="0" borderId="21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horizontal="center"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0" fontId="5" fillId="5" borderId="15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horizontal="center" vertical="top" wrapText="1"/>
    </x:xf>
    <x:xf numFmtId="0" fontId="5" fillId="5" borderId="10" xfId="0" applyNumberFormat="1" applyFont="1" applyFill="1" applyBorder="1" applyAlignment="1">
      <x:alignment horizontal="center" vertical="top" wrapText="1"/>
    </x:xf>
    <x:xf numFmtId="0" fontId="5" fillId="5" borderId="11" xfId="0" applyNumberFormat="1" applyFont="1" applyFill="1" applyBorder="1" applyAlignment="1">
      <x:alignment horizontal="center" vertical="top" wrapText="1"/>
    </x:xf>
    <x:xf numFmtId="0" fontId="5" fillId="5" borderId="12" xfId="0" applyNumberFormat="1" applyFont="1" applyFill="1" applyBorder="1" applyAlignment="1">
      <x:alignment horizontal="center" vertical="top" wrapText="1"/>
    </x:xf>
    <x:xf numFmtId="0" fontId="5" fillId="5" borderId="13" xfId="0" applyNumberFormat="1" applyFont="1" applyFill="1" applyBorder="1" applyAlignment="1">
      <x:alignment horizontal="center" vertical="top" wrapText="1"/>
    </x:xf>
    <x:xf numFmtId="0" fontId="5" fillId="5" borderId="15" xfId="0" applyNumberFormat="1" applyFont="1" applyFill="1" applyBorder="1" applyAlignment="1">
      <x:alignment horizontal="center" vertical="top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5" fillId="5" borderId="15" xfId="0" applyNumberFormat="1" applyFont="1" applyFill="1" applyBorder="1" applyAlignment="1">
      <x:alignment horizontal="center" vertical="center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0" xfId="0" applyNumberFormat="1" applyFont="1" applyFill="1" applyBorder="1" applyAlignment="1">
      <x:alignment vertical="top" wrapText="1"/>
    </x:xf>
    <x:xf numFmtId="0" fontId="0" fillId="5" borderId="22" xfId="0" applyNumberFormat="1" applyFont="1" applyFill="1" applyBorder="1" applyAlignment="1">
      <x:alignment vertical="top" wrapText="1"/>
    </x:xf>
    <x:xf numFmtId="0" fontId="0" fillId="5" borderId="23" xfId="0" applyNumberFormat="1" applyFont="1" applyFill="1" applyBorder="1" applyAlignment="1">
      <x:alignment vertical="top" wrapText="1"/>
    </x:xf>
    <x:xf numFmtId="0" fontId="5" fillId="5" borderId="17" xfId="0" applyNumberFormat="1" applyFont="1" applyFill="1" applyBorder="1" applyAlignment="1">
      <x:alignment vertical="top" wrapText="1"/>
    </x:xf>
    <x:xf numFmtId="0" fontId="5" fillId="5" borderId="18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20" xfId="0" applyNumberFormat="1" applyFont="1" applyFill="1" applyBorder="1" applyAlignment="1">
      <x:alignment vertical="top" wrapText="1"/>
    </x:xf>
    <x:xf numFmtId="0" fontId="5" fillId="5" borderId="22" xfId="0" applyNumberFormat="1" applyFont="1" applyFill="1" applyBorder="1" applyAlignment="1">
      <x:alignment vertical="top" wrapText="1"/>
    </x:xf>
    <x:xf numFmtId="0" fontId="5" fillId="5" borderId="23" xfId="0" applyNumberFormat="1" applyFont="1" applyFill="1" applyBorder="1" applyAlignment="1">
      <x:alignment vertical="top" wrapText="1"/>
    </x:xf>
    <x:xf numFmtId="0" fontId="5" fillId="5" borderId="16" xfId="0" applyNumberFormat="1" applyFont="1" applyFill="1" applyBorder="1" applyAlignment="1">
      <x:alignment vertical="top" wrapText="1"/>
    </x:xf>
    <x:xf numFmtId="0" fontId="5" fillId="5" borderId="19" xfId="0" applyNumberFormat="1" applyFont="1" applyFill="1" applyBorder="1" applyAlignment="1">
      <x:alignment vertical="top" wrapText="1"/>
    </x:xf>
    <x:xf numFmtId="0" fontId="5" fillId="5" borderId="21" xfId="0" applyNumberFormat="1" applyFont="1" applyFill="1" applyBorder="1" applyAlignment="1">
      <x:alignment vertical="top" wrapText="1"/>
    </x:xf>
    <x:xf numFmtId="0" fontId="5" fillId="5" borderId="16" xfId="0" applyNumberFormat="1" applyFont="1" applyFill="1" applyBorder="1" applyAlignment="1">
      <x:alignment horizontal="center" vertical="top" wrapText="1"/>
    </x:xf>
    <x:xf numFmtId="0" fontId="5" fillId="5" borderId="18" xfId="0" applyNumberFormat="1" applyFont="1" applyFill="1" applyBorder="1" applyAlignment="1">
      <x:alignment horizontal="center" vertical="top" wrapText="1"/>
    </x:xf>
    <x:xf numFmtId="0" fontId="5" fillId="5" borderId="19" xfId="0" applyNumberFormat="1" applyFont="1" applyFill="1" applyBorder="1" applyAlignment="1">
      <x:alignment horizontal="center" vertical="top" wrapText="1"/>
    </x:xf>
    <x:xf numFmtId="0" fontId="5" fillId="5" borderId="20" xfId="0" applyNumberFormat="1" applyFont="1" applyFill="1" applyBorder="1" applyAlignment="1">
      <x:alignment horizontal="center" vertical="top" wrapText="1"/>
    </x:xf>
    <x:xf numFmtId="0" fontId="5" fillId="5" borderId="21" xfId="0" applyNumberFormat="1" applyFont="1" applyFill="1" applyBorder="1" applyAlignment="1">
      <x:alignment horizontal="center" vertical="top" wrapText="1"/>
    </x:xf>
    <x:xf numFmtId="0" fontId="5" fillId="5" borderId="23" xfId="0" applyNumberFormat="1" applyFont="1" applyFill="1" applyBorder="1" applyAlignment="1">
      <x:alignment horizontal="center" vertical="top" wrapText="1"/>
    </x:xf>
    <x:xf numFmtId="0" fontId="5" fillId="5" borderId="16" xfId="0" applyNumberFormat="1" applyFont="1" applyFill="1" applyBorder="1" applyAlignment="1">
      <x:alignment horizontal="center" vertical="center" wrapText="1"/>
    </x:xf>
    <x:xf numFmtId="0" fontId="5" fillId="5" borderId="18" xfId="0" applyNumberFormat="1" applyFont="1" applyFill="1" applyBorder="1" applyAlignment="1">
      <x:alignment horizontal="center" vertical="center" wrapText="1"/>
    </x:xf>
    <x:xf numFmtId="0" fontId="5" fillId="5" borderId="19" xfId="0" applyNumberFormat="1" applyFont="1" applyFill="1" applyBorder="1" applyAlignment="1">
      <x:alignment horizontal="center" vertical="center" wrapText="1"/>
    </x:xf>
    <x:xf numFmtId="0" fontId="5" fillId="5" borderId="20" xfId="0" applyNumberFormat="1" applyFont="1" applyFill="1" applyBorder="1" applyAlignment="1">
      <x:alignment horizontal="center" vertical="center" wrapText="1"/>
    </x:xf>
    <x:xf numFmtId="0" fontId="5" fillId="5" borderId="21" xfId="0" applyNumberFormat="1" applyFont="1" applyFill="1" applyBorder="1" applyAlignment="1">
      <x:alignment horizontal="center" vertical="center" wrapText="1"/>
    </x:xf>
    <x:xf numFmtId="0" fontId="5" fillId="5" borderId="2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8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9b0783eec4929" /><Relationship Type="http://schemas.openxmlformats.org/officeDocument/2006/relationships/theme" Target="/xl/theme/theme1.xml" Id="R5a615a5627074a3d" /><Relationship Type="http://schemas.openxmlformats.org/officeDocument/2006/relationships/sharedStrings" Target="/xl/sharedStrings.xml" Id="R467108ad981a483a" /><Relationship Type="http://schemas.openxmlformats.org/officeDocument/2006/relationships/worksheet" Target="/xl/worksheets/sheet1.xml" Id="R5e9be848d14a4fad" /><Relationship Type="http://schemas.openxmlformats.org/officeDocument/2006/relationships/worksheet" Target="/xl/worksheets/sheet2.xml" Id="R4fe1fb9c63b54c02" /><Relationship Type="http://schemas.openxmlformats.org/officeDocument/2006/relationships/worksheet" Target="/xl/worksheets/sheet3.xml" Id="R70b04ea222e640ab" /><Relationship Type="http://schemas.openxmlformats.org/officeDocument/2006/relationships/worksheet" Target="/xl/worksheets/sheet4.xml" Id="R4668de6963924012" /><Relationship Type="http://schemas.openxmlformats.org/officeDocument/2006/relationships/worksheet" Target="/xl/worksheets/sheet5.xml" Id="R0d7268450dd246c1" /><Relationship Type="http://schemas.openxmlformats.org/officeDocument/2006/relationships/worksheet" Target="/xl/worksheets/sheet6.xml" Id="R353d16f7e072494c" /><Relationship Type="http://schemas.openxmlformats.org/officeDocument/2006/relationships/worksheet" Target="/xl/worksheets/sheet7.xml" Id="Recafd9cdf0b044d4" /><Relationship Type="http://schemas.openxmlformats.org/officeDocument/2006/relationships/worksheet" Target="/xl/worksheets/sheet8.xml" Id="R2c2511a7257e43f3" /><Relationship Type="http://schemas.openxmlformats.org/officeDocument/2006/relationships/worksheet" Target="/xl/worksheets/sheet9.xml" Id="R5c1b3911c9a04222" /><Relationship Type="http://schemas.openxmlformats.org/officeDocument/2006/relationships/worksheet" Target="/xl/worksheets/sheet10.xml" Id="R1393e2ac96734d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9af36010af46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Digitale Dateien je Klassenstufe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Unterrichtsstunden</c:v>
          </c:tx>
          <c:cat>
            <c:strRef>
              <c:f>'Übersicht'!$A$6:$A$11</c:f>
              <c:strCache>
                <c:ptCount val="0"/>
              </c:strCache>
            </c:strRef>
          </c:cat>
          <c:val>
            <c:numRef>
              <c:f>'Übersicht'!$B$6:$B$11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Schüler-Module</c:v>
          </c:tx>
          <c:cat>
            <c:strRef>
              <c:f>'Übersicht'!$A$6:$A$11</c:f>
              <c:strCache>
                <c:ptCount val="0"/>
              </c:strCache>
            </c:strRef>
          </c:cat>
          <c:val>
            <c:numRef>
              <c:f>'Übersicht'!$C$6:$C$11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Lehrer-Vorbereitungen</c:v>
          </c:tx>
          <c:cat>
            <c:strRef>
              <c:f>'Übersicht'!$A$6:$A$11</c:f>
              <c:strCache>
                <c:ptCount val="0"/>
              </c:strCache>
            </c:strRef>
          </c:cat>
          <c:val>
            <c:numRef>
              <c:f>'Übersicht'!$D$6:$D$11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9af36010af46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esamtplanModule" displayName="GesamtplanModule" ref="A4:I580" headerRowCount="1">
  <x:tableColumns count="9">
    <x:tableColumn id="1" name="Klasse"/>
    <x:tableColumn id="2" name="Lernbereich"/>
    <x:tableColumn id="3" name="Stunde"/>
    <x:tableColumn id="4" name="Thema der Unterrichtsstunde"/>
    <x:tableColumn id="5" name="Inhalt HSA"/>
    <x:tableColumn id="6" name="Inhalt RSA"/>
    <x:tableColumn id="7" name="Modul-ID"/>
    <x:tableColumn id="8" name="Schüler-Modul"/>
    <x:tableColumn id="9" name="Lehrer-Vorbereitung"/>
  </x:tableColumns>
  <x:tableStyleInfo name="TableStyleMedium2" showRowStripes="1"/>
</x:table>
</file>

<file path=xl/tables/table2.xml><?xml version="1.0" encoding="utf-8"?>
<x:table xmlns:x="http://schemas.openxmlformats.org/spreadsheetml/2006/main" id="2" name="DeutschKlasse5Module" displayName="DeutschKlasse5Module" ref="A4:I100" headerRowCount="1">
  <x:tableColumns count="9">
    <x:tableColumn id="1" name="Klasse"/>
    <x:tableColumn id="2" name="Lernbereich"/>
    <x:tableColumn id="3" name="Stunde"/>
    <x:tableColumn id="4" name="Thema der Unterrichtsstunde"/>
    <x:tableColumn id="5" name="Inhalt HSA"/>
    <x:tableColumn id="6" name="Inhalt RSA"/>
    <x:tableColumn id="7" name="Modul-ID"/>
    <x:tableColumn id="8" name="Schüler-Modul"/>
    <x:tableColumn id="9" name="Lehrer-Vorbereitung"/>
  </x:tableColumns>
  <x:tableStyleInfo name="TableStyleMedium2" showRowStripes="1"/>
</x:table>
</file>

<file path=xl/tables/table3.xml><?xml version="1.0" encoding="utf-8"?>
<x:table xmlns:x="http://schemas.openxmlformats.org/spreadsheetml/2006/main" id="3" name="DeutschKlasse6Module" displayName="DeutschKlasse6Module" ref="A4:I100" headerRowCount="1">
  <x:tableColumns count="9">
    <x:tableColumn id="1" name="Klasse"/>
    <x:tableColumn id="2" name="Lernbereich"/>
    <x:tableColumn id="3" name="Stunde"/>
    <x:tableColumn id="4" name="Thema der Unterrichtsstunde"/>
    <x:tableColumn id="5" name="Inhalt HSA"/>
    <x:tableColumn id="6" name="Inhalt RSA"/>
    <x:tableColumn id="7" name="Modul-ID"/>
    <x:tableColumn id="8" name="Schüler-Modul"/>
    <x:tableColumn id="9" name="Lehrer-Vorbereitung"/>
  </x:tableColumns>
  <x:tableStyleInfo name="TableStyleMedium2" showRowStripes="1"/>
</x:table>
</file>

<file path=xl/tables/table4.xml><?xml version="1.0" encoding="utf-8"?>
<x:table xmlns:x="http://schemas.openxmlformats.org/spreadsheetml/2006/main" id="4" name="DeutschKlasse7Module" displayName="DeutschKlasse7Module" ref="A4:I100" headerRowCount="1">
  <x:tableColumns count="9">
    <x:tableColumn id="1" name="Klasse"/>
    <x:tableColumn id="2" name="Lernbereich"/>
    <x:tableColumn id="3" name="Stunde"/>
    <x:tableColumn id="4" name="Thema der Unterrichtsstunde"/>
    <x:tableColumn id="5" name="Inhalt HSA"/>
    <x:tableColumn id="6" name="Inhalt RSA"/>
    <x:tableColumn id="7" name="Modul-ID"/>
    <x:tableColumn id="8" name="Schüler-Modul"/>
    <x:tableColumn id="9" name="Lehrer-Vorbereitung"/>
  </x:tableColumns>
  <x:tableStyleInfo name="TableStyleMedium2" showRowStripes="1"/>
</x:table>
</file>

<file path=xl/tables/table5.xml><?xml version="1.0" encoding="utf-8"?>
<x:table xmlns:x="http://schemas.openxmlformats.org/spreadsheetml/2006/main" id="5" name="DeutschKlasse8Module" displayName="DeutschKlasse8Module" ref="A4:I100" headerRowCount="1">
  <x:tableColumns count="9">
    <x:tableColumn id="1" name="Klasse"/>
    <x:tableColumn id="2" name="Lernbereich"/>
    <x:tableColumn id="3" name="Stunde"/>
    <x:tableColumn id="4" name="Thema der Unterrichtsstunde"/>
    <x:tableColumn id="5" name="Inhalt HSA"/>
    <x:tableColumn id="6" name="Inhalt RSA"/>
    <x:tableColumn id="7" name="Modul-ID"/>
    <x:tableColumn id="8" name="Schüler-Modul"/>
    <x:tableColumn id="9" name="Lehrer-Vorbereitung"/>
  </x:tableColumns>
  <x:tableStyleInfo name="TableStyleMedium2" showRowStripes="1"/>
</x:table>
</file>

<file path=xl/tables/table6.xml><?xml version="1.0" encoding="utf-8"?>
<x:table xmlns:x="http://schemas.openxmlformats.org/spreadsheetml/2006/main" id="6" name="DeutschKlasse9Module" displayName="DeutschKlasse9Module" ref="A4:I100" headerRowCount="1">
  <x:tableColumns count="9">
    <x:tableColumn id="1" name="Klasse"/>
    <x:tableColumn id="2" name="Lernbereich"/>
    <x:tableColumn id="3" name="Stunde"/>
    <x:tableColumn id="4" name="Thema der Unterrichtsstunde"/>
    <x:tableColumn id="5" name="Inhalt HSA"/>
    <x:tableColumn id="6" name="Inhalt RSA"/>
    <x:tableColumn id="7" name="Modul-ID"/>
    <x:tableColumn id="8" name="Schüler-Modul"/>
    <x:tableColumn id="9" name="Lehrer-Vorbereitung"/>
  </x:tableColumns>
  <x:tableStyleInfo name="TableStyleMedium2" showRowStripes="1"/>
</x:table>
</file>

<file path=xl/tables/table7.xml><?xml version="1.0" encoding="utf-8"?>
<x:table xmlns:x="http://schemas.openxmlformats.org/spreadsheetml/2006/main" id="7" name="DeutschKlasse10Module" displayName="DeutschKlasse10Module" ref="A4:I100" headerRowCount="1">
  <x:tableColumns count="9">
    <x:tableColumn id="1" name="Klasse"/>
    <x:tableColumn id="2" name="Lernbereich"/>
    <x:tableColumn id="3" name="Stunde"/>
    <x:tableColumn id="4" name="Thema der Unterrichtsstunde"/>
    <x:tableColumn id="5" name="Inhalt HSA"/>
    <x:tableColumn id="6" name="Inhalt RSA"/>
    <x:tableColumn id="7" name="Modul-ID"/>
    <x:tableColumn id="8" name="Schüler-Modul"/>
    <x:tableColumn id="9" name="Lehrer-Vorbereitung"/>
  </x:tableColumns>
  <x:tableStyleInfo name="TableStyleMedium2" showRowStripes="1"/>
</x:table>
</file>

<file path=xl/tables/table8.xml><?xml version="1.0" encoding="utf-8"?>
<x:table xmlns:x="http://schemas.openxmlformats.org/spreadsheetml/2006/main" id="8" name="DateizuordnungModule" displayName="DateizuordnungModule" ref="A3:H579" headerRowCount="1">
  <x:tableColumns count="8">
    <x:tableColumn id="1" name="Klasse"/>
    <x:tableColumn id="2" name="Stunde"/>
    <x:tableColumn id="3" name="Lernbereich"/>
    <x:tableColumn id="4" name="Thema"/>
    <x:tableColumn id="5" name="Modul-ID"/>
    <x:tableColumn id="6" name="Schüler-Datei"/>
    <x:tableColumn id="7" name="Lehrer-Datei"/>
    <x:tableColumn id="8" name="Bisheriger Dateiname"/>
  </x:tableColumns>
  <x:tableStyleInfo name="TableStyleMedium2" showRowStripes="1"/>
</x:table>
</file>

<file path=xl/tables/table9.xml><?xml version="1.0" encoding="utf-8"?>
<x:table xmlns:x="http://schemas.openxmlformats.org/spreadsheetml/2006/main" id="9" name="QuellenModule" displayName="QuellenModule" ref="A3:D8" headerRowCount="1">
  <x:tableColumns count="4">
    <x:tableColumn id="1" name="Quelle"/>
    <x:tableColumn id="2" name="Verwendung"/>
    <x:tableColumn id="3" name="Stand/Datum"/>
    <x:tableColumn id="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94723d61c84e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67a30351e34e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e9e8bfda8044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d82d1329ac44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9023dd3f3946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f189ccd85e43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9b55f7991246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9df7b997ab48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2e020b68a7424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87af3acfddf4b9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25" hidden="0" customWidth="1"/>
    <x:col min="5" max="5" width="18" hidden="0" customWidth="1"/>
    <x:col min="6" max="6" width="12" hidden="0" customWidth="1"/>
    <x:col min="7" max="7" width="24" hidden="0" customWidth="1"/>
    <x:col min="8" max="8" width="18" hidden="0" customWidth="1"/>
    <x:col min="9" max="9" width="22" hidden="0" customWidth="1"/>
  </x:cols>
  <x:sheetData>
    <x:row r="1" ht="36" customHeight="1">
      <x:c r="A1" s="5" t="str">
        <x:v>Stoffverteilungsplan Deutsch – digitale Unterrichtsmodule Klassen 5 bis 10</x:v>
      </x:c>
      <x:c r="B1" s="5"/>
      <x:c r="C1" s="5"/>
      <x:c r="D1" s="5"/>
      <x:c r="E1" s="5"/>
      <x:c r="F1" s="5"/>
      <x:c r="G1" s="5"/>
      <x:c r="H1" s="5"/>
      <x:c r="I1" s="5"/>
    </x:row>
    <x:row r="3" ht="44" customHeight="1">
      <x:c r="A3" s="13" t="str">
        <x:v>576 Stundenpaare: Zu jeder Unterrichtsstunde gehören ein Schüler-Lernmodul und ein Lehrer-Dashboard. Beide Dateien laufen offline und werden aus dieser Arbeitsmappe direkt geöffnet.</x:v>
      </x:c>
      <x:c r="B3" s="13"/>
      <x:c r="C3" s="13"/>
      <x:c r="D3" s="13"/>
      <x:c r="E3" s="13"/>
      <x:c r="F3" s="13"/>
      <x:c r="G3" s="13"/>
      <x:c r="H3" s="13"/>
      <x:c r="I3" s="13"/>
    </x:row>
    <x:row r="5">
      <x:c r="A5" s="26" t="str">
        <x:v>Klasse</x:v>
      </x:c>
      <x:c r="B5" s="27" t="str">
        <x:v>Unterrichtsstunden</x:v>
      </x:c>
      <x:c r="C5" s="27" t="str">
        <x:v>Schüler-Module</x:v>
      </x:c>
      <x:c r="D5" s="27" t="str">
        <x:v>Lehrer-Vorbereitungen</x:v>
      </x:c>
      <x:c r="E5" s="28" t="str">
        <x:v>Dateistruktur</x:v>
      </x:c>
    </x:row>
    <x:row r="6" ht="38" customHeight="1">
      <x:c r="A6" s="93" t="n">
        <x:v>5</x:v>
      </x:c>
      <x:c r="B6" s="94" t="n">
        <x:v>96</x:v>
      </x:c>
      <x:c r="C6" s="94" t="n">
        <x:v>96</x:v>
      </x:c>
      <x:c r="D6" s="94" t="n">
        <x:v>96</x:v>
      </x:c>
      <x:c r="E6" s="60" t="str">
        <x:v>de_k5_st01_…_app.html / …_orga.html</x:v>
      </x:c>
    </x:row>
    <x:row r="7" ht="38" customHeight="1">
      <x:c r="A7" s="95" t="n">
        <x:v>6</x:v>
      </x:c>
      <x:c r="B7" s="96" t="n">
        <x:v>96</x:v>
      </x:c>
      <x:c r="C7" s="96" t="n">
        <x:v>96</x:v>
      </x:c>
      <x:c r="D7" s="96" t="n">
        <x:v>96</x:v>
      </x:c>
      <x:c r="E7" s="63" t="str">
        <x:v>de_k6_st01_…_app.html / …_orga.html</x:v>
      </x:c>
    </x:row>
    <x:row r="8" ht="38" customHeight="1">
      <x:c r="A8" s="95" t="n">
        <x:v>7</x:v>
      </x:c>
      <x:c r="B8" s="96" t="n">
        <x:v>96</x:v>
      </x:c>
      <x:c r="C8" s="96" t="n">
        <x:v>96</x:v>
      </x:c>
      <x:c r="D8" s="96" t="n">
        <x:v>96</x:v>
      </x:c>
      <x:c r="E8" s="63" t="str">
        <x:v>de_k7_st01_…_app.html / …_orga.html</x:v>
      </x:c>
    </x:row>
    <x:row r="9" ht="38" customHeight="1">
      <x:c r="A9" s="95" t="n">
        <x:v>8</x:v>
      </x:c>
      <x:c r="B9" s="96" t="n">
        <x:v>96</x:v>
      </x:c>
      <x:c r="C9" s="96" t="n">
        <x:v>96</x:v>
      </x:c>
      <x:c r="D9" s="96" t="n">
        <x:v>96</x:v>
      </x:c>
      <x:c r="E9" s="63" t="str">
        <x:v>de_k8_st01_…_app.html / …_orga.html</x:v>
      </x:c>
    </x:row>
    <x:row r="10" ht="38" customHeight="1">
      <x:c r="A10" s="95" t="n">
        <x:v>9</x:v>
      </x:c>
      <x:c r="B10" s="96" t="n">
        <x:v>96</x:v>
      </x:c>
      <x:c r="C10" s="96" t="n">
        <x:v>96</x:v>
      </x:c>
      <x:c r="D10" s="96" t="n">
        <x:v>96</x:v>
      </x:c>
      <x:c r="E10" s="63" t="str">
        <x:v>de_k9_st01_…_app.html / …_orga.html</x:v>
      </x:c>
    </x:row>
    <x:row r="11" ht="38" customHeight="1">
      <x:c r="A11" s="97" t="n">
        <x:v>10</x:v>
      </x:c>
      <x:c r="B11" s="98" t="n">
        <x:v>96</x:v>
      </x:c>
      <x:c r="C11" s="98" t="n">
        <x:v>96</x:v>
      </x:c>
      <x:c r="D11" s="98" t="n">
        <x:v>96</x:v>
      </x:c>
      <x:c r="E11" s="66" t="str">
        <x:v>de_k10_st01_…_app.html / …_orga.html</x:v>
      </x:c>
    </x:row>
    <x:row r="14">
      <x:c r="A14" s="105" t="str">
        <x:v>Ordner</x:v>
      </x:c>
      <x:c r="B14" s="106" t="str">
        <x:v>Inhalt</x:v>
      </x:c>
      <x:c r="C14" s="106" t="str">
        <x:v>Dateien</x:v>
      </x:c>
      <x:c r="D14" s="106" t="str">
        <x:v>Start</x:v>
      </x:c>
      <x:c r="E14" s="106" t="str">
        <x:v>Excel-Link</x:v>
      </x:c>
      <x:c r="F14" s="106" t="str">
        <x:v>Offline</x:v>
      </x:c>
      <x:c r="G14" s="106" t="str">
        <x:v>HSA/RSA</x:v>
      </x:c>
      <x:c r="H14" s="106" t="str">
        <x:v>Tafelbild</x:v>
      </x:c>
      <x:c r="I14" s="107" t="str">
        <x:v>Fortschritt</x:v>
      </x:c>
    </x:row>
    <x:row r="15" ht="48" customHeight="1">
      <x:c r="A15" s="111" t="str">
        <x:v>schueler</x:v>
      </x:c>
      <x:c r="B15" s="112" t="str">
        <x:v>Interaktive Lernmodule</x:v>
      </x:c>
      <x:c r="C15" s="112" t="n">
        <x:v>576</x:v>
      </x:c>
      <x:c r="D15" s="112" t="str">
        <x:v>über Excel oder index.html</x:v>
      </x:c>
      <x:c r="E15" s="112" t="str">
        <x:v>Spalte H</x:v>
      </x:c>
      <x:c r="F15" s="112" t="str">
        <x:v>ja</x:v>
      </x:c>
      <x:c r="G15" s="112" t="str">
        <x:v>dynamisch</x:v>
      </x:c>
      <x:c r="H15" s="112" t="str">
        <x:v>–</x:v>
      </x:c>
      <x:c r="I15" s="113" t="str">
        <x:v>Punkte-Dashboard</x:v>
      </x:c>
    </x:row>
    <x:row r="16" ht="48" customHeight="1">
      <x:c r="A16" s="114" t="str">
        <x:v>lehrer</x:v>
      </x:c>
      <x:c r="B16" s="115" t="str">
        <x:v>Unterrichtsvorbereitungen</x:v>
      </x:c>
      <x:c r="C16" s="115" t="n">
        <x:v>576</x:v>
      </x:c>
      <x:c r="D16" s="115" t="str">
        <x:v>über Excel oder index.html</x:v>
      </x:c>
      <x:c r="E16" s="115" t="str">
        <x:v>Spalte I</x:v>
      </x:c>
      <x:c r="F16" s="115" t="str">
        <x:v>ja</x:v>
      </x:c>
      <x:c r="G16" s="115" t="str">
        <x:v>Hinweise für beide Niveaus</x:v>
      </x:c>
      <x:c r="H16" s="115" t="str">
        <x:v>projizierbar</x:v>
      </x:c>
      <x:c r="I16" s="116" t="str">
        <x:v>Phasen-Häkchen</x:v>
      </x:c>
    </x:row>
    <x:row r="17" ht="48" customHeight="1">
      <x:c r="A17" s="117" t="str">
        <x:v>Wurzelordner</x:v>
      </x:c>
      <x:c r="B17" s="118" t="str">
        <x:v>Gesamtübersicht und Arbeitsmappe</x:v>
      </x:c>
      <x:c r="C17" s="118" t="n">
        <x:v>2</x:v>
      </x:c>
      <x:c r="D17" s="118" t="str">
        <x:v>index.html</x:v>
      </x:c>
      <x:c r="E17" s="118" t="str">
        <x:v>diese Datei</x:v>
      </x:c>
      <x:c r="F17" s="118" t="str">
        <x:v>ja</x:v>
      </x:c>
      <x:c r="G17" s="118" t="str">
        <x:v>–</x:v>
      </x:c>
      <x:c r="H17" s="118" t="str">
        <x:v>–</x:v>
      </x:c>
      <x:c r="I17" s="119" t="str">
        <x:v>–</x:v>
      </x:c>
    </x:row>
  </x:sheetData>
  <x:mergeCells>
    <x:mergeCell ref="A1:I1"/>
    <x:mergeCell ref="A3:I3"/>
  </x:mergeCells>
  <x:pageMargins left="0.7" right="0.7" top="0.75" bottom="0.75" header="0.3" footer="0.3"/>
  <x:drawing xmlns:r="http://schemas.openxmlformats.org/officeDocument/2006/relationships" r:id="Rb494723d61c84eb8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0" hidden="0" customWidth="1"/>
    <x:col min="4" max="4" width="42" hidden="0" customWidth="1"/>
    <x:col min="5" max="5" width="47" hidden="0" customWidth="1"/>
    <x:col min="6" max="6" width="47" hidden="0" customWidth="1"/>
    <x:col min="7" max="7" width="42" hidden="0" customWidth="1"/>
    <x:col min="8" max="8" width="22" hidden="0" customWidth="1"/>
    <x:col min="9" max="9" width="24" hidden="0" customWidth="1"/>
  </x:cols>
  <x:sheetData>
    <x:row r="1" ht="34" customHeight="1">
      <x:c r="A1" s="131" t="str">
        <x:v>Gesamtplan Deutsch Klassen 5 bis 10 mit Modulverknüpfungen</x:v>
      </x:c>
      <x:c r="B1" s="131"/>
      <x:c r="C1" s="131"/>
      <x:c r="D1" s="131"/>
      <x:c r="E1" s="131"/>
      <x:c r="F1" s="131"/>
      <x:c r="G1" s="131"/>
      <x:c r="H1" s="131"/>
      <x:c r="I1" s="131"/>
    </x:row>
    <x:row r="2" ht="42" customHeight="1">
      <x:c r="A2" s="13" t="str">
        <x:v>Jede Unterrichtsstunde ist mit einem Schüler-Lernmodul und einer Lehrer-Vorbereitung verknüpft. Die Links funktionieren, wenn die Excel-Datei neben den Ordnern „schueler“ und „lehrer“ liegt.</x:v>
      </x:c>
      <x:c r="B2" s="13"/>
      <x:c r="C2" s="13"/>
      <x:c r="D2" s="13"/>
      <x:c r="E2" s="13"/>
      <x:c r="F2" s="13"/>
      <x:c r="G2" s="13"/>
      <x:c r="H2" s="13"/>
      <x:c r="I2" s="13"/>
    </x:row>
    <x:row r="4" ht="42" customHeight="1">
      <x:c r="A4" s="135" t="str">
        <x:v>Klasse</x:v>
      </x:c>
      <x:c r="B4" s="136" t="str">
        <x:v>Lernbereich</x:v>
      </x:c>
      <x:c r="C4" s="136" t="str">
        <x:v>Stunde</x:v>
      </x:c>
      <x:c r="D4" s="136" t="str">
        <x:v>Thema der Unterrichtsstunde</x:v>
      </x:c>
      <x:c r="E4" s="136" t="str">
        <x:v>Inhalt HSA</x:v>
      </x:c>
      <x:c r="F4" s="136" t="str">
        <x:v>Inhalt RSA</x:v>
      </x:c>
      <x:c r="G4" s="136" t="str">
        <x:v>Modul-ID</x:v>
      </x:c>
      <x:c r="H4" s="136" t="str">
        <x:v>Schüler-Modul</x:v>
      </x:c>
      <x:c r="I4" s="137" t="str">
        <x:v>Lehrer-Vorbereitung</x:v>
      </x:c>
    </x:row>
    <x:row r="5" ht="65" customHeight="1">
      <x:c r="A5" s="141" t="n">
        <x:v>5</x:v>
      </x:c>
      <x:c r="B5" s="112" t="str">
        <x:v>Sprechen und Zuhören</x:v>
      </x:c>
      <x:c r="C5" s="147" t="n">
        <x:v>1</x:v>
      </x:c>
      <x:c r="D5" s="112" t="str">
        <x:v>Ankommen im Deutschunterricht: Vorwissen und Positionen klären</x:v>
      </x:c>
      <x:c r="E5" s="112" t="str">
        <x:v>Eigene Erfahrungen zu Lern- und Gesprächskultur benennen; zentrale Begriffe mit Beispielen klären. Basisniveau mit klaren Teilschritten, Wortlisten, Satzstartern und häufigen Sicherungen.</x:v>
      </x:c>
      <x:c r="F5" s="112" t="str">
        <x:v>Vorwissen zu Lern- und Gesprächskultur strukturieren; erste Positionen formulieren und mögliche Konflikte benennen. Erweiterungsniveau mit selbstständigerer Erschließung, zusätzlichen Belegen und begründeten Urteilen.</x:v>
      </x:c>
      <x:c r="G5" s="112" t="str">
        <x:v>de_k5_st01_ankommen_einstieg</x:v>
      </x:c>
      <x:c r="H5" s="174" t="e">
        <x:f>HYPERLINK("schueler/de_k5_st01_ankommen_einstieg_app.html","Lernmodul öffnen")</x:f>
      </x:c>
      <x:c r="I5" s="175" t="e">
        <x:f>HYPERLINK("lehrer/de_k5_st01_ankommen_einstieg_orga.html","Vorbereitung öffnen")</x:f>
      </x:c>
    </x:row>
    <x:row r="6" ht="65" customHeight="1">
      <x:c r="A6" s="142" t="n">
        <x:v>5</x:v>
      </x:c>
      <x:c r="B6" s="115" t="str">
        <x:v>Lesen/Umgang mit Texten</x:v>
      </x:c>
      <x:c r="C6" s="148" t="n">
        <x:v>2</x:v>
      </x:c>
      <x:c r="D6" s="115" t="str">
        <x:v>Ankommen im Deutschunterricht: Quellen und Materialien erschließen</x:v>
      </x:c>
      <x:c r="E6" s="115" t="str">
        <x:v>Kurze Materialien lesen oder ansehen; Hauptaussagen mit Leitfragen festhalten. Basisniveau mit klaren Teilschritten, Wortlisten, Satzstartern und häufigen Sicherungen.</x:v>
      </x:c>
      <x:c r="F6" s="115" t="str">
        <x:v>Unterschiedliche Materialien selbstständig erschließen; Aussage, Intention und Kontext bestimmen. Erweiterungsniveau mit selbstständigerer Erschließung, zusätzlichen Belegen und begründeten Urteilen.</x:v>
      </x:c>
      <x:c r="G6" s="115" t="str">
        <x:v>de_k5_st02_ankommen_quellen</x:v>
      </x:c>
      <x:c r="H6" s="176" t="e">
        <x:f>HYPERLINK("schueler/de_k5_st02_ankommen_quellen_app.html","Lernmodul öffnen")</x:f>
      </x:c>
      <x:c r="I6" s="177" t="e">
        <x:f>HYPERLINK("lehrer/de_k5_st02_ankommen_quellen_orga.html","Vorbereitung öffnen")</x:f>
      </x:c>
    </x:row>
    <x:row r="7" ht="65" customHeight="1">
      <x:c r="A7" s="142" t="n">
        <x:v>5</x:v>
      </x:c>
      <x:c r="B7" s="115" t="str">
        <x:v>Lesen/Umgang mit Texten</x:v>
      </x:c>
      <x:c r="C7" s="148" t="n">
        <x:v>3</x:v>
      </x:c>
      <x:c r="D7" s="115" t="str">
        <x:v>Ankommen im Deutschunterricht: Qualitätskriterien anwenden</x:v>
      </x:c>
      <x:c r="E7" s="115" t="str">
        <x:v>Gesprächsregeln, aktives Zuhören, Heftführung in einer Checkliste anwenden und Auffälligkeiten markieren. Basisniveau mit klaren Teilschritten, Wortlisten, Satzstartern und häufigen Sicherungen.</x:v>
      </x:c>
      <x:c r="F7" s="115" t="str">
        <x:v>Gesprächsregeln, aktives Zuhören, Heftführung gewichten, auf Grenzfälle anwenden und begründete Qualitätsurteile formulieren. Erweiterungsniveau mit selbstständigerer Erschließung, zusätzlichen Belegen und begründeten Urteilen.</x:v>
      </x:c>
      <x:c r="G7" s="115" t="str">
        <x:v>de_k5_st03_ankommen_kriterien</x:v>
      </x:c>
      <x:c r="H7" s="176" t="e">
        <x:f>HYPERLINK("schueler/de_k5_st03_ankommen_kriterien_app.html","Lernmodul öffnen")</x:f>
      </x:c>
      <x:c r="I7" s="177" t="e">
        <x:f>HYPERLINK("lehrer/de_k5_st03_ankommen_kriterien_orga.html","Vorbereitung öffnen")</x:f>
      </x:c>
    </x:row>
    <x:row r="8" ht="65" customHeight="1">
      <x:c r="A8" s="142" t="n">
        <x:v>5</x:v>
      </x:c>
      <x:c r="B8" s="115" t="str">
        <x:v>Lesen/Umgang mit Texten</x:v>
      </x:c>
      <x:c r="C8" s="148" t="n">
        <x:v>4</x:v>
      </x:c>
      <x:c r="D8" s="115" t="str">
        <x:v>Ankommen im Deutschunterricht: Darstellungen vergleichen</x:v>
      </x:c>
      <x:c r="E8" s="115" t="str">
        <x:v>Eigene und fremde lernwege nach vorgegebenen Merkmalen vergleichen. Basisniveau mit klaren Teilschritten, Wortlisten, Satzstartern und häufigen Sicherungen.</x:v>
      </x:c>
      <x:c r="F8" s="115" t="str">
        <x:v>Eigene und fremde lernwege hinsichtlich Informationsauswahl, Gestaltung, Wirkung und Interessen vergleichen. Erweiterungsniveau mit selbstständigerer Erschließung, zusätzlichen Belegen und begründeten Urteilen.</x:v>
      </x:c>
      <x:c r="G8" s="115" t="str">
        <x:v>de_k5_st04_ankommen_vergleichen</x:v>
      </x:c>
      <x:c r="H8" s="176" t="e">
        <x:f>HYPERLINK("schueler/de_k5_st04_ankommen_vergleichen_app.html","Lernmodul öffnen")</x:f>
      </x:c>
      <x:c r="I8" s="177" t="e">
        <x:f>HYPERLINK("lehrer/de_k5_st04_ankommen_vergleichen_orga.html","Vorbereitung öffnen")</x:f>
      </x:c>
    </x:row>
    <x:row r="9" ht="65" customHeight="1">
      <x:c r="A9" s="142" t="n">
        <x:v>5</x:v>
      </x:c>
      <x:c r="B9" s="115" t="str">
        <x:v>Schreiben</x:v>
      </x:c>
      <x:c r="C9" s="148" t="n">
        <x:v>5</x:v>
      </x:c>
      <x:c r="D9" s="115" t="str">
        <x:v>Ankommen im Deutschunterricht: Informationen prüfen und ordnen</x:v>
      </x:c>
      <x:c r="E9" s="115" t="str">
        <x:v>Informationen aus vorgegebenen Quellen auswählen; Fundstellen notieren und geordnet ablegen. Basisniveau mit klaren Teilschritten, Wortlisten, Satzstartern und häufigen Sicherungen.</x:v>
      </x:c>
      <x:c r="F9" s="115" t="str">
        <x:v>Recherchefrage entwickeln; Quellen prüfen, Informationen abgleichen und korrekt dokumentieren. Erweiterungsniveau mit selbstständigerer Erschließung, zusätzlichen Belegen und begründeten Urteilen.</x:v>
      </x:c>
      <x:c r="G9" s="115" t="str">
        <x:v>de_k5_st05_ankommen_recherche</x:v>
      </x:c>
      <x:c r="H9" s="176" t="e">
        <x:f>HYPERLINK("schueler/de_k5_st05_ankommen_recherche_app.html","Lernmodul öffnen")</x:f>
      </x:c>
      <x:c r="I9" s="177" t="e">
        <x:f>HYPERLINK("lehrer/de_k5_st05_ankommen_recherche_orga.html","Vorbereitung öffnen")</x:f>
      </x:c>
    </x:row>
    <x:row r="10" ht="65" customHeight="1">
      <x:c r="A10" s="142" t="n">
        <x:v>5</x:v>
      </x:c>
      <x:c r="B10" s="115" t="str">
        <x:v>Schreiben</x:v>
      </x:c>
      <x:c r="C10" s="148" t="n">
        <x:v>6</x:v>
      </x:c>
      <x:c r="D10" s="115" t="str">
        <x:v>Ankommen im Deutschunterricht: Produkt planen</x:v>
      </x:c>
      <x:c r="E10" s="115" t="str">
        <x:v>Für persönlicher Lernplan einen vorgegebenen Arbeitsplan ergänzen; Aufgaben verteilen. Basisniveau mit klaren Teilschritten, Wortlisten, Satzstartern und häufigen Sicherungen.</x:v>
      </x:c>
      <x:c r="F10" s="115" t="str">
        <x:v>Für persönlicher Lernplan Zielgruppe, Aufbau, Medienwahl, Zeitplan und Qualitätskontrolle selbstständig festlegen. Erweiterungsniveau mit selbstständigerer Erschließung, zusätzlichen Belegen und begründeten Urteilen.</x:v>
      </x:c>
      <x:c r="G10" s="115" t="str">
        <x:v>de_k5_st06_ankommen_planen</x:v>
      </x:c>
      <x:c r="H10" s="176" t="e">
        <x:f>HYPERLINK("schueler/de_k5_st06_ankommen_planen_app.html","Lernmodul öffnen")</x:f>
      </x:c>
      <x:c r="I10" s="177" t="e">
        <x:f>HYPERLINK("lehrer/de_k5_st06_ankommen_planen_orga.html","Vorbereitung öffnen")</x:f>
      </x:c>
    </x:row>
    <x:row r="11" ht="65" customHeight="1">
      <x:c r="A11" s="142" t="n">
        <x:v>5</x:v>
      </x:c>
      <x:c r="B11" s="115" t="str">
        <x:v>Schreiben</x:v>
      </x:c>
      <x:c r="C11" s="148" t="n">
        <x:v>7</x:v>
      </x:c>
      <x:c r="D11" s="115" t="str">
        <x:v>Ankommen im Deutschunterricht: Produkt erstellen</x:v>
      </x:c>
      <x:c r="E11" s="115" t="str">
        <x:v>Persönlicher lernplan mit Vorlage und klaren Teilaufträgen erstellen. Basisniveau mit klaren Teilschritten, Wortlisten, Satzstartern und häufigen Sicherungen.</x:v>
      </x:c>
      <x:c r="F11" s="115" t="str">
        <x:v>Persönlicher lernplan selbstständig, adressatengerecht und quellenbewusst erstellen. Erweiterungsniveau mit selbstständigerer Erschließung, zusätzlichen Belegen und begründeten Urteilen.</x:v>
      </x:c>
      <x:c r="G11" s="115" t="str">
        <x:v>de_k5_st07_ankommen_erstellen</x:v>
      </x:c>
      <x:c r="H11" s="176" t="e">
        <x:f>HYPERLINK("schueler/de_k5_st07_ankommen_erstellen_app.html","Lernmodul öffnen")</x:f>
      </x:c>
      <x:c r="I11" s="177" t="e">
        <x:f>HYPERLINK("lehrer/de_k5_st07_ankommen_erstellen_orga.html","Vorbereitung öffnen")</x:f>
      </x:c>
    </x:row>
    <x:row r="12" ht="65" customHeight="1">
      <x:c r="A12" s="142" t="n">
        <x:v>5</x:v>
      </x:c>
      <x:c r="B12" s="115" t="str">
        <x:v>Sprechen und Zuhören</x:v>
      </x:c>
      <x:c r="C12" s="148" t="n">
        <x:v>8</x:v>
      </x:c>
      <x:c r="D12" s="115" t="str">
        <x:v>Ankommen im Deutschunterricht: präsentieren und reflektieren</x:v>
      </x:c>
      <x:c r="E12" s="115" t="str">
        <x:v>Produkt kurz vorstellen; Rückmeldung anhand weniger Kriterien geben und annehmen. Basisniveau mit klaren Teilschritten, Wortlisten, Satzstartern und häufigen Sicherungen.</x:v>
      </x:c>
      <x:c r="F12" s="115" t="str">
        <x:v>Produkt überzeugend präsentieren; Arbeitsprozess, Quellenwahl und Wirkung kritisch reflektieren. Erweiterungsniveau mit selbstständigerer Erschließung, zusätzlichen Belegen und begründeten Urteilen.</x:v>
      </x:c>
      <x:c r="G12" s="115" t="str">
        <x:v>de_k5_st08_ankommen_reflexion</x:v>
      </x:c>
      <x:c r="H12" s="176" t="e">
        <x:f>HYPERLINK("schueler/de_k5_st08_ankommen_reflexion_app.html","Lernmodul öffnen")</x:f>
      </x:c>
      <x:c r="I12" s="177" t="e">
        <x:f>HYPERLINK("lehrer/de_k5_st08_ankommen_reflexion_orga.html","Vorbereitung öffnen")</x:f>
      </x:c>
    </x:row>
    <x:row r="13" ht="65" customHeight="1">
      <x:c r="A13" s="142" t="n">
        <x:v>5</x:v>
      </x:c>
      <x:c r="B13" s="115" t="str">
        <x:v>Lesen/Umgang mit Texten</x:v>
      </x:c>
      <x:c r="C13" s="148" t="n">
        <x:v>9</x:v>
      </x:c>
      <x:c r="D13" s="115" t="str">
        <x:v>Erlebnisse anschaulich erzählen: Beispieltexte untersuchen</x:v>
      </x:c>
      <x:c r="E13" s="115" t="str">
        <x:v>Ein Beispiel für Erlebniserzählung lesen; Aufbau und typische Formulierungen farbig kennzeichnen. Basisniveau mit klaren Teilschritten, Wortlisten, Satzstartern und häufigen Sicherungen.</x:v>
      </x:c>
      <x:c r="F13" s="115" t="str">
        <x:v>Mehrere Beispiele für Erlebniserzählung vergleichen; Funktion, Adressat und Qualitätsunterschiede herausarbeiten. Erweiterungsniveau mit selbstständigerer Erschließung, zusätzlichen Belegen und begründeten Urteilen.</x:v>
      </x:c>
      <x:c r="G13" s="115" t="str">
        <x:v>de_k5_st09_erzaehlen_beispiel</x:v>
      </x:c>
      <x:c r="H13" s="176" t="e">
        <x:f>HYPERLINK("schueler/de_k5_st09_erzaehlen_beispiel_app.html","Lernmodul öffnen")</x:f>
      </x:c>
      <x:c r="I13" s="177" t="e">
        <x:f>HYPERLINK("lehrer/de_k5_st09_erzaehlen_beispiel_orga.html","Vorbereitung öffnen")</x:f>
      </x:c>
    </x:row>
    <x:row r="14" ht="65" customHeight="1">
      <x:c r="A14" s="142" t="n">
        <x:v>5</x:v>
      </x:c>
      <x:c r="B14" s="115" t="str">
        <x:v>Schreiben</x:v>
      </x:c>
      <x:c r="C14" s="148" t="n">
        <x:v>10</x:v>
      </x:c>
      <x:c r="D14" s="115" t="str">
        <x:v>Erlebnisse anschaulich erzählen: Schreibziel und Kriterien klären</x:v>
      </x:c>
      <x:c r="E14" s="115" t="str">
        <x:v>Schreibziel „ein Erlebnis verständlich und spannend wiedergeben“ verstehen; eine kurze Kriterienliste auf ein Beispiel anwenden. Basisniveau mit klaren Teilschritten, Wortlisten, Satzstartern und häufigen Sicherungen.</x:v>
      </x:c>
      <x:c r="F14" s="115" t="str">
        <x:v>Schreibziel „ein Erlebnis verständlich und spannend wiedergeben“ präzisieren; Kriterien gewichten und auf unterschiedliche Schreibsituationen übertragen. Erweiterungsniveau mit selbstständigerer Erschließung, zusätzlichen Belegen und begründeten Urteilen.</x:v>
      </x:c>
      <x:c r="G14" s="115" t="str">
        <x:v>de_k5_st10_erzaehlen_kriterien</x:v>
      </x:c>
      <x:c r="H14" s="176" t="e">
        <x:f>HYPERLINK("schueler/de_k5_st10_erzaehlen_kriterien_app.html","Lernmodul öffnen")</x:f>
      </x:c>
      <x:c r="I14" s="177" t="e">
        <x:f>HYPERLINK("lehrer/de_k5_st10_erzaehlen_kriterien_orga.html","Vorbereitung öffnen")</x:f>
      </x:c>
    </x:row>
    <x:row r="15" ht="65" customHeight="1">
      <x:c r="A15" s="142" t="n">
        <x:v>5</x:v>
      </x:c>
      <x:c r="B15" s="115" t="str">
        <x:v>Lesen/Umgang mit Texten</x:v>
      </x:c>
      <x:c r="C15" s="148" t="n">
        <x:v>11</x:v>
      </x:c>
      <x:c r="D15" s="115" t="str">
        <x:v>Erlebnisse anschaulich erzählen: Inhalte auswählen und ordnen</x:v>
      </x:c>
      <x:c r="E15" s="115" t="str">
        <x:v>Erzählkern, Reihenfolge, Höhepunkt mit Leitfragen sammeln und in einer vorgegebenen Reihenfolge ordnen. Basisniveau mit klaren Teilschritten, Wortlisten, Satzstartern und häufigen Sicherungen.</x:v>
      </x:c>
      <x:c r="F15" s="115" t="str">
        <x:v>Erzählkern, Reihenfolge, Höhepunkt selbstständig auswählen, gewichten und in einer passenden Gliederung strukturieren. Erweiterungsniveau mit selbstständigerer Erschließung, zusätzlichen Belegen und begründeten Urteilen.</x:v>
      </x:c>
      <x:c r="G15" s="115" t="str">
        <x:v>de_k5_st11_erzaehlen_inhalte_ordnen</x:v>
      </x:c>
      <x:c r="H15" s="176" t="e">
        <x:f>HYPERLINK("schueler/de_k5_st11_erzaehlen_inhalte_ordnen_app.html","Lernmodul öffnen")</x:f>
      </x:c>
      <x:c r="I15" s="177" t="e">
        <x:f>HYPERLINK("lehrer/de_k5_st11_erzaehlen_inhalte_ordnen_orga.html","Vorbereitung öffnen")</x:f>
      </x:c>
    </x:row>
    <x:row r="16" ht="65" customHeight="1">
      <x:c r="A16" s="142" t="n">
        <x:v>5</x:v>
      </x:c>
      <x:c r="B16" s="115" t="str">
        <x:v>Sprache untersuchen</x:v>
      </x:c>
      <x:c r="C16" s="148" t="n">
        <x:v>12</x:v>
      </x:c>
      <x:c r="D16" s="115" t="str">
        <x:v>Erlebnisse anschaulich erzählen: passende sprachliche Mittel verwenden</x:v>
      </x:c>
      <x:c r="E16" s="115" t="str">
        <x:v>treffende Verben, Satzanfänge, wörtliche Rede in Übungen erkennen und nach Satzmustern anwenden. Basisniveau mit klaren Teilschritten, Wortlisten, Satzstartern und häufigen Sicherungen.</x:v>
      </x:c>
      <x:c r="F16" s="115" t="str">
        <x:v>treffende Verben, Satzanfänge, wörtliche Rede hinsichtlich Wirkung und Angemessenheit prüfen und gezielt variieren. Erweiterungsniveau mit selbstständigerer Erschließung, zusätzlichen Belegen und begründeten Urteilen.</x:v>
      </x:c>
      <x:c r="G16" s="115" t="str">
        <x:v>de_k5_st12_erzaehlen_sprachmittel</x:v>
      </x:c>
      <x:c r="H16" s="176" t="e">
        <x:f>HYPERLINK("schueler/de_k5_st12_erzaehlen_sprachmittel_app.html","Lernmodul öffnen")</x:f>
      </x:c>
      <x:c r="I16" s="177" t="e">
        <x:f>HYPERLINK("lehrer/de_k5_st12_erzaehlen_sprachmittel_orga.html","Vorbereitung öffnen")</x:f>
      </x:c>
    </x:row>
    <x:row r="17" ht="65" customHeight="1">
      <x:c r="A17" s="142" t="n">
        <x:v>5</x:v>
      </x:c>
      <x:c r="B17" s="115" t="str">
        <x:v>Schreiben</x:v>
      </x:c>
      <x:c r="C17" s="148" t="n">
        <x:v>13</x:v>
      </x:c>
      <x:c r="D17" s="115" t="str">
        <x:v>Erlebnisse anschaulich erzählen: einen Schreibplan erstellen</x:v>
      </x:c>
      <x:c r="E17" s="115" t="str">
        <x:v>Einen vorstrukturierten Schreibplan ausfüllen; Einleitung, Hauptteil und Schluss festlegen. Basisniveau mit klaren Teilschritten, Wortlisten, Satzstartern und häufigen Sicherungen.</x:v>
      </x:c>
      <x:c r="F17" s="115" t="str">
        <x:v>Einen eigenen Schreibplan mit Teilzielen, Belegen und sprachlichen Mitteln entwickeln. Erweiterungsniveau mit selbstständigerer Erschließung, zusätzlichen Belegen und begründeten Urteilen.</x:v>
      </x:c>
      <x:c r="G17" s="115" t="str">
        <x:v>de_k5_st13_erzaehlen_schreibplan</x:v>
      </x:c>
      <x:c r="H17" s="176" t="e">
        <x:f>HYPERLINK("schueler/de_k5_st13_erzaehlen_schreibplan_app.html","Lernmodul öffnen")</x:f>
      </x:c>
      <x:c r="I17" s="177" t="e">
        <x:f>HYPERLINK("lehrer/de_k5_st13_erzaehlen_schreibplan_orga.html","Vorbereitung öffnen")</x:f>
      </x:c>
    </x:row>
    <x:row r="18" ht="65" customHeight="1">
      <x:c r="A18" s="142" t="n">
        <x:v>5</x:v>
      </x:c>
      <x:c r="B18" s="115" t="str">
        <x:v>Schreiben</x:v>
      </x:c>
      <x:c r="C18" s="148" t="n">
        <x:v>14</x:v>
      </x:c>
      <x:c r="D18" s="115" t="str">
        <x:v>Erlebnisse anschaulich erzählen: einen ersten Textentwurf verfassen</x:v>
      </x:c>
      <x:c r="E18" s="115" t="str">
        <x:v>Überarbeitete erlebniserzählung mithilfe von Schreibrahmen, Satzanfängen und Wortbank verfassen. Basisniveau mit klaren Teilschritten, Wortlisten, Satzstartern und häufigen Sicherungen.</x:v>
      </x:c>
      <x:c r="F18" s="115" t="str">
        <x:v>Überarbeitete erlebniserzählung selbstständig, adressatenbezogen und sprachlich differenziert verfassen. Erweiterungsniveau mit selbstständigerer Erschließung, zusätzlichen Belegen und begründeten Urteilen.</x:v>
      </x:c>
      <x:c r="G18" s="115" t="str">
        <x:v>de_k5_st14_erzaehlen_entwurf</x:v>
      </x:c>
      <x:c r="H18" s="176" t="e">
        <x:f>HYPERLINK("schueler/de_k5_st14_erzaehlen_entwurf_app.html","Lernmodul öffnen")</x:f>
      </x:c>
      <x:c r="I18" s="177" t="e">
        <x:f>HYPERLINK("lehrer/de_k5_st14_erzaehlen_entwurf_orga.html","Vorbereitung öffnen")</x:f>
      </x:c>
    </x:row>
    <x:row r="19" ht="65" customHeight="1">
      <x:c r="A19" s="142" t="n">
        <x:v>5</x:v>
      </x:c>
      <x:c r="B19" s="115" t="str">
        <x:v>Schreiben</x:v>
      </x:c>
      <x:c r="C19" s="148" t="n">
        <x:v>15</x:v>
      </x:c>
      <x:c r="D19" s="115" t="str">
        <x:v>Erlebnisse anschaulich erzählen: Text kriteriengeleitet überarbeiten</x:v>
      </x:c>
      <x:c r="E19" s="115" t="str">
        <x:v>Text mit einer kurzen Prüfliste überarbeiten; einen inhaltlichen und einen sprachlichen Fehler verbessern. Basisniveau mit klaren Teilschritten, Wortlisten, Satzstartern und häufigen Sicherungen.</x:v>
      </x:c>
      <x:c r="F19" s="115" t="str">
        <x:v>Text in mehreren Überarbeitungsschritten prüfen; Aufbau, Kohärenz, Stil und Normrichtigkeit gezielt optimieren. Erweiterungsniveau mit selbstständigerer Erschließung, zusätzlichen Belegen und begründeten Urteilen.</x:v>
      </x:c>
      <x:c r="G19" s="115" t="str">
        <x:v>de_k5_st15_erzaehlen_ueberarbeiten</x:v>
      </x:c>
      <x:c r="H19" s="176" t="e">
        <x:f>HYPERLINK("schueler/de_k5_st15_erzaehlen_ueberarbeiten_app.html","Lernmodul öffnen")</x:f>
      </x:c>
      <x:c r="I19" s="177" t="e">
        <x:f>HYPERLINK("lehrer/de_k5_st15_erzaehlen_ueberarbeiten_orga.html","Vorbereitung öffnen")</x:f>
      </x:c>
    </x:row>
    <x:row r="20" ht="65" customHeight="1">
      <x:c r="A20" s="142" t="n">
        <x:v>5</x:v>
      </x:c>
      <x:c r="B20" s="115" t="str">
        <x:v>Sprechen und Zuhören</x:v>
      </x:c>
      <x:c r="C20" s="148" t="n">
        <x:v>16</x:v>
      </x:c>
      <x:c r="D20" s="115" t="str">
        <x:v>Erlebnisse anschaulich erzählen: Texte vorstellen und bewerten</x:v>
      </x:c>
      <x:c r="E20" s="115" t="str">
        <x:v>Ausgewählte Passage vorlesen oder erläutern; Rückmeldung mit einfachen Satzmustern geben. Basisniveau mit klaren Teilschritten, Wortlisten, Satzstartern und häufigen Sicherungen.</x:v>
      </x:c>
      <x:c r="F20" s="115" t="str">
        <x:v>Textwirkung und Schreibentscheidungen erläutern; differenziertes Peer-Feedback geben und begründet annehmen. Erweiterungsniveau mit selbstständigerer Erschließung, zusätzlichen Belegen und begründeten Urteilen.</x:v>
      </x:c>
      <x:c r="G20" s="115" t="str">
        <x:v>de_k5_st16_erzaehlen_vorstellen</x:v>
      </x:c>
      <x:c r="H20" s="176" t="e">
        <x:f>HYPERLINK("schueler/de_k5_st16_erzaehlen_vorstellen_app.html","Lernmodul öffnen")</x:f>
      </x:c>
      <x:c r="I20" s="177" t="e">
        <x:f>HYPERLINK("lehrer/de_k5_st16_erzaehlen_vorstellen_orga.html","Vorbereitung öffnen")</x:f>
      </x:c>
    </x:row>
    <x:row r="21" ht="65" customHeight="1">
      <x:c r="A21" s="142" t="n">
        <x:v>5</x:v>
      </x:c>
      <x:c r="B21" s="115" t="str">
        <x:v>Sprache untersuchen</x:v>
      </x:c>
      <x:c r="C21" s="148" t="n">
        <x:v>17</x:v>
      </x:c>
      <x:c r="D21" s="115" t="str">
        <x:v>Wortarten als Bausteine des Satzes: Lernstand feststellen</x:v>
      </x:c>
      <x:c r="E21" s="115" t="str">
        <x:v>Kurze Diagnose zu Nomen, Verben, Adjektive und Pronomen bearbeiten; eigene Unsicherheiten markieren. Basisniveau mit klaren Teilschritten, Wortlisten, Satzstartern und häufigen Sicherungen.</x:v>
      </x:c>
      <x:c r="F21" s="115" t="str">
        <x:v>Diagnose zu Nomen, Verben, Adjektive und Pronomen auswerten; Fehlermuster benennen und persönliche Lernziele ableiten. Erweiterungsniveau mit selbstständigerer Erschließung, zusätzlichen Belegen und begründeten Urteilen.</x:v>
      </x:c>
      <x:c r="G21" s="115" t="str">
        <x:v>de_k5_st17_wortarten_diagnose</x:v>
      </x:c>
      <x:c r="H21" s="176" t="e">
        <x:f>HYPERLINK("schueler/de_k5_st17_wortarten_diagnose_app.html","Lernmodul öffnen")</x:f>
      </x:c>
      <x:c r="I21" s="177" t="e">
        <x:f>HYPERLINK("lehrer/de_k5_st17_wortarten_diagnose_orga.html","Vorbereitung öffnen")</x:f>
      </x:c>
    </x:row>
    <x:row r="22" ht="65" customHeight="1">
      <x:c r="A22" s="142" t="n">
        <x:v>5</x:v>
      </x:c>
      <x:c r="B22" s="115" t="str">
        <x:v>Sprache untersuchen</x:v>
      </x:c>
      <x:c r="C22" s="148" t="n">
        <x:v>18</x:v>
      </x:c>
      <x:c r="D22" s="115" t="str">
        <x:v>Wortarten als Bausteine des Satzes: Grundbegriffe sichern</x:v>
      </x:c>
      <x:c r="E22" s="115" t="str">
        <x:v>Begleiterprobe, Konjugation, Steigerung, Stellvertreterfunktion an einfachen Beispielen erkennen und mit Merkkarten sichern. Basisniveau mit klaren Teilschritten, Wortlisten, Satzstartern und häufigen Sicherungen.</x:v>
      </x:c>
      <x:c r="F22" s="115" t="str">
        <x:v>Begleiterprobe, Konjugation, Steigerung, Stellvertreterfunktion fachsprachlich erklären, voneinander abgrenzen und in komplexeren Beispielen bestimmen. Erweiterungsniveau mit selbstständigerer Erschließung, zusätzlichen Belegen und begründeten Urteilen.</x:v>
      </x:c>
      <x:c r="G22" s="115" t="str">
        <x:v>de_k5_st18_wortarten_grundbegriffe</x:v>
      </x:c>
      <x:c r="H22" s="176" t="e">
        <x:f>HYPERLINK("schueler/de_k5_st18_wortarten_grundbegriffe_app.html","Lernmodul öffnen")</x:f>
      </x:c>
      <x:c r="I22" s="177" t="e">
        <x:f>HYPERLINK("lehrer/de_k5_st18_wortarten_grundbegriffe_orga.html","Vorbereitung öffnen")</x:f>
      </x:c>
    </x:row>
    <x:row r="23" ht="65" customHeight="1">
      <x:c r="A23" s="142" t="n">
        <x:v>5</x:v>
      </x:c>
      <x:c r="B23" s="115" t="str">
        <x:v>Sprache untersuchen</x:v>
      </x:c>
      <x:c r="C23" s="148" t="n">
        <x:v>19</x:v>
      </x:c>
      <x:c r="D23" s="115" t="str">
        <x:v>Wortarten als Bausteine des Satzes: Verfahren anwenden</x:v>
      </x:c>
      <x:c r="E23" s="115" t="str">
        <x:v>Wortartenproben Schritt für Schritt anwenden; Entscheidungen mündlich begründen. Basisniveau mit klaren Teilschritten, Wortlisten, Satzstartern und häufigen Sicherungen.</x:v>
      </x:c>
      <x:c r="F23" s="115" t="str">
        <x:v>Wortartenproben selbstständig auswählen, kombinieren und auf Zweifelsfälle übertragen. Erweiterungsniveau mit selbstständigerer Erschließung, zusätzlichen Belegen und begründeten Urteilen.</x:v>
      </x:c>
      <x:c r="G23" s="115" t="str">
        <x:v>de_k5_st19_wortarten_verfahren</x:v>
      </x:c>
      <x:c r="H23" s="176" t="e">
        <x:f>HYPERLINK("schueler/de_k5_st19_wortarten_verfahren_app.html","Lernmodul öffnen")</x:f>
      </x:c>
      <x:c r="I23" s="177" t="e">
        <x:f>HYPERLINK("lehrer/de_k5_st19_wortarten_verfahren_orga.html","Vorbereitung öffnen")</x:f>
      </x:c>
    </x:row>
    <x:row r="24" ht="65" customHeight="1">
      <x:c r="A24" s="142" t="n">
        <x:v>5</x:v>
      </x:c>
      <x:c r="B24" s="115" t="str">
        <x:v>Sprache untersuchen</x:v>
      </x:c>
      <x:c r="C24" s="148" t="n">
        <x:v>20</x:v>
      </x:c>
      <x:c r="D24" s="115" t="str">
        <x:v>Wortarten als Bausteine des Satzes: Formen und Funktionen untersuchen</x:v>
      </x:c>
      <x:c r="E24" s="115" t="str">
        <x:v>Formen bilden und ihre Aufgabe im Satz mit Leitfragen beschreiben. Basisniveau mit klaren Teilschritten, Wortlisten, Satzstartern und häufigen Sicherungen.</x:v>
      </x:c>
      <x:c r="F24" s="115" t="str">
        <x:v>Form, Funktion und Wirkung im Satz oder Text untersuchen; alternative Formulierungen vergleichen. Erweiterungsniveau mit selbstständigerer Erschließung, zusätzlichen Belegen und begründeten Urteilen.</x:v>
      </x:c>
      <x:c r="G24" s="115" t="str">
        <x:v>de_k5_st20_wortarten_funktion</x:v>
      </x:c>
      <x:c r="H24" s="176" t="e">
        <x:f>HYPERLINK("schueler/de_k5_st20_wortarten_funktion_app.html","Lernmodul öffnen")</x:f>
      </x:c>
      <x:c r="I24" s="177" t="e">
        <x:f>HYPERLINK("lehrer/de_k5_st20_wortarten_funktion_orga.html","Vorbereitung öffnen")</x:f>
      </x:c>
    </x:row>
    <x:row r="25" ht="65" customHeight="1">
      <x:c r="A25" s="142" t="n">
        <x:v>5</x:v>
      </x:c>
      <x:c r="B25" s="115" t="str">
        <x:v>Schreiben</x:v>
      </x:c>
      <x:c r="C25" s="148" t="n">
        <x:v>21</x:v>
      </x:c>
      <x:c r="D25" s="115" t="str">
        <x:v>Wortarten als Bausteine des Satzes: Wissen im eigenen Text nutzen</x:v>
      </x:c>
      <x:c r="E25" s="115" t="str">
        <x:v>Eigene sätze und kurze texte nach Vorgabe verfassen und die geübten Strukturen farbig markieren. Basisniveau mit klaren Teilschritten, Wortlisten, Satzstartern und häufigen Sicherungen.</x:v>
      </x:c>
      <x:c r="F25" s="115" t="str">
        <x:v>Eigene sätze und kurze texte bewusst gestalten und sprachliche Entscheidungen kommentieren. Erweiterungsniveau mit selbstständigerer Erschließung, zusätzlichen Belegen und begründeten Urteilen.</x:v>
      </x:c>
      <x:c r="G25" s="115" t="str">
        <x:v>de_k5_st21_wortarten_anwenden</x:v>
      </x:c>
      <x:c r="H25" s="176" t="e">
        <x:f>HYPERLINK("schueler/de_k5_st21_wortarten_anwenden_app.html","Lernmodul öffnen")</x:f>
      </x:c>
      <x:c r="I25" s="177" t="e">
        <x:f>HYPERLINK("lehrer/de_k5_st21_wortarten_anwenden_orga.html","Vorbereitung öffnen")</x:f>
      </x:c>
    </x:row>
    <x:row r="26" ht="65" customHeight="1">
      <x:c r="A26" s="142" t="n">
        <x:v>5</x:v>
      </x:c>
      <x:c r="B26" s="115" t="str">
        <x:v>Sprache untersuchen</x:v>
      </x:c>
      <x:c r="C26" s="148" t="n">
        <x:v>22</x:v>
      </x:c>
      <x:c r="D26" s="115" t="str">
        <x:v>Wortarten als Bausteine des Satzes: Fehler finden und korrigieren</x:v>
      </x:c>
      <x:c r="E26" s="115" t="str">
        <x:v>Typische Fehler in kurzen Sätzen finden; passende Regelkarte auswählen und korrigieren. Basisniveau mit klaren Teilschritten, Wortlisten, Satzstartern und häufigen Sicherungen.</x:v>
      </x:c>
      <x:c r="F26" s="115" t="str">
        <x:v>Fehler systematisch diagnostizieren, Regelbezug herstellen und mehrere Korrekturmöglichkeiten bewerten. Erweiterungsniveau mit selbstständigerer Erschließung, zusätzlichen Belegen und begründeten Urteilen.</x:v>
      </x:c>
      <x:c r="G26" s="115" t="str">
        <x:v>de_k5_st22_wortarten_fehler</x:v>
      </x:c>
      <x:c r="H26" s="176" t="e">
        <x:f>HYPERLINK("schueler/de_k5_st22_wortarten_fehler_app.html","Lernmodul öffnen")</x:f>
      </x:c>
      <x:c r="I26" s="177" t="e">
        <x:f>HYPERLINK("lehrer/de_k5_st22_wortarten_fehler_orga.html","Vorbereitung öffnen")</x:f>
      </x:c>
    </x:row>
    <x:row r="27" ht="65" customHeight="1">
      <x:c r="A27" s="142" t="n">
        <x:v>5</x:v>
      </x:c>
      <x:c r="B27" s="115" t="str">
        <x:v>Sprache untersuchen</x:v>
      </x:c>
      <x:c r="C27" s="148" t="n">
        <x:v>23</x:v>
      </x:c>
      <x:c r="D27" s="115" t="str">
        <x:v>Wortarten als Bausteine des Satzes: Transfer auf unbekannte Beispiele</x:v>
      </x:c>
      <x:c r="E27" s="115" t="str">
        <x:v>Neue Beispiele mit Hilfekarte bearbeiten und Lösungen vergleichen. Basisniveau mit klaren Teilschritten, Wortlisten, Satzstartern und häufigen Sicherungen.</x:v>
      </x:c>
      <x:c r="F27" s="115" t="str">
        <x:v>Unbekannte und mehrdeutige Beispiele selbstständig analysieren; Grenzfälle begründet diskutieren. Erweiterungsniveau mit selbstständigerer Erschließung, zusätzlichen Belegen und begründeten Urteilen.</x:v>
      </x:c>
      <x:c r="G27" s="115" t="str">
        <x:v>de_k5_st23_wortarten_transfer</x:v>
      </x:c>
      <x:c r="H27" s="176" t="e">
        <x:f>HYPERLINK("schueler/de_k5_st23_wortarten_transfer_app.html","Lernmodul öffnen")</x:f>
      </x:c>
      <x:c r="I27" s="177" t="e">
        <x:f>HYPERLINK("lehrer/de_k5_st23_wortarten_transfer_orga.html","Vorbereitung öffnen")</x:f>
      </x:c>
    </x:row>
    <x:row r="28" ht="65" customHeight="1">
      <x:c r="A28" s="142" t="n">
        <x:v>5</x:v>
      </x:c>
      <x:c r="B28" s="115" t="str">
        <x:v>Schreiben</x:v>
      </x:c>
      <x:c r="C28" s="148" t="n">
        <x:v>24</x:v>
      </x:c>
      <x:c r="D28" s="115" t="str">
        <x:v>Wortarten als Bausteine des Satzes: Lernprodukt und Kompetenzcheck</x:v>
      </x:c>
      <x:c r="E28" s="115" t="str">
        <x:v>Merkblatt oder Übungstext erstellen; Grundregeln in einem kurzen Kompetenzcheck anwenden. Basisniveau mit klaren Teilschritten, Wortlisten, Satzstartern und häufigen Sicherungen.</x:v>
      </x:c>
      <x:c r="F28" s="115" t="str">
        <x:v>Erklärprodukt mit eigenen Beispielen erstellen; Regeln in einem anspruchsvollen Kompetenzcheck sicher anwenden. Erweiterungsniveau mit selbstständigerer Erschließung, zusätzlichen Belegen und begründeten Urteilen.</x:v>
      </x:c>
      <x:c r="G28" s="115" t="str">
        <x:v>de_k5_st24_wortarten_kompetenzcheck</x:v>
      </x:c>
      <x:c r="H28" s="176" t="e">
        <x:f>HYPERLINK("schueler/de_k5_st24_wortarten_kompetenzcheck_app.html","Lernmodul öffnen")</x:f>
      </x:c>
      <x:c r="I28" s="177" t="e">
        <x:f>HYPERLINK("lehrer/de_k5_st24_wortarten_kompetenzcheck_orga.html","Vorbereitung öffnen")</x:f>
      </x:c>
    </x:row>
    <x:row r="29" ht="65" customHeight="1">
      <x:c r="A29" s="142" t="n">
        <x:v>5</x:v>
      </x:c>
      <x:c r="B29" s="115" t="str">
        <x:v>Sprechen und Zuhören</x:v>
      </x:c>
      <x:c r="C29" s="148" t="n">
        <x:v>25</x:v>
      </x:c>
      <x:c r="D29" s="115" t="str">
        <x:v>Märchen lesen und gestalten: Hör- oder Leseeinstieg gestalten</x:v>
      </x:c>
      <x:c r="E29" s="115" t="str">
        <x:v>Einstieg über Bild, Hörtext oder kurzen Auszug; Vorwissen zu traditionelle und moderne Märchen sammeln und zentrale Wörter klären. Basisniveau mit klaren Teilschritten, Wortlisten, Satzstartern und häufigen Sicherungen.</x:v>
      </x:c>
      <x:c r="F29" s="115" t="str">
        <x:v>Aus Titel, Kontext und Gestaltung Erwartungen an traditionelle und moderne Märchen ableiten; erste Hypothesen formulieren und begründen. Erweiterungsniveau mit selbstständigerer Erschließung, zusätzlichen Belegen und begründeten Urteilen.</x:v>
      </x:c>
      <x:c r="G29" s="115" t="str">
        <x:v>de_k5_st25_maerchen_einstieg</x:v>
      </x:c>
      <x:c r="H29" s="176" t="e">
        <x:f>HYPERLINK("schueler/de_k5_st25_maerchen_einstieg_app.html","Lernmodul öffnen")</x:f>
      </x:c>
      <x:c r="I29" s="177" t="e">
        <x:f>HYPERLINK("lehrer/de_k5_st25_maerchen_einstieg_orga.html","Vorbereitung öffnen")</x:f>
      </x:c>
    </x:row>
    <x:row r="30" ht="65" customHeight="1">
      <x:c r="A30" s="142" t="n">
        <x:v>5</x:v>
      </x:c>
      <x:c r="B30" s="115" t="str">
        <x:v>Lesen/Umgang mit Texten</x:v>
      </x:c>
      <x:c r="C30" s="148" t="n">
        <x:v>26</x:v>
      </x:c>
      <x:c r="D30" s="115" t="str">
        <x:v>Märchen lesen und gestalten: den Text mit Lesestrategien erschließen</x:v>
      </x:c>
      <x:c r="E30" s="115" t="str">
        <x:v>Text abschnittsweise lesen; Schlüsselwörter markieren und den Inhalt mit Leitfragen sichern. Basisniveau mit klaren Teilschritten, Wortlisten, Satzstartern und häufigen Sicherungen.</x:v>
      </x:c>
      <x:c r="F30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30" s="115" t="str">
        <x:v>de_k5_st26_maerchen_erschliessen</x:v>
      </x:c>
      <x:c r="H30" s="176" t="e">
        <x:f>HYPERLINK("schueler/de_k5_st26_maerchen_erschliessen_app.html","Lernmodul öffnen")</x:f>
      </x:c>
      <x:c r="I30" s="177" t="e">
        <x:f>HYPERLINK("lehrer/de_k5_st26_maerchen_erschliessen_orga.html","Vorbereitung öffnen")</x:f>
      </x:c>
    </x:row>
    <x:row r="31" ht="65" customHeight="1">
      <x:c r="A31" s="142" t="n">
        <x:v>5</x:v>
      </x:c>
      <x:c r="B31" s="115" t="str">
        <x:v>Lesen/Umgang mit Texten</x:v>
      </x:c>
      <x:c r="C31" s="148" t="n">
        <x:v>27</x:v>
      </x:c>
      <x:c r="D31" s="115" t="str">
        <x:v>Märchen lesen und gestalten: Gattungsmerkmale erkennen</x:v>
      </x:c>
      <x:c r="E31" s="115" t="str">
        <x:v>Merkmale wie Zauber, Prüfungen, Gegensätze, formelhafte Sprache mithilfe einer Checkliste zuordnen und an Textstellen zeigen. Basisniveau mit klaren Teilschritten, Wortlisten, Satzstartern und häufigen Sicherungen.</x:v>
      </x:c>
      <x:c r="F31" s="115" t="str">
        <x:v>Merkmale wie Zauber, Prüfungen, Gegensätze, formelhafte Sprache textnah belegen und ihre Funktion für Aufbau und Wirkung erklären. Erweiterungsniveau mit selbstständigerer Erschließung, zusätzlichen Belegen und begründeten Urteilen.</x:v>
      </x:c>
      <x:c r="G31" s="115" t="str">
        <x:v>de_k5_st27_maerchen_merkmale</x:v>
      </x:c>
      <x:c r="H31" s="176" t="e">
        <x:f>HYPERLINK("schueler/de_k5_st27_maerchen_merkmale_app.html","Lernmodul öffnen")</x:f>
      </x:c>
      <x:c r="I31" s="177" t="e">
        <x:f>HYPERLINK("lehrer/de_k5_st27_maerchen_merkmale_orga.html","Vorbereitung öffnen")</x:f>
      </x:c>
    </x:row>
    <x:row r="32" ht="65" customHeight="1">
      <x:c r="A32" s="142" t="n">
        <x:v>5</x:v>
      </x:c>
      <x:c r="B32" s="115" t="str">
        <x:v>Lesen/Umgang mit Texten</x:v>
      </x:c>
      <x:c r="C32" s="148" t="n">
        <x:v>28</x:v>
      </x:c>
      <x:c r="D32" s="115" t="str">
        <x:v>Märchen lesen und gestalten: Figuren, Handlung und Konflikt untersuchen</x:v>
      </x:c>
      <x:c r="E32" s="115" t="str">
        <x:v>Figuren, Handlung und Wendepunkte mit Figurenkarten oder Handlungsstreifen ordnen; einfache Belege auswählen. Basisniveau mit klaren Teilschritten, Wortlisten, Satzstartern und häufigen Sicherungen.</x:v>
      </x:c>
      <x:c r="F32" s="115" t="str">
        <x:v>Figuren, Handlung und Wendepunkte in ihrem Zusammenhang untersuchen; Schlussfolgerungen mit passenden Textbelegen absichern. Erweiterungsniveau mit selbstständigerer Erschließung, zusätzlichen Belegen und begründeten Urteilen.</x:v>
      </x:c>
      <x:c r="G32" s="115" t="str">
        <x:v>de_k5_st28_maerchen_figuren_handlung</x:v>
      </x:c>
      <x:c r="H32" s="176" t="e">
        <x:f>HYPERLINK("schueler/de_k5_st28_maerchen_figuren_handlung_app.html","Lernmodul öffnen")</x:f>
      </x:c>
      <x:c r="I32" s="177" t="e">
        <x:f>HYPERLINK("lehrer/de_k5_st28_maerchen_figuren_handlung_orga.html","Vorbereitung öffnen")</x:f>
      </x:c>
    </x:row>
    <x:row r="33" ht="65" customHeight="1">
      <x:c r="A33" s="142" t="n">
        <x:v>5</x:v>
      </x:c>
      <x:c r="B33" s="115" t="str">
        <x:v>Sprache untersuchen</x:v>
      </x:c>
      <x:c r="C33" s="148" t="n">
        <x:v>29</x:v>
      </x:c>
      <x:c r="D33" s="115" t="str">
        <x:v>Märchen lesen und gestalten: Sprache und Wirkung untersuchen</x:v>
      </x:c>
      <x:c r="E33" s="115" t="str">
        <x:v>Beispiele für Wiederholungen, Zahlensymbolik, wörtliche Rede markieren und ihre Wirkung mit vorgegebenen Begriffen beschreiben. Basisniveau mit klaren Teilschritten, Wortlisten, Satzstartern und häufigen Sicherungen.</x:v>
      </x:c>
      <x:c r="F33" s="115" t="str">
        <x:v>Wiederholungen, Zahlensymbolik, wörtliche Rede fachsprachlich analysieren und auf Figurenzeichnung, Stimmung oder Aussage beziehen. Erweiterungsniveau mit selbstständigerer Erschließung, zusätzlichen Belegen und begründeten Urteilen.</x:v>
      </x:c>
      <x:c r="G33" s="115" t="str">
        <x:v>de_k5_st29_maerchen_sprache_wirkung</x:v>
      </x:c>
      <x:c r="H33" s="176" t="e">
        <x:f>HYPERLINK("schueler/de_k5_st29_maerchen_sprache_wirkung_app.html","Lernmodul öffnen")</x:f>
      </x:c>
      <x:c r="I33" s="177" t="e">
        <x:f>HYPERLINK("lehrer/de_k5_st29_maerchen_sprache_wirkung_orga.html","Vorbereitung öffnen")</x:f>
      </x:c>
    </x:row>
    <x:row r="34" ht="65" customHeight="1">
      <x:c r="A34" s="142" t="n">
        <x:v>5</x:v>
      </x:c>
      <x:c r="B34" s="115" t="str">
        <x:v>Schreiben</x:v>
      </x:c>
      <x:c r="C34" s="148" t="n">
        <x:v>30</x:v>
      </x:c>
      <x:c r="D34" s="115" t="str">
        <x:v>Märchen lesen und gestalten: eine Deutung oder Perspektive vorbereiten</x:v>
      </x:c>
      <x:c r="E34" s="115" t="str">
        <x:v>Eine zentrale Aussage mit Satzstartern formulieren; Beleg und Erklärung in einem Schreibrahmen verbinden. Basisniveau mit klaren Teilschritten, Wortlisten, Satzstartern und häufigen Sicherungen.</x:v>
      </x:c>
      <x:c r="F34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34" s="115" t="str">
        <x:v>de_k5_st30_maerchen_deutung_planen</x:v>
      </x:c>
      <x:c r="H34" s="176" t="e">
        <x:f>HYPERLINK("schueler/de_k5_st30_maerchen_deutung_planen_app.html","Lernmodul öffnen")</x:f>
      </x:c>
      <x:c r="I34" s="177" t="e">
        <x:f>HYPERLINK("lehrer/de_k5_st30_maerchen_deutung_planen_orga.html","Vorbereitung öffnen")</x:f>
      </x:c>
    </x:row>
    <x:row r="35" ht="65" customHeight="1">
      <x:c r="A35" s="142" t="n">
        <x:v>5</x:v>
      </x:c>
      <x:c r="B35" s="115" t="str">
        <x:v>Schreiben</x:v>
      </x:c>
      <x:c r="C35" s="148" t="n">
        <x:v>31</x:v>
      </x:c>
      <x:c r="D35" s="115" t="str">
        <x:v>Märchen lesen und gestalten: eigenes Märchen gestalten</x:v>
      </x:c>
      <x:c r="E35" s="115" t="str">
        <x:v>Eigenes märchen nach klaren Vorgaben erstellen; Hilfekarten und Wortbank nutzen. Basisniveau mit klaren Teilschritten, Wortlisten, Satzstartern und häufigen Sicherungen.</x:v>
      </x:c>
      <x:c r="F35" s="115" t="str">
        <x:v>Eigenes märchen eigenständig, textnah und sprachlich variabel gestalten; Wirkung bewusst planen. Erweiterungsniveau mit selbstständigerer Erschließung, zusätzlichen Belegen und begründeten Urteilen.</x:v>
      </x:c>
      <x:c r="G35" s="115" t="str">
        <x:v>de_k5_st31_maerchen_produkt</x:v>
      </x:c>
      <x:c r="H35" s="176" t="e">
        <x:f>HYPERLINK("schueler/de_k5_st31_maerchen_produkt_app.html","Lernmodul öffnen")</x:f>
      </x:c>
      <x:c r="I35" s="177" t="e">
        <x:f>HYPERLINK("lehrer/de_k5_st31_maerchen_produkt_orga.html","Vorbereitung öffnen")</x:f>
      </x:c>
    </x:row>
    <x:row r="36" ht="65" customHeight="1">
      <x:c r="A36" s="142" t="n">
        <x:v>5</x:v>
      </x:c>
      <x:c r="B36" s="115" t="str">
        <x:v>Sprechen und Zuhören</x:v>
      </x:c>
      <x:c r="C36" s="148" t="n">
        <x:v>32</x:v>
      </x:c>
      <x:c r="D36" s="115" t="str">
        <x:v>Märchen lesen und gestalten: Ergebnisse präsentieren und reflektieren</x:v>
      </x:c>
      <x:c r="E36" s="115" t="str">
        <x:v>Ergebnis kurz vorstellen; zwei vereinbarte Kriterien für Rückmeldung anwenden. Basisniveau mit klaren Teilschritten, Wortlisten, Satzstartern und häufigen Sicherungen.</x:v>
      </x:c>
      <x:c r="F36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36" s="115" t="str">
        <x:v>de_k5_st32_maerchen_praesentieren</x:v>
      </x:c>
      <x:c r="H36" s="176" t="e">
        <x:f>HYPERLINK("schueler/de_k5_st32_maerchen_praesentieren_app.html","Lernmodul öffnen")</x:f>
      </x:c>
      <x:c r="I36" s="177" t="e">
        <x:f>HYPERLINK("lehrer/de_k5_st32_maerchen_praesentieren_orga.html","Vorbereitung öffnen")</x:f>
      </x:c>
    </x:row>
    <x:row r="37" ht="65" customHeight="1">
      <x:c r="A37" s="142" t="n">
        <x:v>5</x:v>
      </x:c>
      <x:c r="B37" s="115" t="str">
        <x:v>Sprache untersuchen</x:v>
      </x:c>
      <x:c r="C37" s="148" t="n">
        <x:v>33</x:v>
      </x:c>
      <x:c r="D37" s="115" t="str">
        <x:v>Rechtschreibstrategien anwenden: Lernstand feststellen</x:v>
      </x:c>
      <x:c r="E37" s="115" t="str">
        <x:v>Kurze Diagnose zu Laut-Buchstaben-Zuordnung und Wortstämme bearbeiten; eigene Unsicherheiten markieren. Basisniveau mit klaren Teilschritten, Wortlisten, Satzstartern und häufigen Sicherungen.</x:v>
      </x:c>
      <x:c r="F37" s="115" t="str">
        <x:v>Diagnose zu Laut-Buchstaben-Zuordnung und Wortstämme auswerten; Fehlermuster benennen und persönliche Lernziele ableiten. Erweiterungsniveau mit selbstständigerer Erschließung, zusätzlichen Belegen und begründeten Urteilen.</x:v>
      </x:c>
      <x:c r="G37" s="115" t="str">
        <x:v>de_k5_st33_rechtschreibung_diagnose</x:v>
      </x:c>
      <x:c r="H37" s="176" t="e">
        <x:f>HYPERLINK("schueler/de_k5_st33_rechtschreibung_diagnose_app.html","Lernmodul öffnen")</x:f>
      </x:c>
      <x:c r="I37" s="177" t="e">
        <x:f>HYPERLINK("lehrer/de_k5_st33_rechtschreibung_diagnose_orga.html","Vorbereitung öffnen")</x:f>
      </x:c>
    </x:row>
    <x:row r="38" ht="65" customHeight="1">
      <x:c r="A38" s="142" t="n">
        <x:v>5</x:v>
      </x:c>
      <x:c r="B38" s="115" t="str">
        <x:v>Sprache untersuchen</x:v>
      </x:c>
      <x:c r="C38" s="148" t="n">
        <x:v>34</x:v>
      </x:c>
      <x:c r="D38" s="115" t="str">
        <x:v>Rechtschreibstrategien anwenden: Grundbegriffe sichern</x:v>
      </x:c>
      <x:c r="E38" s="115" t="str">
        <x:v>Verlängern, Ableiten, Silbieren, Nachschlagen an einfachen Beispielen erkennen und mit Merkkarten sichern. Basisniveau mit klaren Teilschritten, Wortlisten, Satzstartern und häufigen Sicherungen.</x:v>
      </x:c>
      <x:c r="F38" s="115" t="str">
        <x:v>Verlängern, Ableiten, Silbieren, Nachschlagen fachsprachlich erklären, voneinander abgrenzen und in komplexeren Beispielen bestimmen. Erweiterungsniveau mit selbstständigerer Erschließung, zusätzlichen Belegen und begründeten Urteilen.</x:v>
      </x:c>
      <x:c r="G38" s="115" t="str">
        <x:v>de_k5_st34_rechtschreibung_grundbegriffe</x:v>
      </x:c>
      <x:c r="H38" s="176" t="e">
        <x:f>HYPERLINK("schueler/de_k5_st34_rechtschreibung_grundbegriffe_app.html","Lernmodul öffnen")</x:f>
      </x:c>
      <x:c r="I38" s="177" t="e">
        <x:f>HYPERLINK("lehrer/de_k5_st34_rechtschreibung_grundbegriffe_orga.html","Vorbereitung öffnen")</x:f>
      </x:c>
    </x:row>
    <x:row r="39" ht="65" customHeight="1">
      <x:c r="A39" s="142" t="n">
        <x:v>5</x:v>
      </x:c>
      <x:c r="B39" s="115" t="str">
        <x:v>Sprache untersuchen</x:v>
      </x:c>
      <x:c r="C39" s="148" t="n">
        <x:v>35</x:v>
      </x:c>
      <x:c r="D39" s="115" t="str">
        <x:v>Rechtschreibstrategien anwenden: Verfahren anwenden</x:v>
      </x:c>
      <x:c r="E39" s="115" t="str">
        <x:v>Strategiekarten und Wörterbuch Schritt für Schritt anwenden; Entscheidungen mündlich begründen. Basisniveau mit klaren Teilschritten, Wortlisten, Satzstartern und häufigen Sicherungen.</x:v>
      </x:c>
      <x:c r="F39" s="115" t="str">
        <x:v>Strategiekarten und Wörterbuch selbstständig auswählen, kombinieren und auf Zweifelsfälle übertragen. Erweiterungsniveau mit selbstständigerer Erschließung, zusätzlichen Belegen und begründeten Urteilen.</x:v>
      </x:c>
      <x:c r="G39" s="115" t="str">
        <x:v>de_k5_st35_rechtschreibung_verfahren</x:v>
      </x:c>
      <x:c r="H39" s="176" t="e">
        <x:f>HYPERLINK("schueler/de_k5_st35_rechtschreibung_verfahren_app.html","Lernmodul öffnen")</x:f>
      </x:c>
      <x:c r="I39" s="177" t="e">
        <x:f>HYPERLINK("lehrer/de_k5_st35_rechtschreibung_verfahren_orga.html","Vorbereitung öffnen")</x:f>
      </x:c>
    </x:row>
    <x:row r="40" ht="65" customHeight="1">
      <x:c r="A40" s="142" t="n">
        <x:v>5</x:v>
      </x:c>
      <x:c r="B40" s="115" t="str">
        <x:v>Sprache untersuchen</x:v>
      </x:c>
      <x:c r="C40" s="148" t="n">
        <x:v>36</x:v>
      </x:c>
      <x:c r="D40" s="115" t="str">
        <x:v>Rechtschreibstrategien anwenden: Formen und Funktionen untersuchen</x:v>
      </x:c>
      <x:c r="E40" s="115" t="str">
        <x:v>Formen bilden und ihre Aufgabe im Satz mit Leitfragen beschreiben. Basisniveau mit klaren Teilschritten, Wortlisten, Satzstartern und häufigen Sicherungen.</x:v>
      </x:c>
      <x:c r="F40" s="115" t="str">
        <x:v>Form, Funktion und Wirkung im Satz oder Text untersuchen; alternative Formulierungen vergleichen. Erweiterungsniveau mit selbstständigerer Erschließung, zusätzlichen Belegen und begründeten Urteilen.</x:v>
      </x:c>
      <x:c r="G40" s="115" t="str">
        <x:v>de_k5_st36_rechtschreibung_funktion</x:v>
      </x:c>
      <x:c r="H40" s="176" t="e">
        <x:f>HYPERLINK("schueler/de_k5_st36_rechtschreibung_funktion_app.html","Lernmodul öffnen")</x:f>
      </x:c>
      <x:c r="I40" s="177" t="e">
        <x:f>HYPERLINK("lehrer/de_k5_st36_rechtschreibung_funktion_orga.html","Vorbereitung öffnen")</x:f>
      </x:c>
    </x:row>
    <x:row r="41" ht="65" customHeight="1">
      <x:c r="A41" s="142" t="n">
        <x:v>5</x:v>
      </x:c>
      <x:c r="B41" s="115" t="str">
        <x:v>Schreiben</x:v>
      </x:c>
      <x:c r="C41" s="148" t="n">
        <x:v>37</x:v>
      </x:c>
      <x:c r="D41" s="115" t="str">
        <x:v>Rechtschreibstrategien anwenden: Wissen im eigenen Text nutzen</x:v>
      </x:c>
      <x:c r="E41" s="115" t="str">
        <x:v>Fehlerwörter und kurze gebrauchstexte nach Vorgabe verfassen und die geübten Strukturen farbig markieren. Basisniveau mit klaren Teilschritten, Wortlisten, Satzstartern und häufigen Sicherungen.</x:v>
      </x:c>
      <x:c r="F41" s="115" t="str">
        <x:v>Fehlerwörter und kurze gebrauchstexte bewusst gestalten und sprachliche Entscheidungen kommentieren. Erweiterungsniveau mit selbstständigerer Erschließung, zusätzlichen Belegen und begründeten Urteilen.</x:v>
      </x:c>
      <x:c r="G41" s="115" t="str">
        <x:v>de_k5_st37_rechtschreibung_anwenden</x:v>
      </x:c>
      <x:c r="H41" s="176" t="e">
        <x:f>HYPERLINK("schueler/de_k5_st37_rechtschreibung_anwenden_app.html","Lernmodul öffnen")</x:f>
      </x:c>
      <x:c r="I41" s="177" t="e">
        <x:f>HYPERLINK("lehrer/de_k5_st37_rechtschreibung_anwenden_orga.html","Vorbereitung öffnen")</x:f>
      </x:c>
    </x:row>
    <x:row r="42" ht="65" customHeight="1">
      <x:c r="A42" s="142" t="n">
        <x:v>5</x:v>
      </x:c>
      <x:c r="B42" s="115" t="str">
        <x:v>Sprache untersuchen</x:v>
      </x:c>
      <x:c r="C42" s="148" t="n">
        <x:v>38</x:v>
      </x:c>
      <x:c r="D42" s="115" t="str">
        <x:v>Rechtschreibstrategien anwenden: Fehler finden und korrigieren</x:v>
      </x:c>
      <x:c r="E42" s="115" t="str">
        <x:v>Typische Fehler in kurzen Sätzen finden; passende Regelkarte auswählen und korrigieren. Basisniveau mit klaren Teilschritten, Wortlisten, Satzstartern und häufigen Sicherungen.</x:v>
      </x:c>
      <x:c r="F42" s="115" t="str">
        <x:v>Fehler systematisch diagnostizieren, Regelbezug herstellen und mehrere Korrekturmöglichkeiten bewerten. Erweiterungsniveau mit selbstständigerer Erschließung, zusätzlichen Belegen und begründeten Urteilen.</x:v>
      </x:c>
      <x:c r="G42" s="115" t="str">
        <x:v>de_k5_st38_rechtschreibung_fehler</x:v>
      </x:c>
      <x:c r="H42" s="176" t="e">
        <x:f>HYPERLINK("schueler/de_k5_st38_rechtschreibung_fehler_app.html","Lernmodul öffnen")</x:f>
      </x:c>
      <x:c r="I42" s="177" t="e">
        <x:f>HYPERLINK("lehrer/de_k5_st38_rechtschreibung_fehler_orga.html","Vorbereitung öffnen")</x:f>
      </x:c>
    </x:row>
    <x:row r="43" ht="65" customHeight="1">
      <x:c r="A43" s="142" t="n">
        <x:v>5</x:v>
      </x:c>
      <x:c r="B43" s="115" t="str">
        <x:v>Sprache untersuchen</x:v>
      </x:c>
      <x:c r="C43" s="148" t="n">
        <x:v>39</x:v>
      </x:c>
      <x:c r="D43" s="115" t="str">
        <x:v>Rechtschreibstrategien anwenden: Transfer auf unbekannte Beispiele</x:v>
      </x:c>
      <x:c r="E43" s="115" t="str">
        <x:v>Neue Beispiele mit Hilfekarte bearbeiten und Lösungen vergleichen. Basisniveau mit klaren Teilschritten, Wortlisten, Satzstartern und häufigen Sicherungen.</x:v>
      </x:c>
      <x:c r="F43" s="115" t="str">
        <x:v>Unbekannte und mehrdeutige Beispiele selbstständig analysieren; Grenzfälle begründet diskutieren. Erweiterungsniveau mit selbstständigerer Erschließung, zusätzlichen Belegen und begründeten Urteilen.</x:v>
      </x:c>
      <x:c r="G43" s="115" t="str">
        <x:v>de_k5_st39_rechtschreibung_transfer</x:v>
      </x:c>
      <x:c r="H43" s="176" t="e">
        <x:f>HYPERLINK("schueler/de_k5_st39_rechtschreibung_transfer_app.html","Lernmodul öffnen")</x:f>
      </x:c>
      <x:c r="I43" s="177" t="e">
        <x:f>HYPERLINK("lehrer/de_k5_st39_rechtschreibung_transfer_orga.html","Vorbereitung öffnen")</x:f>
      </x:c>
    </x:row>
    <x:row r="44" ht="65" customHeight="1">
      <x:c r="A44" s="142" t="n">
        <x:v>5</x:v>
      </x:c>
      <x:c r="B44" s="115" t="str">
        <x:v>Schreiben</x:v>
      </x:c>
      <x:c r="C44" s="148" t="n">
        <x:v>40</x:v>
      </x:c>
      <x:c r="D44" s="115" t="str">
        <x:v>Rechtschreibstrategien anwenden: Lernprodukt und Kompetenzcheck</x:v>
      </x:c>
      <x:c r="E44" s="115" t="str">
        <x:v>Merkblatt oder Übungstext erstellen; Grundregeln in einem kurzen Kompetenzcheck anwenden. Basisniveau mit klaren Teilschritten, Wortlisten, Satzstartern und häufigen Sicherungen.</x:v>
      </x:c>
      <x:c r="F44" s="115" t="str">
        <x:v>Erklärprodukt mit eigenen Beispielen erstellen; Regeln in einem anspruchsvollen Kompetenzcheck sicher anwenden. Erweiterungsniveau mit selbstständigerer Erschließung, zusätzlichen Belegen und begründeten Urteilen.</x:v>
      </x:c>
      <x:c r="G44" s="115" t="str">
        <x:v>de_k5_st40_rechtschreibung_kompetenzcheck</x:v>
      </x:c>
      <x:c r="H44" s="176" t="e">
        <x:f>HYPERLINK("schueler/de_k5_st40_rechtschreibung_kompetenzcheck_app.html","Lernmodul öffnen")</x:f>
      </x:c>
      <x:c r="I44" s="177" t="e">
        <x:f>HYPERLINK("lehrer/de_k5_st40_rechtschreibung_kompetenzcheck_orga.html","Vorbereitung öffnen")</x:f>
      </x:c>
    </x:row>
    <x:row r="45" ht="65" customHeight="1">
      <x:c r="A45" s="142" t="n">
        <x:v>5</x:v>
      </x:c>
      <x:c r="B45" s="115" t="str">
        <x:v>Sprechen und Zuhören</x:v>
      </x:c>
      <x:c r="C45" s="148" t="n">
        <x:v>41</x:v>
      </x:c>
      <x:c r="D45" s="115" t="str">
        <x:v>Sagen aus Thüringen und der Antike: Hör- oder Leseeinstieg gestalten</x:v>
      </x:c>
      <x:c r="E45" s="115" t="str">
        <x:v>Einstieg über Bild, Hörtext oder kurzen Auszug; Vorwissen zu Orts-, Helden- und Göttersagen sammeln und zentrale Wörter klären. Basisniveau mit klaren Teilschritten, Wortlisten, Satzstartern und häufigen Sicherungen.</x:v>
      </x:c>
      <x:c r="F45" s="115" t="str">
        <x:v>Aus Titel, Kontext und Gestaltung Erwartungen an Orts-, Helden- und Göttersagen ableiten; erste Hypothesen formulieren und begründen. Erweiterungsniveau mit selbstständigerer Erschließung, zusätzlichen Belegen und begründeten Urteilen.</x:v>
      </x:c>
      <x:c r="G45" s="115" t="str">
        <x:v>de_k5_st41_sagen_einstieg</x:v>
      </x:c>
      <x:c r="H45" s="176" t="e">
        <x:f>HYPERLINK("schueler/de_k5_st41_sagen_einstieg_app.html","Lernmodul öffnen")</x:f>
      </x:c>
      <x:c r="I45" s="177" t="e">
        <x:f>HYPERLINK("lehrer/de_k5_st41_sagen_einstieg_orga.html","Vorbereitung öffnen")</x:f>
      </x:c>
    </x:row>
    <x:row r="46" ht="65" customHeight="1">
      <x:c r="A46" s="142" t="n">
        <x:v>5</x:v>
      </x:c>
      <x:c r="B46" s="115" t="str">
        <x:v>Lesen/Umgang mit Texten</x:v>
      </x:c>
      <x:c r="C46" s="148" t="n">
        <x:v>42</x:v>
      </x:c>
      <x:c r="D46" s="115" t="str">
        <x:v>Sagen aus Thüringen und der Antike: den Text mit Lesestrategien erschließen</x:v>
      </x:c>
      <x:c r="E46" s="115" t="str">
        <x:v>Text abschnittsweise lesen; Schlüsselwörter markieren und den Inhalt mit Leitfragen sichern. Basisniveau mit klaren Teilschritten, Wortlisten, Satzstartern und häufigen Sicherungen.</x:v>
      </x:c>
      <x:c r="F46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46" s="115" t="str">
        <x:v>de_k5_st42_sagen_erschliessen</x:v>
      </x:c>
      <x:c r="H46" s="176" t="e">
        <x:f>HYPERLINK("schueler/de_k5_st42_sagen_erschliessen_app.html","Lernmodul öffnen")</x:f>
      </x:c>
      <x:c r="I46" s="177" t="e">
        <x:f>HYPERLINK("lehrer/de_k5_st42_sagen_erschliessen_orga.html","Vorbereitung öffnen")</x:f>
      </x:c>
    </x:row>
    <x:row r="47" ht="65" customHeight="1">
      <x:c r="A47" s="142" t="n">
        <x:v>5</x:v>
      </x:c>
      <x:c r="B47" s="115" t="str">
        <x:v>Lesen/Umgang mit Texten</x:v>
      </x:c>
      <x:c r="C47" s="148" t="n">
        <x:v>43</x:v>
      </x:c>
      <x:c r="D47" s="115" t="str">
        <x:v>Sagen aus Thüringen und der Antike: Gattungsmerkmale erkennen</x:v>
      </x:c>
      <x:c r="E47" s="115" t="str">
        <x:v>Merkmale wie historischer Kern, fantastische Ausgestaltung, Ortsbezug mithilfe einer Checkliste zuordnen und an Textstellen zeigen. Basisniveau mit klaren Teilschritten, Wortlisten, Satzstartern und häufigen Sicherungen.</x:v>
      </x:c>
      <x:c r="F47" s="115" t="str">
        <x:v>Merkmale wie historischer Kern, fantastische Ausgestaltung, Ortsbezug textnah belegen und ihre Funktion für Aufbau und Wirkung erklären. Erweiterungsniveau mit selbstständigerer Erschließung, zusätzlichen Belegen und begründeten Urteilen.</x:v>
      </x:c>
      <x:c r="G47" s="115" t="str">
        <x:v>de_k5_st43_sagen_merkmale</x:v>
      </x:c>
      <x:c r="H47" s="176" t="e">
        <x:f>HYPERLINK("schueler/de_k5_st43_sagen_merkmale_app.html","Lernmodul öffnen")</x:f>
      </x:c>
      <x:c r="I47" s="177" t="e">
        <x:f>HYPERLINK("lehrer/de_k5_st43_sagen_merkmale_orga.html","Vorbereitung öffnen")</x:f>
      </x:c>
    </x:row>
    <x:row r="48" ht="65" customHeight="1">
      <x:c r="A48" s="142" t="n">
        <x:v>5</x:v>
      </x:c>
      <x:c r="B48" s="115" t="str">
        <x:v>Lesen/Umgang mit Texten</x:v>
      </x:c>
      <x:c r="C48" s="148" t="n">
        <x:v>44</x:v>
      </x:c>
      <x:c r="D48" s="115" t="str">
        <x:v>Sagen aus Thüringen und der Antike: Figuren, Handlung und Konflikt untersuchen</x:v>
      </x:c>
      <x:c r="E48" s="115" t="str">
        <x:v>Erzählperspektive und Wahrheitsanspruch mit Figurenkarten oder Handlungsstreifen ordnen; einfache Belege auswählen. Basisniveau mit klaren Teilschritten, Wortlisten, Satzstartern und häufigen Sicherungen.</x:v>
      </x:c>
      <x:c r="F48" s="115" t="str">
        <x:v>Erzählperspektive und Wahrheitsanspruch in ihrem Zusammenhang untersuchen; Schlussfolgerungen mit passenden Textbelegen absichern. Erweiterungsniveau mit selbstständigerer Erschließung, zusätzlichen Belegen und begründeten Urteilen.</x:v>
      </x:c>
      <x:c r="G48" s="115" t="str">
        <x:v>de_k5_st44_sagen_figuren_handlung</x:v>
      </x:c>
      <x:c r="H48" s="176" t="e">
        <x:f>HYPERLINK("schueler/de_k5_st44_sagen_figuren_handlung_app.html","Lernmodul öffnen")</x:f>
      </x:c>
      <x:c r="I48" s="177" t="e">
        <x:f>HYPERLINK("lehrer/de_k5_st44_sagen_figuren_handlung_orga.html","Vorbereitung öffnen")</x:f>
      </x:c>
    </x:row>
    <x:row r="49" ht="65" customHeight="1">
      <x:c r="A49" s="142" t="n">
        <x:v>5</x:v>
      </x:c>
      <x:c r="B49" s="115" t="str">
        <x:v>Sprache untersuchen</x:v>
      </x:c>
      <x:c r="C49" s="148" t="n">
        <x:v>45</x:v>
      </x:c>
      <x:c r="D49" s="115" t="str">
        <x:v>Sagen aus Thüringen und der Antike: Sprache und Wirkung untersuchen</x:v>
      </x:c>
      <x:c r="E49" s="115" t="str">
        <x:v>Beispiele für altertümliche Wörter, Spannungsaufbau markieren und ihre Wirkung mit vorgegebenen Begriffen beschreiben. Basisniveau mit klaren Teilschritten, Wortlisten, Satzstartern und häufigen Sicherungen.</x:v>
      </x:c>
      <x:c r="F49" s="115" t="str">
        <x:v>altertümliche Wörter, Spannungsaufbau fachsprachlich analysieren und auf Figurenzeichnung, Stimmung oder Aussage beziehen. Erweiterungsniveau mit selbstständigerer Erschließung, zusätzlichen Belegen und begründeten Urteilen.</x:v>
      </x:c>
      <x:c r="G49" s="115" t="str">
        <x:v>de_k5_st45_sagen_sprache_wirkung</x:v>
      </x:c>
      <x:c r="H49" s="176" t="e">
        <x:f>HYPERLINK("schueler/de_k5_st45_sagen_sprache_wirkung_app.html","Lernmodul öffnen")</x:f>
      </x:c>
      <x:c r="I49" s="177" t="e">
        <x:f>HYPERLINK("lehrer/de_k5_st45_sagen_sprache_wirkung_orga.html","Vorbereitung öffnen")</x:f>
      </x:c>
    </x:row>
    <x:row r="50" ht="65" customHeight="1">
      <x:c r="A50" s="142" t="n">
        <x:v>5</x:v>
      </x:c>
      <x:c r="B50" s="115" t="str">
        <x:v>Schreiben</x:v>
      </x:c>
      <x:c r="C50" s="148" t="n">
        <x:v>46</x:v>
      </x:c>
      <x:c r="D50" s="115" t="str">
        <x:v>Sagen aus Thüringen und der Antike: eine Deutung oder Perspektive vorbereiten</x:v>
      </x:c>
      <x:c r="E50" s="115" t="str">
        <x:v>Eine zentrale Aussage mit Satzstartern formulieren; Beleg und Erklärung in einem Schreibrahmen verbinden. Basisniveau mit klaren Teilschritten, Wortlisten, Satzstartern und häufigen Sicherungen.</x:v>
      </x:c>
      <x:c r="F50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50" s="115" t="str">
        <x:v>de_k5_st46_sagen_deutung_planen</x:v>
      </x:c>
      <x:c r="H50" s="176" t="e">
        <x:f>HYPERLINK("schueler/de_k5_st46_sagen_deutung_planen_app.html","Lernmodul öffnen")</x:f>
      </x:c>
      <x:c r="I50" s="177" t="e">
        <x:f>HYPERLINK("lehrer/de_k5_st46_sagen_deutung_planen_orga.html","Vorbereitung öffnen")</x:f>
      </x:c>
    </x:row>
    <x:row r="51" ht="65" customHeight="1">
      <x:c r="A51" s="142" t="n">
        <x:v>5</x:v>
      </x:c>
      <x:c r="B51" s="115" t="str">
        <x:v>Schreiben</x:v>
      </x:c>
      <x:c r="C51" s="148" t="n">
        <x:v>47</x:v>
      </x:c>
      <x:c r="D51" s="115" t="str">
        <x:v>Sagen aus Thüringen und der Antike: Sagenkarte oder Nacherzählung gestalten</x:v>
      </x:c>
      <x:c r="E51" s="115" t="str">
        <x:v>Sagenkarte oder nacherzählung nach klaren Vorgaben erstellen; Hilfekarten und Wortbank nutzen. Basisniveau mit klaren Teilschritten, Wortlisten, Satzstartern und häufigen Sicherungen.</x:v>
      </x:c>
      <x:c r="F51" s="115" t="str">
        <x:v>Sagenkarte oder nacherzählung eigenständig, textnah und sprachlich variabel gestalten; Wirkung bewusst planen. Erweiterungsniveau mit selbstständigerer Erschließung, zusätzlichen Belegen und begründeten Urteilen.</x:v>
      </x:c>
      <x:c r="G51" s="115" t="str">
        <x:v>de_k5_st47_sagen_produkt</x:v>
      </x:c>
      <x:c r="H51" s="176" t="e">
        <x:f>HYPERLINK("schueler/de_k5_st47_sagen_produkt_app.html","Lernmodul öffnen")</x:f>
      </x:c>
      <x:c r="I51" s="177" t="e">
        <x:f>HYPERLINK("lehrer/de_k5_st47_sagen_produkt_orga.html","Vorbereitung öffnen")</x:f>
      </x:c>
    </x:row>
    <x:row r="52" ht="65" customHeight="1">
      <x:c r="A52" s="142" t="n">
        <x:v>5</x:v>
      </x:c>
      <x:c r="B52" s="115" t="str">
        <x:v>Sprechen und Zuhören</x:v>
      </x:c>
      <x:c r="C52" s="148" t="n">
        <x:v>48</x:v>
      </x:c>
      <x:c r="D52" s="115" t="str">
        <x:v>Sagen aus Thüringen und der Antike: Ergebnisse präsentieren und reflektieren</x:v>
      </x:c>
      <x:c r="E52" s="115" t="str">
        <x:v>Ergebnis kurz vorstellen; zwei vereinbarte Kriterien für Rückmeldung anwenden. Basisniveau mit klaren Teilschritten, Wortlisten, Satzstartern und häufigen Sicherungen.</x:v>
      </x:c>
      <x:c r="F52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52" s="115" t="str">
        <x:v>de_k5_st48_sagen_praesentieren</x:v>
      </x:c>
      <x:c r="H52" s="176" t="e">
        <x:f>HYPERLINK("schueler/de_k5_st48_sagen_praesentieren_app.html","Lernmodul öffnen")</x:f>
      </x:c>
      <x:c r="I52" s="177" t="e">
        <x:f>HYPERLINK("lehrer/de_k5_st48_sagen_praesentieren_orga.html","Vorbereitung öffnen")</x:f>
      </x:c>
    </x:row>
    <x:row r="53" ht="65" customHeight="1">
      <x:c r="A53" s="142" t="n">
        <x:v>5</x:v>
      </x:c>
      <x:c r="B53" s="115" t="str">
        <x:v>Lesen/Umgang mit Texten</x:v>
      </x:c>
      <x:c r="C53" s="148" t="n">
        <x:v>49</x:v>
      </x:c>
      <x:c r="D53" s="115" t="str">
        <x:v>Gegenstände, Tiere und Vorgänge beschreiben: Beispieltexte untersuchen</x:v>
      </x:c>
      <x:c r="E53" s="115" t="str">
        <x:v>Ein Beispiel für Beschreibung lesen; Aufbau und typische Formulierungen farbig kennzeichnen. Basisniveau mit klaren Teilschritten, Wortlisten, Satzstartern und häufigen Sicherungen.</x:v>
      </x:c>
      <x:c r="F53" s="115" t="str">
        <x:v>Mehrere Beispiele für Beschreibung vergleichen; Funktion, Adressat und Qualitätsunterschiede herausarbeiten. Erweiterungsniveau mit selbstständigerer Erschließung, zusätzlichen Belegen und begründeten Urteilen.</x:v>
      </x:c>
      <x:c r="G53" s="115" t="str">
        <x:v>de_k5_st49_beschreiben_beispiel</x:v>
      </x:c>
      <x:c r="H53" s="176" t="e">
        <x:f>HYPERLINK("schueler/de_k5_st49_beschreiben_beispiel_app.html","Lernmodul öffnen")</x:f>
      </x:c>
      <x:c r="I53" s="177" t="e">
        <x:f>HYPERLINK("lehrer/de_k5_st49_beschreiben_beispiel_orga.html","Vorbereitung öffnen")</x:f>
      </x:c>
    </x:row>
    <x:row r="54" ht="65" customHeight="1">
      <x:c r="A54" s="142" t="n">
        <x:v>5</x:v>
      </x:c>
      <x:c r="B54" s="115" t="str">
        <x:v>Schreiben</x:v>
      </x:c>
      <x:c r="C54" s="148" t="n">
        <x:v>50</x:v>
      </x:c>
      <x:c r="D54" s="115" t="str">
        <x:v>Gegenstände, Tiere und Vorgänge beschreiben: Schreibziel und Kriterien klären</x:v>
      </x:c>
      <x:c r="E54" s="115" t="str">
        <x:v>Schreibziel „Merkmale und Abläufe genau darstellen“ verstehen; eine kurze Kriterienliste auf ein Beispiel anwenden. Basisniveau mit klaren Teilschritten, Wortlisten, Satzstartern und häufigen Sicherungen.</x:v>
      </x:c>
      <x:c r="F54" s="115" t="str">
        <x:v>Schreibziel „Merkmale und Abläufe genau darstellen“ präzisieren; Kriterien gewichten und auf unterschiedliche Schreibsituationen übertragen. Erweiterungsniveau mit selbstständigerer Erschließung, zusätzlichen Belegen und begründeten Urteilen.</x:v>
      </x:c>
      <x:c r="G54" s="115" t="str">
        <x:v>de_k5_st50_beschreiben_kriterien</x:v>
      </x:c>
      <x:c r="H54" s="176" t="e">
        <x:f>HYPERLINK("schueler/de_k5_st50_beschreiben_kriterien_app.html","Lernmodul öffnen")</x:f>
      </x:c>
      <x:c r="I54" s="177" t="e">
        <x:f>HYPERLINK("lehrer/de_k5_st50_beschreiben_kriterien_orga.html","Vorbereitung öffnen")</x:f>
      </x:c>
    </x:row>
    <x:row r="55" ht="65" customHeight="1">
      <x:c r="A55" s="142" t="n">
        <x:v>5</x:v>
      </x:c>
      <x:c r="B55" s="115" t="str">
        <x:v>Lesen/Umgang mit Texten</x:v>
      </x:c>
      <x:c r="C55" s="148" t="n">
        <x:v>51</x:v>
      </x:c>
      <x:c r="D55" s="115" t="str">
        <x:v>Gegenstände, Tiere und Vorgänge beschreiben: Inhalte auswählen und ordnen</x:v>
      </x:c>
      <x:c r="E55" s="115" t="str">
        <x:v>Ordnung vom Ganzen zum Detail und zeitliche Abfolge mit Leitfragen sammeln und in einer vorgegebenen Reihenfolge ordnen. Basisniveau mit klaren Teilschritten, Wortlisten, Satzstartern und häufigen Sicherungen.</x:v>
      </x:c>
      <x:c r="F55" s="115" t="str">
        <x:v>Ordnung vom Ganzen zum Detail und zeitliche Abfolge selbstständig auswählen, gewichten und in einer passenden Gliederung strukturieren. Erweiterungsniveau mit selbstständigerer Erschließung, zusätzlichen Belegen und begründeten Urteilen.</x:v>
      </x:c>
      <x:c r="G55" s="115" t="str">
        <x:v>de_k5_st51_beschreiben_inhalte_ordnen</x:v>
      </x:c>
      <x:c r="H55" s="176" t="e">
        <x:f>HYPERLINK("schueler/de_k5_st51_beschreiben_inhalte_ordnen_app.html","Lernmodul öffnen")</x:f>
      </x:c>
      <x:c r="I55" s="177" t="e">
        <x:f>HYPERLINK("lehrer/de_k5_st51_beschreiben_inhalte_ordnen_orga.html","Vorbereitung öffnen")</x:f>
      </x:c>
    </x:row>
    <x:row r="56" ht="65" customHeight="1">
      <x:c r="A56" s="142" t="n">
        <x:v>5</x:v>
      </x:c>
      <x:c r="B56" s="115" t="str">
        <x:v>Sprache untersuchen</x:v>
      </x:c>
      <x:c r="C56" s="148" t="n">
        <x:v>52</x:v>
      </x:c>
      <x:c r="D56" s="115" t="str">
        <x:v>Gegenstände, Tiere und Vorgänge beschreiben: passende sprachliche Mittel verwenden</x:v>
      </x:c>
      <x:c r="E56" s="115" t="str">
        <x:v>Fachwörter, Präsens, genaue Adjektive in Übungen erkennen und nach Satzmustern anwenden. Basisniveau mit klaren Teilschritten, Wortlisten, Satzstartern und häufigen Sicherungen.</x:v>
      </x:c>
      <x:c r="F56" s="115" t="str">
        <x:v>Fachwörter, Präsens, genaue Adjektive hinsichtlich Wirkung und Angemessenheit prüfen und gezielt variieren. Erweiterungsniveau mit selbstständigerer Erschließung, zusätzlichen Belegen und begründeten Urteilen.</x:v>
      </x:c>
      <x:c r="G56" s="115" t="str">
        <x:v>de_k5_st52_beschreiben_sprachmittel</x:v>
      </x:c>
      <x:c r="H56" s="176" t="e">
        <x:f>HYPERLINK("schueler/de_k5_st52_beschreiben_sprachmittel_app.html","Lernmodul öffnen")</x:f>
      </x:c>
      <x:c r="I56" s="177" t="e">
        <x:f>HYPERLINK("lehrer/de_k5_st52_beschreiben_sprachmittel_orga.html","Vorbereitung öffnen")</x:f>
      </x:c>
    </x:row>
    <x:row r="57" ht="65" customHeight="1">
      <x:c r="A57" s="142" t="n">
        <x:v>5</x:v>
      </x:c>
      <x:c r="B57" s="115" t="str">
        <x:v>Schreiben</x:v>
      </x:c>
      <x:c r="C57" s="148" t="n">
        <x:v>53</x:v>
      </x:c>
      <x:c r="D57" s="115" t="str">
        <x:v>Gegenstände, Tiere und Vorgänge beschreiben: einen Schreibplan erstellen</x:v>
      </x:c>
      <x:c r="E57" s="115" t="str">
        <x:v>Einen vorstrukturierten Schreibplan ausfüllen; Einleitung, Hauptteil und Schluss festlegen. Basisniveau mit klaren Teilschritten, Wortlisten, Satzstartern und häufigen Sicherungen.</x:v>
      </x:c>
      <x:c r="F57" s="115" t="str">
        <x:v>Einen eigenen Schreibplan mit Teilzielen, Belegen und sprachlichen Mitteln entwickeln. Erweiterungsniveau mit selbstständigerer Erschließung, zusätzlichen Belegen und begründeten Urteilen.</x:v>
      </x:c>
      <x:c r="G57" s="115" t="str">
        <x:v>de_k5_st53_beschreiben_schreibplan</x:v>
      </x:c>
      <x:c r="H57" s="176" t="e">
        <x:f>HYPERLINK("schueler/de_k5_st53_beschreiben_schreibplan_app.html","Lernmodul öffnen")</x:f>
      </x:c>
      <x:c r="I57" s="177" t="e">
        <x:f>HYPERLINK("lehrer/de_k5_st53_beschreiben_schreibplan_orga.html","Vorbereitung öffnen")</x:f>
      </x:c>
    </x:row>
    <x:row r="58" ht="65" customHeight="1">
      <x:c r="A58" s="142" t="n">
        <x:v>5</x:v>
      </x:c>
      <x:c r="B58" s="115" t="str">
        <x:v>Schreiben</x:v>
      </x:c>
      <x:c r="C58" s="148" t="n">
        <x:v>54</x:v>
      </x:c>
      <x:c r="D58" s="115" t="str">
        <x:v>Gegenstände, Tiere und Vorgänge beschreiben: einen ersten Textentwurf verfassen</x:v>
      </x:c>
      <x:c r="E58" s="115" t="str">
        <x:v>Gegenstands- oder vorgangsbeschreibung mithilfe von Schreibrahmen, Satzanfängen und Wortbank verfassen. Basisniveau mit klaren Teilschritten, Wortlisten, Satzstartern und häufigen Sicherungen.</x:v>
      </x:c>
      <x:c r="F58" s="115" t="str">
        <x:v>Gegenstands- oder vorgangsbeschreibung selbstständig, adressatenbezogen und sprachlich differenziert verfassen. Erweiterungsniveau mit selbstständigerer Erschließung, zusätzlichen Belegen und begründeten Urteilen.</x:v>
      </x:c>
      <x:c r="G58" s="115" t="str">
        <x:v>de_k5_st54_beschreiben_entwurf</x:v>
      </x:c>
      <x:c r="H58" s="176" t="e">
        <x:f>HYPERLINK("schueler/de_k5_st54_beschreiben_entwurf_app.html","Lernmodul öffnen")</x:f>
      </x:c>
      <x:c r="I58" s="177" t="e">
        <x:f>HYPERLINK("lehrer/de_k5_st54_beschreiben_entwurf_orga.html","Vorbereitung öffnen")</x:f>
      </x:c>
    </x:row>
    <x:row r="59" ht="65" customHeight="1">
      <x:c r="A59" s="142" t="n">
        <x:v>5</x:v>
      </x:c>
      <x:c r="B59" s="115" t="str">
        <x:v>Schreiben</x:v>
      </x:c>
      <x:c r="C59" s="148" t="n">
        <x:v>55</x:v>
      </x:c>
      <x:c r="D59" s="115" t="str">
        <x:v>Gegenstände, Tiere und Vorgänge beschreiben: Text kriteriengeleitet überarbeiten</x:v>
      </x:c>
      <x:c r="E59" s="115" t="str">
        <x:v>Text mit einer kurzen Prüfliste überarbeiten; einen inhaltlichen und einen sprachlichen Fehler verbessern. Basisniveau mit klaren Teilschritten, Wortlisten, Satzstartern und häufigen Sicherungen.</x:v>
      </x:c>
      <x:c r="F59" s="115" t="str">
        <x:v>Text in mehreren Überarbeitungsschritten prüfen; Aufbau, Kohärenz, Stil und Normrichtigkeit gezielt optimieren. Erweiterungsniveau mit selbstständigerer Erschließung, zusätzlichen Belegen und begründeten Urteilen.</x:v>
      </x:c>
      <x:c r="G59" s="115" t="str">
        <x:v>de_k5_st55_beschreiben_ueberarbeiten</x:v>
      </x:c>
      <x:c r="H59" s="176" t="e">
        <x:f>HYPERLINK("schueler/de_k5_st55_beschreiben_ueberarbeiten_app.html","Lernmodul öffnen")</x:f>
      </x:c>
      <x:c r="I59" s="177" t="e">
        <x:f>HYPERLINK("lehrer/de_k5_st55_beschreiben_ueberarbeiten_orga.html","Vorbereitung öffnen")</x:f>
      </x:c>
    </x:row>
    <x:row r="60" ht="65" customHeight="1">
      <x:c r="A60" s="142" t="n">
        <x:v>5</x:v>
      </x:c>
      <x:c r="B60" s="115" t="str">
        <x:v>Sprechen und Zuhören</x:v>
      </x:c>
      <x:c r="C60" s="148" t="n">
        <x:v>56</x:v>
      </x:c>
      <x:c r="D60" s="115" t="str">
        <x:v>Gegenstände, Tiere und Vorgänge beschreiben: Texte vorstellen und bewerten</x:v>
      </x:c>
      <x:c r="E60" s="115" t="str">
        <x:v>Ausgewählte Passage vorlesen oder erläutern; Rückmeldung mit einfachen Satzmustern geben. Basisniveau mit klaren Teilschritten, Wortlisten, Satzstartern und häufigen Sicherungen.</x:v>
      </x:c>
      <x:c r="F60" s="115" t="str">
        <x:v>Textwirkung und Schreibentscheidungen erläutern; differenziertes Peer-Feedback geben und begründet annehmen. Erweiterungsniveau mit selbstständigerer Erschließung, zusätzlichen Belegen und begründeten Urteilen.</x:v>
      </x:c>
      <x:c r="G60" s="115" t="str">
        <x:v>de_k5_st56_beschreiben_vorstellen</x:v>
      </x:c>
      <x:c r="H60" s="176" t="e">
        <x:f>HYPERLINK("schueler/de_k5_st56_beschreiben_vorstellen_app.html","Lernmodul öffnen")</x:f>
      </x:c>
      <x:c r="I60" s="177" t="e">
        <x:f>HYPERLINK("lehrer/de_k5_st56_beschreiben_vorstellen_orga.html","Vorbereitung öffnen")</x:f>
      </x:c>
    </x:row>
    <x:row r="61" ht="65" customHeight="1">
      <x:c r="A61" s="142" t="n">
        <x:v>5</x:v>
      </x:c>
      <x:c r="B61" s="115" t="str">
        <x:v>Sprechen und Zuhören</x:v>
      </x:c>
      <x:c r="C61" s="148" t="n">
        <x:v>57</x:v>
      </x:c>
      <x:c r="D61" s="115" t="str">
        <x:v>Naturgedichte entdecken: Hör- oder Leseeinstieg gestalten</x:v>
      </x:c>
      <x:c r="E61" s="115" t="str">
        <x:v>Einstieg über Bild, Hörtext oder kurzen Auszug; Vorwissen zu Naturlyrik und einfache Gedichte sammeln und zentrale Wörter klären. Basisniveau mit klaren Teilschritten, Wortlisten, Satzstartern und häufigen Sicherungen.</x:v>
      </x:c>
      <x:c r="F61" s="115" t="str">
        <x:v>Aus Titel, Kontext und Gestaltung Erwartungen an Naturlyrik und einfache Gedichte ableiten; erste Hypothesen formulieren und begründen. Erweiterungsniveau mit selbstständigerer Erschließung, zusätzlichen Belegen und begründeten Urteilen.</x:v>
      </x:c>
      <x:c r="G61" s="115" t="str">
        <x:v>de_k5_st57_naturlyrik_einstieg</x:v>
      </x:c>
      <x:c r="H61" s="176" t="e">
        <x:f>HYPERLINK("schueler/de_k5_st57_naturlyrik_einstieg_app.html","Lernmodul öffnen")</x:f>
      </x:c>
      <x:c r="I61" s="177" t="e">
        <x:f>HYPERLINK("lehrer/de_k5_st57_naturlyrik_einstieg_orga.html","Vorbereitung öffnen")</x:f>
      </x:c>
    </x:row>
    <x:row r="62" ht="65" customHeight="1">
      <x:c r="A62" s="142" t="n">
        <x:v>5</x:v>
      </x:c>
      <x:c r="B62" s="115" t="str">
        <x:v>Lesen/Umgang mit Texten</x:v>
      </x:c>
      <x:c r="C62" s="148" t="n">
        <x:v>58</x:v>
      </x:c>
      <x:c r="D62" s="115" t="str">
        <x:v>Naturgedichte entdecken: den Text mit Lesestrategien erschließen</x:v>
      </x:c>
      <x:c r="E62" s="115" t="str">
        <x:v>Text abschnittsweise lesen; Schlüsselwörter markieren und den Inhalt mit Leitfragen sichern. Basisniveau mit klaren Teilschritten, Wortlisten, Satzstartern und häufigen Sicherungen.</x:v>
      </x:c>
      <x:c r="F62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62" s="115" t="str">
        <x:v>de_k5_st58_naturlyrik_erschliessen</x:v>
      </x:c>
      <x:c r="H62" s="176" t="e">
        <x:f>HYPERLINK("schueler/de_k5_st58_naturlyrik_erschliessen_app.html","Lernmodul öffnen")</x:f>
      </x:c>
      <x:c r="I62" s="177" t="e">
        <x:f>HYPERLINK("lehrer/de_k5_st58_naturlyrik_erschliessen_orga.html","Vorbereitung öffnen")</x:f>
      </x:c>
    </x:row>
    <x:row r="63" ht="65" customHeight="1">
      <x:c r="A63" s="142" t="n">
        <x:v>5</x:v>
      </x:c>
      <x:c r="B63" s="115" t="str">
        <x:v>Lesen/Umgang mit Texten</x:v>
      </x:c>
      <x:c r="C63" s="148" t="n">
        <x:v>59</x:v>
      </x:c>
      <x:c r="D63" s="115" t="str">
        <x:v>Naturgedichte entdecken: Gattungsmerkmale erkennen</x:v>
      </x:c>
      <x:c r="E63" s="115" t="str">
        <x:v>Merkmale wie Vers, Strophe, Reim, Rhythmus mithilfe einer Checkliste zuordnen und an Textstellen zeigen. Basisniveau mit klaren Teilschritten, Wortlisten, Satzstartern und häufigen Sicherungen.</x:v>
      </x:c>
      <x:c r="F63" s="115" t="str">
        <x:v>Merkmale wie Vers, Strophe, Reim, Rhythmus textnah belegen und ihre Funktion für Aufbau und Wirkung erklären. Erweiterungsniveau mit selbstständigerer Erschließung, zusätzlichen Belegen und begründeten Urteilen.</x:v>
      </x:c>
      <x:c r="G63" s="115" t="str">
        <x:v>de_k5_st59_naturlyrik_merkmale</x:v>
      </x:c>
      <x:c r="H63" s="176" t="e">
        <x:f>HYPERLINK("schueler/de_k5_st59_naturlyrik_merkmale_app.html","Lernmodul öffnen")</x:f>
      </x:c>
      <x:c r="I63" s="177" t="e">
        <x:f>HYPERLINK("lehrer/de_k5_st59_naturlyrik_merkmale_orga.html","Vorbereitung öffnen")</x:f>
      </x:c>
    </x:row>
    <x:row r="64" ht="65" customHeight="1">
      <x:c r="A64" s="142" t="n">
        <x:v>5</x:v>
      </x:c>
      <x:c r="B64" s="115" t="str">
        <x:v>Lesen/Umgang mit Texten</x:v>
      </x:c>
      <x:c r="C64" s="148" t="n">
        <x:v>60</x:v>
      </x:c>
      <x:c r="D64" s="115" t="str">
        <x:v>Naturgedichte entdecken: Figuren, Handlung und Konflikt untersuchen</x:v>
      </x:c>
      <x:c r="E64" s="115" t="str">
        <x:v>Sprecher, Stimmung und Bildlichkeit mit Figurenkarten oder Handlungsstreifen ordnen; einfache Belege auswählen. Basisniveau mit klaren Teilschritten, Wortlisten, Satzstartern und häufigen Sicherungen.</x:v>
      </x:c>
      <x:c r="F64" s="115" t="str">
        <x:v>Sprecher, Stimmung und Bildlichkeit in ihrem Zusammenhang untersuchen; Schlussfolgerungen mit passenden Textbelegen absichern. Erweiterungsniveau mit selbstständigerer Erschließung, zusätzlichen Belegen und begründeten Urteilen.</x:v>
      </x:c>
      <x:c r="G64" s="115" t="str">
        <x:v>de_k5_st60_naturlyrik_figuren_handlung</x:v>
      </x:c>
      <x:c r="H64" s="176" t="e">
        <x:f>HYPERLINK("schueler/de_k5_st60_naturlyrik_figuren_handlung_app.html","Lernmodul öffnen")</x:f>
      </x:c>
      <x:c r="I64" s="177" t="e">
        <x:f>HYPERLINK("lehrer/de_k5_st60_naturlyrik_figuren_handlung_orga.html","Vorbereitung öffnen")</x:f>
      </x:c>
    </x:row>
    <x:row r="65" ht="65" customHeight="1">
      <x:c r="A65" s="142" t="n">
        <x:v>5</x:v>
      </x:c>
      <x:c r="B65" s="115" t="str">
        <x:v>Sprache untersuchen</x:v>
      </x:c>
      <x:c r="C65" s="148" t="n">
        <x:v>61</x:v>
      </x:c>
      <x:c r="D65" s="115" t="str">
        <x:v>Naturgedichte entdecken: Sprache und Wirkung untersuchen</x:v>
      </x:c>
      <x:c r="E65" s="115" t="str">
        <x:v>Beispiele für Klangwörter, Vergleiche, Personifikationen markieren und ihre Wirkung mit vorgegebenen Begriffen beschreiben. Basisniveau mit klaren Teilschritten, Wortlisten, Satzstartern und häufigen Sicherungen.</x:v>
      </x:c>
      <x:c r="F65" s="115" t="str">
        <x:v>Klangwörter, Vergleiche, Personifikationen fachsprachlich analysieren und auf Figurenzeichnung, Stimmung oder Aussage beziehen. Erweiterungsniveau mit selbstständigerer Erschließung, zusätzlichen Belegen und begründeten Urteilen.</x:v>
      </x:c>
      <x:c r="G65" s="115" t="str">
        <x:v>de_k5_st61_naturlyrik_sprache_wirkung</x:v>
      </x:c>
      <x:c r="H65" s="176" t="e">
        <x:f>HYPERLINK("schueler/de_k5_st61_naturlyrik_sprache_wirkung_app.html","Lernmodul öffnen")</x:f>
      </x:c>
      <x:c r="I65" s="177" t="e">
        <x:f>HYPERLINK("lehrer/de_k5_st61_naturlyrik_sprache_wirkung_orga.html","Vorbereitung öffnen")</x:f>
      </x:c>
    </x:row>
    <x:row r="66" ht="65" customHeight="1">
      <x:c r="A66" s="142" t="n">
        <x:v>5</x:v>
      </x:c>
      <x:c r="B66" s="115" t="str">
        <x:v>Schreiben</x:v>
      </x:c>
      <x:c r="C66" s="148" t="n">
        <x:v>62</x:v>
      </x:c>
      <x:c r="D66" s="115" t="str">
        <x:v>Naturgedichte entdecken: eine Deutung oder Perspektive vorbereiten</x:v>
      </x:c>
      <x:c r="E66" s="115" t="str">
        <x:v>Eine zentrale Aussage mit Satzstartern formulieren; Beleg und Erklärung in einem Schreibrahmen verbinden. Basisniveau mit klaren Teilschritten, Wortlisten, Satzstartern und häufigen Sicherungen.</x:v>
      </x:c>
      <x:c r="F66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66" s="115" t="str">
        <x:v>de_k5_st62_naturlyrik_deutung_planen</x:v>
      </x:c>
      <x:c r="H66" s="176" t="e">
        <x:f>HYPERLINK("schueler/de_k5_st62_naturlyrik_deutung_planen_app.html","Lernmodul öffnen")</x:f>
      </x:c>
      <x:c r="I66" s="177" t="e">
        <x:f>HYPERLINK("lehrer/de_k5_st62_naturlyrik_deutung_planen_orga.html","Vorbereitung öffnen")</x:f>
      </x:c>
    </x:row>
    <x:row r="67" ht="65" customHeight="1">
      <x:c r="A67" s="142" t="n">
        <x:v>5</x:v>
      </x:c>
      <x:c r="B67" s="115" t="str">
        <x:v>Schreiben</x:v>
      </x:c>
      <x:c r="C67" s="148" t="n">
        <x:v>63</x:v>
      </x:c>
      <x:c r="D67" s="115" t="str">
        <x:v>Naturgedichte entdecken: Gedichtvortrag und eigenes Gedicht gestalten</x:v>
      </x:c>
      <x:c r="E67" s="115" t="str">
        <x:v>Gedichtvortrag und eigenes gedicht nach klaren Vorgaben erstellen; Hilfekarten und Wortbank nutzen. Basisniveau mit klaren Teilschritten, Wortlisten, Satzstartern und häufigen Sicherungen.</x:v>
      </x:c>
      <x:c r="F67" s="115" t="str">
        <x:v>Gedichtvortrag und eigenes gedicht eigenständig, textnah und sprachlich variabel gestalten; Wirkung bewusst planen. Erweiterungsniveau mit selbstständigerer Erschließung, zusätzlichen Belegen und begründeten Urteilen.</x:v>
      </x:c>
      <x:c r="G67" s="115" t="str">
        <x:v>de_k5_st63_naturlyrik_produkt</x:v>
      </x:c>
      <x:c r="H67" s="176" t="e">
        <x:f>HYPERLINK("schueler/de_k5_st63_naturlyrik_produkt_app.html","Lernmodul öffnen")</x:f>
      </x:c>
      <x:c r="I67" s="177" t="e">
        <x:f>HYPERLINK("lehrer/de_k5_st63_naturlyrik_produkt_orga.html","Vorbereitung öffnen")</x:f>
      </x:c>
    </x:row>
    <x:row r="68" ht="65" customHeight="1">
      <x:c r="A68" s="142" t="n">
        <x:v>5</x:v>
      </x:c>
      <x:c r="B68" s="115" t="str">
        <x:v>Sprechen und Zuhören</x:v>
      </x:c>
      <x:c r="C68" s="148" t="n">
        <x:v>64</x:v>
      </x:c>
      <x:c r="D68" s="115" t="str">
        <x:v>Naturgedichte entdecken: Ergebnisse präsentieren und reflektieren</x:v>
      </x:c>
      <x:c r="E68" s="115" t="str">
        <x:v>Ergebnis kurz vorstellen; zwei vereinbarte Kriterien für Rückmeldung anwenden. Basisniveau mit klaren Teilschritten, Wortlisten, Satzstartern und häufigen Sicherungen.</x:v>
      </x:c>
      <x:c r="F68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68" s="115" t="str">
        <x:v>de_k5_st64_naturlyrik_praesentieren</x:v>
      </x:c>
      <x:c r="H68" s="176" t="e">
        <x:f>HYPERLINK("schueler/de_k5_st64_naturlyrik_praesentieren_app.html","Lernmodul öffnen")</x:f>
      </x:c>
      <x:c r="I68" s="177" t="e">
        <x:f>HYPERLINK("lehrer/de_k5_st64_naturlyrik_praesentieren_orga.html","Vorbereitung öffnen")</x:f>
      </x:c>
    </x:row>
    <x:row r="69" ht="65" customHeight="1">
      <x:c r="A69" s="142" t="n">
        <x:v>5</x:v>
      </x:c>
      <x:c r="B69" s="115" t="str">
        <x:v>Sprechen und Zuhören</x:v>
      </x:c>
      <x:c r="C69" s="148" t="n">
        <x:v>65</x:v>
      </x:c>
      <x:c r="D69" s="115" t="str">
        <x:v>Kinder- und Jugendbuch als Ganzschrift: Hör- oder Leseeinstieg gestalten</x:v>
      </x:c>
      <x:c r="E69" s="115" t="str">
        <x:v>Einstieg über Bild, Hörtext oder kurzen Auszug; Vorwissen zu altersgemäßer Jugendroman sammeln und zentrale Wörter klären. Basisniveau mit klaren Teilschritten, Wortlisten, Satzstartern und häufigen Sicherungen.</x:v>
      </x:c>
      <x:c r="F69" s="115" t="str">
        <x:v>Aus Titel, Kontext und Gestaltung Erwartungen an altersgemäßer Jugendroman ableiten; erste Hypothesen formulieren und begründen. Erweiterungsniveau mit selbstständigerer Erschließung, zusätzlichen Belegen und begründeten Urteilen.</x:v>
      </x:c>
      <x:c r="G69" s="115" t="str">
        <x:v>de_k5_st65_jugendbuch_einstieg</x:v>
      </x:c>
      <x:c r="H69" s="176" t="e">
        <x:f>HYPERLINK("schueler/de_k5_st65_jugendbuch_einstieg_app.html","Lernmodul öffnen")</x:f>
      </x:c>
      <x:c r="I69" s="177" t="e">
        <x:f>HYPERLINK("lehrer/de_k5_st65_jugendbuch_einstieg_orga.html","Vorbereitung öffnen")</x:f>
      </x:c>
    </x:row>
    <x:row r="70" ht="65" customHeight="1">
      <x:c r="A70" s="142" t="n">
        <x:v>5</x:v>
      </x:c>
      <x:c r="B70" s="115" t="str">
        <x:v>Lesen/Umgang mit Texten</x:v>
      </x:c>
      <x:c r="C70" s="148" t="n">
        <x:v>66</x:v>
      </x:c>
      <x:c r="D70" s="115" t="str">
        <x:v>Kinder- und Jugendbuch als Ganzschrift: den Text mit Lesestrategien erschließen</x:v>
      </x:c>
      <x:c r="E70" s="115" t="str">
        <x:v>Text abschnittsweise lesen; Schlüsselwörter markieren und den Inhalt mit Leitfragen sichern. Basisniveau mit klaren Teilschritten, Wortlisten, Satzstartern und häufigen Sicherungen.</x:v>
      </x:c>
      <x:c r="F70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70" s="115" t="str">
        <x:v>de_k5_st66_jugendbuch_erschliessen</x:v>
      </x:c>
      <x:c r="H70" s="176" t="e">
        <x:f>HYPERLINK("schueler/de_k5_st66_jugendbuch_erschliessen_app.html","Lernmodul öffnen")</x:f>
      </x:c>
      <x:c r="I70" s="177" t="e">
        <x:f>HYPERLINK("lehrer/de_k5_st66_jugendbuch_erschliessen_orga.html","Vorbereitung öffnen")</x:f>
      </x:c>
    </x:row>
    <x:row r="71" ht="65" customHeight="1">
      <x:c r="A71" s="142" t="n">
        <x:v>5</x:v>
      </x:c>
      <x:c r="B71" s="115" t="str">
        <x:v>Lesen/Umgang mit Texten</x:v>
      </x:c>
      <x:c r="C71" s="148" t="n">
        <x:v>67</x:v>
      </x:c>
      <x:c r="D71" s="115" t="str">
        <x:v>Kinder- und Jugendbuch als Ganzschrift: Gattungsmerkmale erkennen</x:v>
      </x:c>
      <x:c r="E71" s="115" t="str">
        <x:v>Merkmale wie Kapitel, Figurenkonstellation, Konflikt mithilfe einer Checkliste zuordnen und an Textstellen zeigen. Basisniveau mit klaren Teilschritten, Wortlisten, Satzstartern und häufigen Sicherungen.</x:v>
      </x:c>
      <x:c r="F71" s="115" t="str">
        <x:v>Merkmale wie Kapitel, Figurenkonstellation, Konflikt textnah belegen und ihre Funktion für Aufbau und Wirkung erklären. Erweiterungsniveau mit selbstständigerer Erschließung, zusätzlichen Belegen und begründeten Urteilen.</x:v>
      </x:c>
      <x:c r="G71" s="115" t="str">
        <x:v>de_k5_st67_jugendbuch_merkmale</x:v>
      </x:c>
      <x:c r="H71" s="176" t="e">
        <x:f>HYPERLINK("schueler/de_k5_st67_jugendbuch_merkmale_app.html","Lernmodul öffnen")</x:f>
      </x:c>
      <x:c r="I71" s="177" t="e">
        <x:f>HYPERLINK("lehrer/de_k5_st67_jugendbuch_merkmale_orga.html","Vorbereitung öffnen")</x:f>
      </x:c>
    </x:row>
    <x:row r="72" ht="65" customHeight="1">
      <x:c r="A72" s="142" t="n">
        <x:v>5</x:v>
      </x:c>
      <x:c r="B72" s="115" t="str">
        <x:v>Lesen/Umgang mit Texten</x:v>
      </x:c>
      <x:c r="C72" s="148" t="n">
        <x:v>68</x:v>
      </x:c>
      <x:c r="D72" s="115" t="str">
        <x:v>Kinder- und Jugendbuch als Ganzschrift: Figuren, Handlung und Konflikt untersuchen</x:v>
      </x:c>
      <x:c r="E72" s="115" t="str">
        <x:v>Entwicklung der Hauptfigur und Perspektive mit Figurenkarten oder Handlungsstreifen ordnen; einfache Belege auswählen. Basisniveau mit klaren Teilschritten, Wortlisten, Satzstartern und häufigen Sicherungen.</x:v>
      </x:c>
      <x:c r="F72" s="115" t="str">
        <x:v>Entwicklung der Hauptfigur und Perspektive in ihrem Zusammenhang untersuchen; Schlussfolgerungen mit passenden Textbelegen absichern. Erweiterungsniveau mit selbstständigerer Erschließung, zusätzlichen Belegen und begründeten Urteilen.</x:v>
      </x:c>
      <x:c r="G72" s="115" t="str">
        <x:v>de_k5_st68_jugendbuch_figuren_handlung</x:v>
      </x:c>
      <x:c r="H72" s="176" t="e">
        <x:f>HYPERLINK("schueler/de_k5_st68_jugendbuch_figuren_handlung_app.html","Lernmodul öffnen")</x:f>
      </x:c>
      <x:c r="I72" s="177" t="e">
        <x:f>HYPERLINK("lehrer/de_k5_st68_jugendbuch_figuren_handlung_orga.html","Vorbereitung öffnen")</x:f>
      </x:c>
    </x:row>
    <x:row r="73" ht="65" customHeight="1">
      <x:c r="A73" s="142" t="n">
        <x:v>5</x:v>
      </x:c>
      <x:c r="B73" s="115" t="str">
        <x:v>Sprache untersuchen</x:v>
      </x:c>
      <x:c r="C73" s="148" t="n">
        <x:v>69</x:v>
      </x:c>
      <x:c r="D73" s="115" t="str">
        <x:v>Kinder- und Jugendbuch als Ganzschrift: Sprache und Wirkung untersuchen</x:v>
      </x:c>
      <x:c r="E73" s="115" t="str">
        <x:v>Beispiele für Erzähltempo, Dialoge, innere Gedanken markieren und ihre Wirkung mit vorgegebenen Begriffen beschreiben. Basisniveau mit klaren Teilschritten, Wortlisten, Satzstartern und häufigen Sicherungen.</x:v>
      </x:c>
      <x:c r="F73" s="115" t="str">
        <x:v>Erzähltempo, Dialoge, innere Gedanken fachsprachlich analysieren und auf Figurenzeichnung, Stimmung oder Aussage beziehen. Erweiterungsniveau mit selbstständigerer Erschließung, zusätzlichen Belegen und begründeten Urteilen.</x:v>
      </x:c>
      <x:c r="G73" s="115" t="str">
        <x:v>de_k5_st69_jugendbuch_sprache_wirkung</x:v>
      </x:c>
      <x:c r="H73" s="176" t="e">
        <x:f>HYPERLINK("schueler/de_k5_st69_jugendbuch_sprache_wirkung_app.html","Lernmodul öffnen")</x:f>
      </x:c>
      <x:c r="I73" s="177" t="e">
        <x:f>HYPERLINK("lehrer/de_k5_st69_jugendbuch_sprache_wirkung_orga.html","Vorbereitung öffnen")</x:f>
      </x:c>
    </x:row>
    <x:row r="74" ht="65" customHeight="1">
      <x:c r="A74" s="142" t="n">
        <x:v>5</x:v>
      </x:c>
      <x:c r="B74" s="115" t="str">
        <x:v>Schreiben</x:v>
      </x:c>
      <x:c r="C74" s="148" t="n">
        <x:v>70</x:v>
      </x:c>
      <x:c r="D74" s="115" t="str">
        <x:v>Kinder- und Jugendbuch als Ganzschrift: eine Deutung oder Perspektive vorbereiten</x:v>
      </x:c>
      <x:c r="E74" s="115" t="str">
        <x:v>Eine zentrale Aussage mit Satzstartern formulieren; Beleg und Erklärung in einem Schreibrahmen verbinden. Basisniveau mit klaren Teilschritten, Wortlisten, Satzstartern und häufigen Sicherungen.</x:v>
      </x:c>
      <x:c r="F74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74" s="115" t="str">
        <x:v>de_k5_st70_jugendbuch_deutung_planen</x:v>
      </x:c>
      <x:c r="H74" s="176" t="e">
        <x:f>HYPERLINK("schueler/de_k5_st70_jugendbuch_deutung_planen_app.html","Lernmodul öffnen")</x:f>
      </x:c>
      <x:c r="I74" s="177" t="e">
        <x:f>HYPERLINK("lehrer/de_k5_st70_jugendbuch_deutung_planen_orga.html","Vorbereitung öffnen")</x:f>
      </x:c>
    </x:row>
    <x:row r="75" ht="65" customHeight="1">
      <x:c r="A75" s="142" t="n">
        <x:v>5</x:v>
      </x:c>
      <x:c r="B75" s="115" t="str">
        <x:v>Schreiben</x:v>
      </x:c>
      <x:c r="C75" s="148" t="n">
        <x:v>71</x:v>
      </x:c>
      <x:c r="D75" s="115" t="str">
        <x:v>Kinder- und Jugendbuch als Ganzschrift: Lesetagebuch gestalten</x:v>
      </x:c>
      <x:c r="E75" s="115" t="str">
        <x:v>Lesetagebuch nach klaren Vorgaben erstellen; Hilfekarten und Wortbank nutzen. Basisniveau mit klaren Teilschritten, Wortlisten, Satzstartern und häufigen Sicherungen.</x:v>
      </x:c>
      <x:c r="F75" s="115" t="str">
        <x:v>Lesetagebuch eigenständig, textnah und sprachlich variabel gestalten; Wirkung bewusst planen. Erweiterungsniveau mit selbstständigerer Erschließung, zusätzlichen Belegen und begründeten Urteilen.</x:v>
      </x:c>
      <x:c r="G75" s="115" t="str">
        <x:v>de_k5_st71_jugendbuch_produkt</x:v>
      </x:c>
      <x:c r="H75" s="176" t="e">
        <x:f>HYPERLINK("schueler/de_k5_st71_jugendbuch_produkt_app.html","Lernmodul öffnen")</x:f>
      </x:c>
      <x:c r="I75" s="177" t="e">
        <x:f>HYPERLINK("lehrer/de_k5_st71_jugendbuch_produkt_orga.html","Vorbereitung öffnen")</x:f>
      </x:c>
    </x:row>
    <x:row r="76" ht="65" customHeight="1">
      <x:c r="A76" s="142" t="n">
        <x:v>5</x:v>
      </x:c>
      <x:c r="B76" s="115" t="str">
        <x:v>Sprechen und Zuhören</x:v>
      </x:c>
      <x:c r="C76" s="148" t="n">
        <x:v>72</x:v>
      </x:c>
      <x:c r="D76" s="115" t="str">
        <x:v>Kinder- und Jugendbuch als Ganzschrift: Ergebnisse präsentieren und reflektieren</x:v>
      </x:c>
      <x:c r="E76" s="115" t="str">
        <x:v>Ergebnis kurz vorstellen; zwei vereinbarte Kriterien für Rückmeldung anwenden. Basisniveau mit klaren Teilschritten, Wortlisten, Satzstartern und häufigen Sicherungen.</x:v>
      </x:c>
      <x:c r="F76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76" s="115" t="str">
        <x:v>de_k5_st72_jugendbuch_praesentieren</x:v>
      </x:c>
      <x:c r="H76" s="176" t="e">
        <x:f>HYPERLINK("schueler/de_k5_st72_jugendbuch_praesentieren_app.html","Lernmodul öffnen")</x:f>
      </x:c>
      <x:c r="I76" s="177" t="e">
        <x:f>HYPERLINK("lehrer/de_k5_st72_jugendbuch_praesentieren_orga.html","Vorbereitung öffnen")</x:f>
      </x:c>
    </x:row>
    <x:row r="77" ht="65" customHeight="1">
      <x:c r="A77" s="142" t="n">
        <x:v>5</x:v>
      </x:c>
      <x:c r="B77" s="115" t="str">
        <x:v>Sprechen und Zuhören</x:v>
      </x:c>
      <x:c r="C77" s="148" t="n">
        <x:v>73</x:v>
      </x:c>
      <x:c r="D77" s="115" t="str">
        <x:v>Sachtexte und Schaubilder erschließen: Vorwissen und Positionen klären</x:v>
      </x:c>
      <x:c r="E77" s="115" t="str">
        <x:v>Eigene Erfahrungen zu lineare und nicht lineare Sachtexte benennen; zentrale Begriffe mit Beispielen klären. Basisniveau mit klaren Teilschritten, Wortlisten, Satzstartern und häufigen Sicherungen.</x:v>
      </x:c>
      <x:c r="F77" s="115" t="str">
        <x:v>Vorwissen zu lineare und nicht lineare Sachtexte strukturieren; erste Positionen formulieren und mögliche Konflikte benennen. Erweiterungsniveau mit selbstständigerer Erschließung, zusätzlichen Belegen und begründeten Urteilen.</x:v>
      </x:c>
      <x:c r="G77" s="115" t="str">
        <x:v>de_k5_st73_sachtexte_einstieg</x:v>
      </x:c>
      <x:c r="H77" s="176" t="e">
        <x:f>HYPERLINK("schueler/de_k5_st73_sachtexte_einstieg_app.html","Lernmodul öffnen")</x:f>
      </x:c>
      <x:c r="I77" s="177" t="e">
        <x:f>HYPERLINK("lehrer/de_k5_st73_sachtexte_einstieg_orga.html","Vorbereitung öffnen")</x:f>
      </x:c>
    </x:row>
    <x:row r="78" ht="65" customHeight="1">
      <x:c r="A78" s="142" t="n">
        <x:v>5</x:v>
      </x:c>
      <x:c r="B78" s="115" t="str">
        <x:v>Lesen/Umgang mit Texten</x:v>
      </x:c>
      <x:c r="C78" s="148" t="n">
        <x:v>74</x:v>
      </x:c>
      <x:c r="D78" s="115" t="str">
        <x:v>Sachtexte und Schaubilder erschließen: Quellen und Materialien erschließen</x:v>
      </x:c>
      <x:c r="E78" s="115" t="str">
        <x:v>Kurze Materialien lesen oder ansehen; Hauptaussagen mit Leitfragen festhalten. Basisniveau mit klaren Teilschritten, Wortlisten, Satzstartern und häufigen Sicherungen.</x:v>
      </x:c>
      <x:c r="F78" s="115" t="str">
        <x:v>Unterschiedliche Materialien selbstständig erschließen; Aussage, Intention und Kontext bestimmen. Erweiterungsniveau mit selbstständigerer Erschließung, zusätzlichen Belegen und begründeten Urteilen.</x:v>
      </x:c>
      <x:c r="G78" s="115" t="str">
        <x:v>de_k5_st74_sachtexte_quellen</x:v>
      </x:c>
      <x:c r="H78" s="176" t="e">
        <x:f>HYPERLINK("schueler/de_k5_st74_sachtexte_quellen_app.html","Lernmodul öffnen")</x:f>
      </x:c>
      <x:c r="I78" s="177" t="e">
        <x:f>HYPERLINK("lehrer/de_k5_st74_sachtexte_quellen_orga.html","Vorbereitung öffnen")</x:f>
      </x:c>
    </x:row>
    <x:row r="79" ht="65" customHeight="1">
      <x:c r="A79" s="142" t="n">
        <x:v>5</x:v>
      </x:c>
      <x:c r="B79" s="115" t="str">
        <x:v>Lesen/Umgang mit Texten</x:v>
      </x:c>
      <x:c r="C79" s="148" t="n">
        <x:v>75</x:v>
      </x:c>
      <x:c r="D79" s="115" t="str">
        <x:v>Sachtexte und Schaubilder erschließen: Qualitätskriterien anwenden</x:v>
      </x:c>
      <x:c r="E79" s="115" t="str">
        <x:v>Überschrift, Schlüsselwörter, Quellenangabe in einer Checkliste anwenden und Auffälligkeiten markieren. Basisniveau mit klaren Teilschritten, Wortlisten, Satzstartern und häufigen Sicherungen.</x:v>
      </x:c>
      <x:c r="F79" s="115" t="str">
        <x:v>Überschrift, Schlüsselwörter, Quellenangabe gewichten, auf Grenzfälle anwenden und begründete Qualitätsurteile formulieren. Erweiterungsniveau mit selbstständigerer Erschließung, zusätzlichen Belegen und begründeten Urteilen.</x:v>
      </x:c>
      <x:c r="G79" s="115" t="str">
        <x:v>de_k5_st75_sachtexte_kriterien</x:v>
      </x:c>
      <x:c r="H79" s="176" t="e">
        <x:f>HYPERLINK("schueler/de_k5_st75_sachtexte_kriterien_app.html","Lernmodul öffnen")</x:f>
      </x:c>
      <x:c r="I79" s="177" t="e">
        <x:f>HYPERLINK("lehrer/de_k5_st75_sachtexte_kriterien_orga.html","Vorbereitung öffnen")</x:f>
      </x:c>
    </x:row>
    <x:row r="80" ht="65" customHeight="1">
      <x:c r="A80" s="142" t="n">
        <x:v>5</x:v>
      </x:c>
      <x:c r="B80" s="115" t="str">
        <x:v>Lesen/Umgang mit Texten</x:v>
      </x:c>
      <x:c r="C80" s="148" t="n">
        <x:v>76</x:v>
      </x:c>
      <x:c r="D80" s="115" t="str">
        <x:v>Sachtexte und Schaubilder erschließen: Darstellungen vergleichen</x:v>
      </x:c>
      <x:c r="E80" s="115" t="str">
        <x:v>Text, tabelle und diagramm nach vorgegebenen Merkmalen vergleichen. Basisniveau mit klaren Teilschritten, Wortlisten, Satzstartern und häufigen Sicherungen.</x:v>
      </x:c>
      <x:c r="F80" s="115" t="str">
        <x:v>Text, tabelle und diagramm hinsichtlich Informationsauswahl, Gestaltung, Wirkung und Interessen vergleichen. Erweiterungsniveau mit selbstständigerer Erschließung, zusätzlichen Belegen und begründeten Urteilen.</x:v>
      </x:c>
      <x:c r="G80" s="115" t="str">
        <x:v>de_k5_st76_sachtexte_vergleichen</x:v>
      </x:c>
      <x:c r="H80" s="176" t="e">
        <x:f>HYPERLINK("schueler/de_k5_st76_sachtexte_vergleichen_app.html","Lernmodul öffnen")</x:f>
      </x:c>
      <x:c r="I80" s="177" t="e">
        <x:f>HYPERLINK("lehrer/de_k5_st76_sachtexte_vergleichen_orga.html","Vorbereitung öffnen")</x:f>
      </x:c>
    </x:row>
    <x:row r="81" ht="65" customHeight="1">
      <x:c r="A81" s="142" t="n">
        <x:v>5</x:v>
      </x:c>
      <x:c r="B81" s="115" t="str">
        <x:v>Schreiben</x:v>
      </x:c>
      <x:c r="C81" s="148" t="n">
        <x:v>77</x:v>
      </x:c>
      <x:c r="D81" s="115" t="str">
        <x:v>Sachtexte und Schaubilder erschließen: Informationen prüfen und ordnen</x:v>
      </x:c>
      <x:c r="E81" s="115" t="str">
        <x:v>Informationen aus vorgegebenen Quellen auswählen; Fundstellen notieren und geordnet ablegen. Basisniveau mit klaren Teilschritten, Wortlisten, Satzstartern und häufigen Sicherungen.</x:v>
      </x:c>
      <x:c r="F81" s="115" t="str">
        <x:v>Recherchefrage entwickeln; Quellen prüfen, Informationen abgleichen und korrekt dokumentieren. Erweiterungsniveau mit selbstständigerer Erschließung, zusätzlichen Belegen und begründeten Urteilen.</x:v>
      </x:c>
      <x:c r="G81" s="115" t="str">
        <x:v>de_k5_st77_sachtexte_recherche</x:v>
      </x:c>
      <x:c r="H81" s="176" t="e">
        <x:f>HYPERLINK("schueler/de_k5_st77_sachtexte_recherche_app.html","Lernmodul öffnen")</x:f>
      </x:c>
      <x:c r="I81" s="177" t="e">
        <x:f>HYPERLINK("lehrer/de_k5_st77_sachtexte_recherche_orga.html","Vorbereitung öffnen")</x:f>
      </x:c>
    </x:row>
    <x:row r="82" ht="65" customHeight="1">
      <x:c r="A82" s="142" t="n">
        <x:v>5</x:v>
      </x:c>
      <x:c r="B82" s="115" t="str">
        <x:v>Schreiben</x:v>
      </x:c>
      <x:c r="C82" s="148" t="n">
        <x:v>78</x:v>
      </x:c>
      <x:c r="D82" s="115" t="str">
        <x:v>Sachtexte und Schaubilder erschließen: Produkt planen</x:v>
      </x:c>
      <x:c r="E82" s="115" t="str">
        <x:v>Für Informationsplakat einen vorgegebenen Arbeitsplan ergänzen; Aufgaben verteilen. Basisniveau mit klaren Teilschritten, Wortlisten, Satzstartern und häufigen Sicherungen.</x:v>
      </x:c>
      <x:c r="F82" s="115" t="str">
        <x:v>Für Informationsplakat Zielgruppe, Aufbau, Medienwahl, Zeitplan und Qualitätskontrolle selbstständig festlegen. Erweiterungsniveau mit selbstständigerer Erschließung, zusätzlichen Belegen und begründeten Urteilen.</x:v>
      </x:c>
      <x:c r="G82" s="115" t="str">
        <x:v>de_k5_st78_sachtexte_planen</x:v>
      </x:c>
      <x:c r="H82" s="176" t="e">
        <x:f>HYPERLINK("schueler/de_k5_st78_sachtexte_planen_app.html","Lernmodul öffnen")</x:f>
      </x:c>
      <x:c r="I82" s="177" t="e">
        <x:f>HYPERLINK("lehrer/de_k5_st78_sachtexte_planen_orga.html","Vorbereitung öffnen")</x:f>
      </x:c>
    </x:row>
    <x:row r="83" ht="65" customHeight="1">
      <x:c r="A83" s="142" t="n">
        <x:v>5</x:v>
      </x:c>
      <x:c r="B83" s="115" t="str">
        <x:v>Schreiben</x:v>
      </x:c>
      <x:c r="C83" s="148" t="n">
        <x:v>79</x:v>
      </x:c>
      <x:c r="D83" s="115" t="str">
        <x:v>Sachtexte und Schaubilder erschließen: Produkt erstellen</x:v>
      </x:c>
      <x:c r="E83" s="115" t="str">
        <x:v>Informationsplakat mit Vorlage und klaren Teilaufträgen erstellen. Basisniveau mit klaren Teilschritten, Wortlisten, Satzstartern und häufigen Sicherungen.</x:v>
      </x:c>
      <x:c r="F83" s="115" t="str">
        <x:v>Informationsplakat selbstständig, adressatengerecht und quellenbewusst erstellen. Erweiterungsniveau mit selbstständigerer Erschließung, zusätzlichen Belegen und begründeten Urteilen.</x:v>
      </x:c>
      <x:c r="G83" s="115" t="str">
        <x:v>de_k5_st79_sachtexte_erstellen</x:v>
      </x:c>
      <x:c r="H83" s="176" t="e">
        <x:f>HYPERLINK("schueler/de_k5_st79_sachtexte_erstellen_app.html","Lernmodul öffnen")</x:f>
      </x:c>
      <x:c r="I83" s="177" t="e">
        <x:f>HYPERLINK("lehrer/de_k5_st79_sachtexte_erstellen_orga.html","Vorbereitung öffnen")</x:f>
      </x:c>
    </x:row>
    <x:row r="84" ht="65" customHeight="1">
      <x:c r="A84" s="142" t="n">
        <x:v>5</x:v>
      </x:c>
      <x:c r="B84" s="115" t="str">
        <x:v>Sprechen und Zuhören</x:v>
      </x:c>
      <x:c r="C84" s="148" t="n">
        <x:v>80</x:v>
      </x:c>
      <x:c r="D84" s="115" t="str">
        <x:v>Sachtexte und Schaubilder erschließen: präsentieren und reflektieren</x:v>
      </x:c>
      <x:c r="E84" s="115" t="str">
        <x:v>Produkt kurz vorstellen; Rückmeldung anhand weniger Kriterien geben und annehmen. Basisniveau mit klaren Teilschritten, Wortlisten, Satzstartern und häufigen Sicherungen.</x:v>
      </x:c>
      <x:c r="F84" s="115" t="str">
        <x:v>Produkt überzeugend präsentieren; Arbeitsprozess, Quellenwahl und Wirkung kritisch reflektieren. Erweiterungsniveau mit selbstständigerer Erschließung, zusätzlichen Belegen und begründeten Urteilen.</x:v>
      </x:c>
      <x:c r="G84" s="115" t="str">
        <x:v>de_k5_st80_sachtexte_reflexion</x:v>
      </x:c>
      <x:c r="H84" s="176" t="e">
        <x:f>HYPERLINK("schueler/de_k5_st80_sachtexte_reflexion_app.html","Lernmodul öffnen")</x:f>
      </x:c>
      <x:c r="I84" s="177" t="e">
        <x:f>HYPERLINK("lehrer/de_k5_st80_sachtexte_reflexion_orga.html","Vorbereitung öffnen")</x:f>
      </x:c>
    </x:row>
    <x:row r="85" ht="65" customHeight="1">
      <x:c r="A85" s="142" t="n">
        <x:v>5</x:v>
      </x:c>
      <x:c r="B85" s="115" t="str">
        <x:v>Lesen/Umgang mit Texten</x:v>
      </x:c>
      <x:c r="C85" s="148" t="n">
        <x:v>81</x:v>
      </x:c>
      <x:c r="D85" s="115" t="str">
        <x:v>Briefe, E-Mails und Einladungen verfassen: Beispieltexte untersuchen</x:v>
      </x:c>
      <x:c r="E85" s="115" t="str">
        <x:v>Ein Beispiel für persönliche und sachliche Mitteilungen lesen; Aufbau und typische Formulierungen farbig kennzeichnen. Basisniveau mit klaren Teilschritten, Wortlisten, Satzstartern und häufigen Sicherungen.</x:v>
      </x:c>
      <x:c r="F85" s="115" t="str">
        <x:v>Mehrere Beispiele für persönliche und sachliche Mitteilungen vergleichen; Funktion, Adressat und Qualitätsunterschiede herausarbeiten. Erweiterungsniveau mit selbstständigerer Erschließung, zusätzlichen Belegen und begründeten Urteilen.</x:v>
      </x:c>
      <x:c r="G85" s="115" t="str">
        <x:v>de_k5_st81_briefe_beispiel</x:v>
      </x:c>
      <x:c r="H85" s="176" t="e">
        <x:f>HYPERLINK("schueler/de_k5_st81_briefe_beispiel_app.html","Lernmodul öffnen")</x:f>
      </x:c>
      <x:c r="I85" s="177" t="e">
        <x:f>HYPERLINK("lehrer/de_k5_st81_briefe_beispiel_orga.html","Vorbereitung öffnen")</x:f>
      </x:c>
    </x:row>
    <x:row r="86" ht="65" customHeight="1">
      <x:c r="A86" s="142" t="n">
        <x:v>5</x:v>
      </x:c>
      <x:c r="B86" s="115" t="str">
        <x:v>Schreiben</x:v>
      </x:c>
      <x:c r="C86" s="148" t="n">
        <x:v>82</x:v>
      </x:c>
      <x:c r="D86" s="115" t="str">
        <x:v>Briefe, E-Mails und Einladungen verfassen: Schreibziel und Kriterien klären</x:v>
      </x:c>
      <x:c r="E86" s="115" t="str">
        <x:v>Schreibziel „adressaten- und situationsgerecht informieren“ verstehen; eine kurze Kriterienliste auf ein Beispiel anwenden. Basisniveau mit klaren Teilschritten, Wortlisten, Satzstartern und häufigen Sicherungen.</x:v>
      </x:c>
      <x:c r="F86" s="115" t="str">
        <x:v>Schreibziel „adressaten- und situationsgerecht informieren“ präzisieren; Kriterien gewichten und auf unterschiedliche Schreibsituationen übertragen. Erweiterungsniveau mit selbstständigerer Erschließung, zusätzlichen Belegen und begründeten Urteilen.</x:v>
      </x:c>
      <x:c r="G86" s="115" t="str">
        <x:v>de_k5_st82_briefe_kriterien</x:v>
      </x:c>
      <x:c r="H86" s="176" t="e">
        <x:f>HYPERLINK("schueler/de_k5_st82_briefe_kriterien_app.html","Lernmodul öffnen")</x:f>
      </x:c>
      <x:c r="I86" s="177" t="e">
        <x:f>HYPERLINK("lehrer/de_k5_st82_briefe_kriterien_orga.html","Vorbereitung öffnen")</x:f>
      </x:c>
    </x:row>
    <x:row r="87" ht="65" customHeight="1">
      <x:c r="A87" s="142" t="n">
        <x:v>5</x:v>
      </x:c>
      <x:c r="B87" s="115" t="str">
        <x:v>Lesen/Umgang mit Texten</x:v>
      </x:c>
      <x:c r="C87" s="148" t="n">
        <x:v>83</x:v>
      </x:c>
      <x:c r="D87" s="115" t="str">
        <x:v>Briefe, E-Mails und Einladungen verfassen: Inhalte auswählen und ordnen</x:v>
      </x:c>
      <x:c r="E87" s="115" t="str">
        <x:v>Anlass, Empfänger, Aufbau mit Leitfragen sammeln und in einer vorgegebenen Reihenfolge ordnen. Basisniveau mit klaren Teilschritten, Wortlisten, Satzstartern und häufigen Sicherungen.</x:v>
      </x:c>
      <x:c r="F87" s="115" t="str">
        <x:v>Anlass, Empfänger, Aufbau selbstständig auswählen, gewichten und in einer passenden Gliederung strukturieren. Erweiterungsniveau mit selbstständigerer Erschließung, zusätzlichen Belegen und begründeten Urteilen.</x:v>
      </x:c>
      <x:c r="G87" s="115" t="str">
        <x:v>de_k5_st83_briefe_inhalte_ordnen</x:v>
      </x:c>
      <x:c r="H87" s="176" t="e">
        <x:f>HYPERLINK("schueler/de_k5_st83_briefe_inhalte_ordnen_app.html","Lernmodul öffnen")</x:f>
      </x:c>
      <x:c r="I87" s="177" t="e">
        <x:f>HYPERLINK("lehrer/de_k5_st83_briefe_inhalte_ordnen_orga.html","Vorbereitung öffnen")</x:f>
      </x:c>
    </x:row>
    <x:row r="88" ht="65" customHeight="1">
      <x:c r="A88" s="142" t="n">
        <x:v>5</x:v>
      </x:c>
      <x:c r="B88" s="115" t="str">
        <x:v>Sprache untersuchen</x:v>
      </x:c>
      <x:c r="C88" s="148" t="n">
        <x:v>84</x:v>
      </x:c>
      <x:c r="D88" s="115" t="str">
        <x:v>Briefe, E-Mails und Einladungen verfassen: passende sprachliche Mittel verwenden</x:v>
      </x:c>
      <x:c r="E88" s="115" t="str">
        <x:v>Anrede, Gruß, Höflichkeitsformen in Übungen erkennen und nach Satzmustern anwenden. Basisniveau mit klaren Teilschritten, Wortlisten, Satzstartern und häufigen Sicherungen.</x:v>
      </x:c>
      <x:c r="F88" s="115" t="str">
        <x:v>Anrede, Gruß, Höflichkeitsformen hinsichtlich Wirkung und Angemessenheit prüfen und gezielt variieren. Erweiterungsniveau mit selbstständigerer Erschließung, zusätzlichen Belegen und begründeten Urteilen.</x:v>
      </x:c>
      <x:c r="G88" s="115" t="str">
        <x:v>de_k5_st84_briefe_sprachmittel</x:v>
      </x:c>
      <x:c r="H88" s="176" t="e">
        <x:f>HYPERLINK("schueler/de_k5_st84_briefe_sprachmittel_app.html","Lernmodul öffnen")</x:f>
      </x:c>
      <x:c r="I88" s="177" t="e">
        <x:f>HYPERLINK("lehrer/de_k5_st84_briefe_sprachmittel_orga.html","Vorbereitung öffnen")</x:f>
      </x:c>
    </x:row>
    <x:row r="89" ht="65" customHeight="1">
      <x:c r="A89" s="142" t="n">
        <x:v>5</x:v>
      </x:c>
      <x:c r="B89" s="115" t="str">
        <x:v>Schreiben</x:v>
      </x:c>
      <x:c r="C89" s="148" t="n">
        <x:v>85</x:v>
      </x:c>
      <x:c r="D89" s="115" t="str">
        <x:v>Briefe, E-Mails und Einladungen verfassen: einen Schreibplan erstellen</x:v>
      </x:c>
      <x:c r="E89" s="115" t="str">
        <x:v>Einen vorstrukturierten Schreibplan ausfüllen; Einleitung, Hauptteil und Schluss festlegen. Basisniveau mit klaren Teilschritten, Wortlisten, Satzstartern und häufigen Sicherungen.</x:v>
      </x:c>
      <x:c r="F89" s="115" t="str">
        <x:v>Einen eigenen Schreibplan mit Teilzielen, Belegen und sprachlichen Mitteln entwickeln. Erweiterungsniveau mit selbstständigerer Erschließung, zusätzlichen Belegen und begründeten Urteilen.</x:v>
      </x:c>
      <x:c r="G89" s="115" t="str">
        <x:v>de_k5_st85_briefe_schreibplan</x:v>
      </x:c>
      <x:c r="H89" s="176" t="e">
        <x:f>HYPERLINK("schueler/de_k5_st85_briefe_schreibplan_app.html","Lernmodul öffnen")</x:f>
      </x:c>
      <x:c r="I89" s="177" t="e">
        <x:f>HYPERLINK("lehrer/de_k5_st85_briefe_schreibplan_orga.html","Vorbereitung öffnen")</x:f>
      </x:c>
    </x:row>
    <x:row r="90" ht="65" customHeight="1">
      <x:c r="A90" s="142" t="n">
        <x:v>5</x:v>
      </x:c>
      <x:c r="B90" s="115" t="str">
        <x:v>Schreiben</x:v>
      </x:c>
      <x:c r="C90" s="148" t="n">
        <x:v>86</x:v>
      </x:c>
      <x:c r="D90" s="115" t="str">
        <x:v>Briefe, E-Mails und Einladungen verfassen: einen ersten Textentwurf verfassen</x:v>
      </x:c>
      <x:c r="E90" s="115" t="str">
        <x:v>Brief, e-mail oder einladung mithilfe von Schreibrahmen, Satzanfängen und Wortbank verfassen. Basisniveau mit klaren Teilschritten, Wortlisten, Satzstartern und häufigen Sicherungen.</x:v>
      </x:c>
      <x:c r="F90" s="115" t="str">
        <x:v>Brief, e-mail oder einladung selbstständig, adressatenbezogen und sprachlich differenziert verfassen. Erweiterungsniveau mit selbstständigerer Erschließung, zusätzlichen Belegen und begründeten Urteilen.</x:v>
      </x:c>
      <x:c r="G90" s="115" t="str">
        <x:v>de_k5_st86_briefe_entwurf</x:v>
      </x:c>
      <x:c r="H90" s="176" t="e">
        <x:f>HYPERLINK("schueler/de_k5_st86_briefe_entwurf_app.html","Lernmodul öffnen")</x:f>
      </x:c>
      <x:c r="I90" s="177" t="e">
        <x:f>HYPERLINK("lehrer/de_k5_st86_briefe_entwurf_orga.html","Vorbereitung öffnen")</x:f>
      </x:c>
    </x:row>
    <x:row r="91" ht="65" customHeight="1">
      <x:c r="A91" s="142" t="n">
        <x:v>5</x:v>
      </x:c>
      <x:c r="B91" s="115" t="str">
        <x:v>Schreiben</x:v>
      </x:c>
      <x:c r="C91" s="148" t="n">
        <x:v>87</x:v>
      </x:c>
      <x:c r="D91" s="115" t="str">
        <x:v>Briefe, E-Mails und Einladungen verfassen: Text kriteriengeleitet überarbeiten</x:v>
      </x:c>
      <x:c r="E91" s="115" t="str">
        <x:v>Text mit einer kurzen Prüfliste überarbeiten; einen inhaltlichen und einen sprachlichen Fehler verbessern. Basisniveau mit klaren Teilschritten, Wortlisten, Satzstartern und häufigen Sicherungen.</x:v>
      </x:c>
      <x:c r="F91" s="115" t="str">
        <x:v>Text in mehreren Überarbeitungsschritten prüfen; Aufbau, Kohärenz, Stil und Normrichtigkeit gezielt optimieren. Erweiterungsniveau mit selbstständigerer Erschließung, zusätzlichen Belegen und begründeten Urteilen.</x:v>
      </x:c>
      <x:c r="G91" s="115" t="str">
        <x:v>de_k5_st87_briefe_ueberarbeiten</x:v>
      </x:c>
      <x:c r="H91" s="176" t="e">
        <x:f>HYPERLINK("schueler/de_k5_st87_briefe_ueberarbeiten_app.html","Lernmodul öffnen")</x:f>
      </x:c>
      <x:c r="I91" s="177" t="e">
        <x:f>HYPERLINK("lehrer/de_k5_st87_briefe_ueberarbeiten_orga.html","Vorbereitung öffnen")</x:f>
      </x:c>
    </x:row>
    <x:row r="92" ht="65" customHeight="1">
      <x:c r="A92" s="142" t="n">
        <x:v>5</x:v>
      </x:c>
      <x:c r="B92" s="115" t="str">
        <x:v>Sprechen und Zuhören</x:v>
      </x:c>
      <x:c r="C92" s="148" t="n">
        <x:v>88</x:v>
      </x:c>
      <x:c r="D92" s="115" t="str">
        <x:v>Briefe, E-Mails und Einladungen verfassen: Texte vorstellen und bewerten</x:v>
      </x:c>
      <x:c r="E92" s="115" t="str">
        <x:v>Ausgewählte Passage vorlesen oder erläutern; Rückmeldung mit einfachen Satzmustern geben. Basisniveau mit klaren Teilschritten, Wortlisten, Satzstartern und häufigen Sicherungen.</x:v>
      </x:c>
      <x:c r="F92" s="115" t="str">
        <x:v>Textwirkung und Schreibentscheidungen erläutern; differenziertes Peer-Feedback geben und begründet annehmen. Erweiterungsniveau mit selbstständigerer Erschließung, zusätzlichen Belegen und begründeten Urteilen.</x:v>
      </x:c>
      <x:c r="G92" s="115" t="str">
        <x:v>de_k5_st88_briefe_vorstellen</x:v>
      </x:c>
      <x:c r="H92" s="176" t="e">
        <x:f>HYPERLINK("schueler/de_k5_st88_briefe_vorstellen_app.html","Lernmodul öffnen")</x:f>
      </x:c>
      <x:c r="I92" s="177" t="e">
        <x:f>HYPERLINK("lehrer/de_k5_st88_briefe_vorstellen_orga.html","Vorbereitung öffnen")</x:f>
      </x:c>
    </x:row>
    <x:row r="93" ht="65" customHeight="1">
      <x:c r="A93" s="142" t="n">
        <x:v>5</x:v>
      </x:c>
      <x:c r="B93" s="115" t="str">
        <x:v>Sprechen und Zuhören</x:v>
      </x:c>
      <x:c r="C93" s="148" t="n">
        <x:v>89</x:v>
      </x:c>
      <x:c r="D93" s="115" t="str">
        <x:v>Lesen, Vortragen und Medien nutzen: Vorwissen und Positionen klären</x:v>
      </x:c>
      <x:c r="E93" s="115" t="str">
        <x:v>Eigene Erfahrungen zu Buchvorstellung und Vorlesewettbewerb benennen; zentrale Begriffe mit Beispielen klären. Basisniveau mit klaren Teilschritten, Wortlisten, Satzstartern und häufigen Sicherungen.</x:v>
      </x:c>
      <x:c r="F93" s="115" t="str">
        <x:v>Vorwissen zu Buchvorstellung und Vorlesewettbewerb strukturieren; erste Positionen formulieren und mögliche Konflikte benennen. Erweiterungsniveau mit selbstständigerer Erschließung, zusätzlichen Belegen und begründeten Urteilen.</x:v>
      </x:c>
      <x:c r="G93" s="115" t="str">
        <x:v>de_k5_st89_jahresprojekt_einstieg</x:v>
      </x:c>
      <x:c r="H93" s="176" t="e">
        <x:f>HYPERLINK("schueler/de_k5_st89_jahresprojekt_einstieg_app.html","Lernmodul öffnen")</x:f>
      </x:c>
      <x:c r="I93" s="177" t="e">
        <x:f>HYPERLINK("lehrer/de_k5_st89_jahresprojekt_einstieg_orga.html","Vorbereitung öffnen")</x:f>
      </x:c>
    </x:row>
    <x:row r="94" ht="65" customHeight="1">
      <x:c r="A94" s="142" t="n">
        <x:v>5</x:v>
      </x:c>
      <x:c r="B94" s="115" t="str">
        <x:v>Lesen/Umgang mit Texten</x:v>
      </x:c>
      <x:c r="C94" s="148" t="n">
        <x:v>90</x:v>
      </x:c>
      <x:c r="D94" s="115" t="str">
        <x:v>Lesen, Vortragen und Medien nutzen: Quellen und Materialien erschließen</x:v>
      </x:c>
      <x:c r="E94" s="115" t="str">
        <x:v>Kurze Materialien lesen oder ansehen; Hauptaussagen mit Leitfragen festhalten. Basisniveau mit klaren Teilschritten, Wortlisten, Satzstartern und häufigen Sicherungen.</x:v>
      </x:c>
      <x:c r="F94" s="115" t="str">
        <x:v>Unterschiedliche Materialien selbstständig erschließen; Aussage, Intention und Kontext bestimmen. Erweiterungsniveau mit selbstständigerer Erschließung, zusätzlichen Belegen und begründeten Urteilen.</x:v>
      </x:c>
      <x:c r="G94" s="115" t="str">
        <x:v>de_k5_st90_jahresprojekt_quellen</x:v>
      </x:c>
      <x:c r="H94" s="176" t="e">
        <x:f>HYPERLINK("schueler/de_k5_st90_jahresprojekt_quellen_app.html","Lernmodul öffnen")</x:f>
      </x:c>
      <x:c r="I94" s="177" t="e">
        <x:f>HYPERLINK("lehrer/de_k5_st90_jahresprojekt_quellen_orga.html","Vorbereitung öffnen")</x:f>
      </x:c>
    </x:row>
    <x:row r="95" ht="65" customHeight="1">
      <x:c r="A95" s="142" t="n">
        <x:v>5</x:v>
      </x:c>
      <x:c r="B95" s="115" t="str">
        <x:v>Lesen/Umgang mit Texten</x:v>
      </x:c>
      <x:c r="C95" s="148" t="n">
        <x:v>91</x:v>
      </x:c>
      <x:c r="D95" s="115" t="str">
        <x:v>Lesen, Vortragen und Medien nutzen: Qualitätskriterien anwenden</x:v>
      </x:c>
      <x:c r="E95" s="115" t="str">
        <x:v>Auswahl, Verständlichkeit, Quellen und Urheberangaben in einer Checkliste anwenden und Auffälligkeiten markieren. Basisniveau mit klaren Teilschritten, Wortlisten, Satzstartern und häufigen Sicherungen.</x:v>
      </x:c>
      <x:c r="F95" s="115" t="str">
        <x:v>Auswahl, Verständlichkeit, Quellen und Urheberangaben gewichten, auf Grenzfälle anwenden und begründete Qualitätsurteile formulieren. Erweiterungsniveau mit selbstständigerer Erschließung, zusätzlichen Belegen und begründeten Urteilen.</x:v>
      </x:c>
      <x:c r="G95" s="115" t="str">
        <x:v>de_k5_st91_jahresprojekt_kriterien</x:v>
      </x:c>
      <x:c r="H95" s="176" t="e">
        <x:f>HYPERLINK("schueler/de_k5_st91_jahresprojekt_kriterien_app.html","Lernmodul öffnen")</x:f>
      </x:c>
      <x:c r="I95" s="177" t="e">
        <x:f>HYPERLINK("lehrer/de_k5_st91_jahresprojekt_kriterien_orga.html","Vorbereitung öffnen")</x:f>
      </x:c>
    </x:row>
    <x:row r="96" ht="65" customHeight="1">
      <x:c r="A96" s="142" t="n">
        <x:v>5</x:v>
      </x:c>
      <x:c r="B96" s="115" t="str">
        <x:v>Lesen/Umgang mit Texten</x:v>
      </x:c>
      <x:c r="C96" s="148" t="n">
        <x:v>92</x:v>
      </x:c>
      <x:c r="D96" s="115" t="str">
        <x:v>Lesen, Vortragen und Medien nutzen: Darstellungen vergleichen</x:v>
      </x:c>
      <x:c r="E96" s="115" t="str">
        <x:v>Buch, hörbuch und verfilmung nach vorgegebenen Merkmalen vergleichen. Basisniveau mit klaren Teilschritten, Wortlisten, Satzstartern und häufigen Sicherungen.</x:v>
      </x:c>
      <x:c r="F96" s="115" t="str">
        <x:v>Buch, hörbuch und verfilmung hinsichtlich Informationsauswahl, Gestaltung, Wirkung und Interessen vergleichen. Erweiterungsniveau mit selbstständigerer Erschließung, zusätzlichen Belegen und begründeten Urteilen.</x:v>
      </x:c>
      <x:c r="G96" s="115" t="str">
        <x:v>de_k5_st92_jahresprojekt_vergleichen</x:v>
      </x:c>
      <x:c r="H96" s="176" t="e">
        <x:f>HYPERLINK("schueler/de_k5_st92_jahresprojekt_vergleichen_app.html","Lernmodul öffnen")</x:f>
      </x:c>
      <x:c r="I96" s="177" t="e">
        <x:f>HYPERLINK("lehrer/de_k5_st92_jahresprojekt_vergleichen_orga.html","Vorbereitung öffnen")</x:f>
      </x:c>
    </x:row>
    <x:row r="97" ht="65" customHeight="1">
      <x:c r="A97" s="142" t="n">
        <x:v>5</x:v>
      </x:c>
      <x:c r="B97" s="115" t="str">
        <x:v>Schreiben</x:v>
      </x:c>
      <x:c r="C97" s="148" t="n">
        <x:v>93</x:v>
      </x:c>
      <x:c r="D97" s="115" t="str">
        <x:v>Lesen, Vortragen und Medien nutzen: Informationen prüfen und ordnen</x:v>
      </x:c>
      <x:c r="E97" s="115" t="str">
        <x:v>Informationen aus vorgegebenen Quellen auswählen; Fundstellen notieren und geordnet ablegen. Basisniveau mit klaren Teilschritten, Wortlisten, Satzstartern und häufigen Sicherungen.</x:v>
      </x:c>
      <x:c r="F97" s="115" t="str">
        <x:v>Recherchefrage entwickeln; Quellen prüfen, Informationen abgleichen und korrekt dokumentieren. Erweiterungsniveau mit selbstständigerer Erschließung, zusätzlichen Belegen und begründeten Urteilen.</x:v>
      </x:c>
      <x:c r="G97" s="115" t="str">
        <x:v>de_k5_st93_jahresprojekt_recherche</x:v>
      </x:c>
      <x:c r="H97" s="176" t="e">
        <x:f>HYPERLINK("schueler/de_k5_st93_jahresprojekt_recherche_app.html","Lernmodul öffnen")</x:f>
      </x:c>
      <x:c r="I97" s="177" t="e">
        <x:f>HYPERLINK("lehrer/de_k5_st93_jahresprojekt_recherche_orga.html","Vorbereitung öffnen")</x:f>
      </x:c>
    </x:row>
    <x:row r="98" ht="65" customHeight="1">
      <x:c r="A98" s="142" t="n">
        <x:v>5</x:v>
      </x:c>
      <x:c r="B98" s="115" t="str">
        <x:v>Schreiben</x:v>
      </x:c>
      <x:c r="C98" s="148" t="n">
        <x:v>94</x:v>
      </x:c>
      <x:c r="D98" s="115" t="str">
        <x:v>Lesen, Vortragen und Medien nutzen: Produkt planen</x:v>
      </x:c>
      <x:c r="E98" s="115" t="str">
        <x:v>Für Buchpräsentation einen vorgegebenen Arbeitsplan ergänzen; Aufgaben verteilen. Basisniveau mit klaren Teilschritten, Wortlisten, Satzstartern und häufigen Sicherungen.</x:v>
      </x:c>
      <x:c r="F98" s="115" t="str">
        <x:v>Für Buchpräsentation Zielgruppe, Aufbau, Medienwahl, Zeitplan und Qualitätskontrolle selbstständig festlegen. Erweiterungsniveau mit selbstständigerer Erschließung, zusätzlichen Belegen und begründeten Urteilen.</x:v>
      </x:c>
      <x:c r="G98" s="115" t="str">
        <x:v>de_k5_st94_jahresprojekt_planen</x:v>
      </x:c>
      <x:c r="H98" s="176" t="e">
        <x:f>HYPERLINK("schueler/de_k5_st94_jahresprojekt_planen_app.html","Lernmodul öffnen")</x:f>
      </x:c>
      <x:c r="I98" s="177" t="e">
        <x:f>HYPERLINK("lehrer/de_k5_st94_jahresprojekt_planen_orga.html","Vorbereitung öffnen")</x:f>
      </x:c>
    </x:row>
    <x:row r="99" ht="65" customHeight="1">
      <x:c r="A99" s="142" t="n">
        <x:v>5</x:v>
      </x:c>
      <x:c r="B99" s="115" t="str">
        <x:v>Schreiben</x:v>
      </x:c>
      <x:c r="C99" s="148" t="n">
        <x:v>95</x:v>
      </x:c>
      <x:c r="D99" s="115" t="str">
        <x:v>Lesen, Vortragen und Medien nutzen: Produkt erstellen</x:v>
      </x:c>
      <x:c r="E99" s="115" t="str">
        <x:v>Buchpräsentation mit Vorlage und klaren Teilaufträgen erstellen. Basisniveau mit klaren Teilschritten, Wortlisten, Satzstartern und häufigen Sicherungen.</x:v>
      </x:c>
      <x:c r="F99" s="115" t="str">
        <x:v>Buchpräsentation selbstständig, adressatengerecht und quellenbewusst erstellen. Erweiterungsniveau mit selbstständigerer Erschließung, zusätzlichen Belegen und begründeten Urteilen.</x:v>
      </x:c>
      <x:c r="G99" s="115" t="str">
        <x:v>de_k5_st95_jahresprojekt_erstellen</x:v>
      </x:c>
      <x:c r="H99" s="176" t="e">
        <x:f>HYPERLINK("schueler/de_k5_st95_jahresprojekt_erstellen_app.html","Lernmodul öffnen")</x:f>
      </x:c>
      <x:c r="I99" s="177" t="e">
        <x:f>HYPERLINK("lehrer/de_k5_st95_jahresprojekt_erstellen_orga.html","Vorbereitung öffnen")</x:f>
      </x:c>
    </x:row>
    <x:row r="100" ht="65" customHeight="1">
      <x:c r="A100" s="142" t="n">
        <x:v>5</x:v>
      </x:c>
      <x:c r="B100" s="115" t="str">
        <x:v>Sprechen und Zuhören</x:v>
      </x:c>
      <x:c r="C100" s="148" t="n">
        <x:v>96</x:v>
      </x:c>
      <x:c r="D100" s="115" t="str">
        <x:v>Lesen, Vortragen und Medien nutzen: präsentieren und reflektieren</x:v>
      </x:c>
      <x:c r="E100" s="115" t="str">
        <x:v>Produkt kurz vorstellen; Rückmeldung anhand weniger Kriterien geben und annehmen. Basisniveau mit klaren Teilschritten, Wortlisten, Satzstartern und häufigen Sicherungen.</x:v>
      </x:c>
      <x:c r="F100" s="115" t="str">
        <x:v>Produkt überzeugend präsentieren; Arbeitsprozess, Quellenwahl und Wirkung kritisch reflektieren. Erweiterungsniveau mit selbstständigerer Erschließung, zusätzlichen Belegen und begründeten Urteilen.</x:v>
      </x:c>
      <x:c r="G100" s="115" t="str">
        <x:v>de_k5_st96_jahresprojekt_reflexion</x:v>
      </x:c>
      <x:c r="H100" s="176" t="e">
        <x:f>HYPERLINK("schueler/de_k5_st96_jahresprojekt_reflexion_app.html","Lernmodul öffnen")</x:f>
      </x:c>
      <x:c r="I100" s="177" t="e">
        <x:f>HYPERLINK("lehrer/de_k5_st96_jahresprojekt_reflexion_orga.html","Vorbereitung öffnen")</x:f>
      </x:c>
    </x:row>
    <x:row r="101" ht="65" customHeight="1">
      <x:c r="A101" s="142" t="n">
        <x:v>6</x:v>
      </x:c>
      <x:c r="B101" s="115" t="str">
        <x:v>Sprechen und Zuhören</x:v>
      </x:c>
      <x:c r="C101" s="148" t="n">
        <x:v>1</x:v>
      </x:c>
      <x:c r="D101" s="115" t="str">
        <x:v>Lesestrategien und Lernorganisation: Vorwissen und Positionen klären</x:v>
      </x:c>
      <x:c r="E101" s="115" t="str">
        <x:v>Eigene Erfahrungen zu selbstständiges Lesen und Lernen benennen; zentrale Begriffe mit Beispielen klären. Basisniveau mit klaren Teilschritten, Wortlisten, Satzstartern und häufigen Sicherungen.</x:v>
      </x:c>
      <x:c r="F101" s="115" t="str">
        <x:v>Vorwissen zu selbstständiges Lesen und Lernen strukturieren; erste Positionen formulieren und mögliche Konflikte benennen. Erweiterungsniveau mit selbstständigerer Erschließung, zusätzlichen Belegen und begründeten Urteilen.</x:v>
      </x:c>
      <x:c r="G101" s="115" t="str">
        <x:v>de_k6_st01_lesestrategien_einstieg</x:v>
      </x:c>
      <x:c r="H101" s="176" t="e">
        <x:f>HYPERLINK("schueler/de_k6_st01_lesestrategien_einstieg_app.html","Lernmodul öffnen")</x:f>
      </x:c>
      <x:c r="I101" s="177" t="e">
        <x:f>HYPERLINK("lehrer/de_k6_st01_lesestrategien_einstieg_orga.html","Vorbereitung öffnen")</x:f>
      </x:c>
    </x:row>
    <x:row r="102" ht="65" customHeight="1">
      <x:c r="A102" s="142" t="n">
        <x:v>6</x:v>
      </x:c>
      <x:c r="B102" s="115" t="str">
        <x:v>Lesen/Umgang mit Texten</x:v>
      </x:c>
      <x:c r="C102" s="148" t="n">
        <x:v>2</x:v>
      </x:c>
      <x:c r="D102" s="115" t="str">
        <x:v>Lesestrategien und Lernorganisation: Quellen und Materialien erschließen</x:v>
      </x:c>
      <x:c r="E102" s="115" t="str">
        <x:v>Kurze Materialien lesen oder ansehen; Hauptaussagen mit Leitfragen festhalten. Basisniveau mit klaren Teilschritten, Wortlisten, Satzstartern und häufigen Sicherungen.</x:v>
      </x:c>
      <x:c r="F102" s="115" t="str">
        <x:v>Unterschiedliche Materialien selbstständig erschließen; Aussage, Intention und Kontext bestimmen. Erweiterungsniveau mit selbstständigerer Erschließung, zusätzlichen Belegen und begründeten Urteilen.</x:v>
      </x:c>
      <x:c r="G102" s="115" t="str">
        <x:v>de_k6_st02_lesestrategien_quellen</x:v>
      </x:c>
      <x:c r="H102" s="176" t="e">
        <x:f>HYPERLINK("schueler/de_k6_st02_lesestrategien_quellen_app.html","Lernmodul öffnen")</x:f>
      </x:c>
      <x:c r="I102" s="177" t="e">
        <x:f>HYPERLINK("lehrer/de_k6_st02_lesestrategien_quellen_orga.html","Vorbereitung öffnen")</x:f>
      </x:c>
    </x:row>
    <x:row r="103" ht="65" customHeight="1">
      <x:c r="A103" s="142" t="n">
        <x:v>6</x:v>
      </x:c>
      <x:c r="B103" s="115" t="str">
        <x:v>Lesen/Umgang mit Texten</x:v>
      </x:c>
      <x:c r="C103" s="148" t="n">
        <x:v>3</x:v>
      </x:c>
      <x:c r="D103" s="115" t="str">
        <x:v>Lesestrategien und Lernorganisation: Qualitätskriterien anwenden</x:v>
      </x:c>
      <x:c r="E103" s="115" t="str">
        <x:v>Leseziel, Markieren, Randnotizen, Zwischenüberschriften in einer Checkliste anwenden und Auffälligkeiten markieren. Basisniveau mit klaren Teilschritten, Wortlisten, Satzstartern und häufigen Sicherungen.</x:v>
      </x:c>
      <x:c r="F103" s="115" t="str">
        <x:v>Leseziel, Markieren, Randnotizen, Zwischenüberschriften gewichten, auf Grenzfälle anwenden und begründete Qualitätsurteile formulieren. Erweiterungsniveau mit selbstständigerer Erschließung, zusätzlichen Belegen und begründeten Urteilen.</x:v>
      </x:c>
      <x:c r="G103" s="115" t="str">
        <x:v>de_k6_st03_lesestrategien_kriterien</x:v>
      </x:c>
      <x:c r="H103" s="176" t="e">
        <x:f>HYPERLINK("schueler/de_k6_st03_lesestrategien_kriterien_app.html","Lernmodul öffnen")</x:f>
      </x:c>
      <x:c r="I103" s="177" t="e">
        <x:f>HYPERLINK("lehrer/de_k6_st03_lesestrategien_kriterien_orga.html","Vorbereitung öffnen")</x:f>
      </x:c>
    </x:row>
    <x:row r="104" ht="65" customHeight="1">
      <x:c r="A104" s="142" t="n">
        <x:v>6</x:v>
      </x:c>
      <x:c r="B104" s="115" t="str">
        <x:v>Lesen/Umgang mit Texten</x:v>
      </x:c>
      <x:c r="C104" s="148" t="n">
        <x:v>4</x:v>
      </x:c>
      <x:c r="D104" s="115" t="str">
        <x:v>Lesestrategien und Lernorganisation: Darstellungen vergleichen</x:v>
      </x:c>
      <x:c r="E104" s="115" t="str">
        <x:v>Verschiedene lesetechniken nach vorgegebenen Merkmalen vergleichen. Basisniveau mit klaren Teilschritten, Wortlisten, Satzstartern und häufigen Sicherungen.</x:v>
      </x:c>
      <x:c r="F104" s="115" t="str">
        <x:v>Verschiedene lesetechniken hinsichtlich Informationsauswahl, Gestaltung, Wirkung und Interessen vergleichen. Erweiterungsniveau mit selbstständigerer Erschließung, zusätzlichen Belegen und begründeten Urteilen.</x:v>
      </x:c>
      <x:c r="G104" s="115" t="str">
        <x:v>de_k6_st04_lesestrategien_vergleichen</x:v>
      </x:c>
      <x:c r="H104" s="176" t="e">
        <x:f>HYPERLINK("schueler/de_k6_st04_lesestrategien_vergleichen_app.html","Lernmodul öffnen")</x:f>
      </x:c>
      <x:c r="I104" s="177" t="e">
        <x:f>HYPERLINK("lehrer/de_k6_st04_lesestrategien_vergleichen_orga.html","Vorbereitung öffnen")</x:f>
      </x:c>
    </x:row>
    <x:row r="105" ht="65" customHeight="1">
      <x:c r="A105" s="142" t="n">
        <x:v>6</x:v>
      </x:c>
      <x:c r="B105" s="115" t="str">
        <x:v>Schreiben</x:v>
      </x:c>
      <x:c r="C105" s="148" t="n">
        <x:v>5</x:v>
      </x:c>
      <x:c r="D105" s="115" t="str">
        <x:v>Lesestrategien und Lernorganisation: Informationen prüfen und ordnen</x:v>
      </x:c>
      <x:c r="E105" s="115" t="str">
        <x:v>Informationen aus vorgegebenen Quellen auswählen; Fundstellen notieren und geordnet ablegen. Basisniveau mit klaren Teilschritten, Wortlisten, Satzstartern und häufigen Sicherungen.</x:v>
      </x:c>
      <x:c r="F105" s="115" t="str">
        <x:v>Recherchefrage entwickeln; Quellen prüfen, Informationen abgleichen und korrekt dokumentieren. Erweiterungsniveau mit selbstständigerer Erschließung, zusätzlichen Belegen und begründeten Urteilen.</x:v>
      </x:c>
      <x:c r="G105" s="115" t="str">
        <x:v>de_k6_st05_lesestrategien_recherche</x:v>
      </x:c>
      <x:c r="H105" s="176" t="e">
        <x:f>HYPERLINK("schueler/de_k6_st05_lesestrategien_recherche_app.html","Lernmodul öffnen")</x:f>
      </x:c>
      <x:c r="I105" s="177" t="e">
        <x:f>HYPERLINK("lehrer/de_k6_st05_lesestrategien_recherche_orga.html","Vorbereitung öffnen")</x:f>
      </x:c>
    </x:row>
    <x:row r="106" ht="65" customHeight="1">
      <x:c r="A106" s="142" t="n">
        <x:v>6</x:v>
      </x:c>
      <x:c r="B106" s="115" t="str">
        <x:v>Schreiben</x:v>
      </x:c>
      <x:c r="C106" s="148" t="n">
        <x:v>6</x:v>
      </x:c>
      <x:c r="D106" s="115" t="str">
        <x:v>Lesestrategien und Lernorganisation: Produkt planen</x:v>
      </x:c>
      <x:c r="E106" s="115" t="str">
        <x:v>Für Methodenportfolio einen vorgegebenen Arbeitsplan ergänzen; Aufgaben verteilen. Basisniveau mit klaren Teilschritten, Wortlisten, Satzstartern und häufigen Sicherungen.</x:v>
      </x:c>
      <x:c r="F106" s="115" t="str">
        <x:v>Für Methodenportfolio Zielgruppe, Aufbau, Medienwahl, Zeitplan und Qualitätskontrolle selbstständig festlegen. Erweiterungsniveau mit selbstständigerer Erschließung, zusätzlichen Belegen und begründeten Urteilen.</x:v>
      </x:c>
      <x:c r="G106" s="115" t="str">
        <x:v>de_k6_st06_lesestrategien_planen</x:v>
      </x:c>
      <x:c r="H106" s="176" t="e">
        <x:f>HYPERLINK("schueler/de_k6_st06_lesestrategien_planen_app.html","Lernmodul öffnen")</x:f>
      </x:c>
      <x:c r="I106" s="177" t="e">
        <x:f>HYPERLINK("lehrer/de_k6_st06_lesestrategien_planen_orga.html","Vorbereitung öffnen")</x:f>
      </x:c>
    </x:row>
    <x:row r="107" ht="65" customHeight="1">
      <x:c r="A107" s="142" t="n">
        <x:v>6</x:v>
      </x:c>
      <x:c r="B107" s="115" t="str">
        <x:v>Schreiben</x:v>
      </x:c>
      <x:c r="C107" s="148" t="n">
        <x:v>7</x:v>
      </x:c>
      <x:c r="D107" s="115" t="str">
        <x:v>Lesestrategien und Lernorganisation: Produkt erstellen</x:v>
      </x:c>
      <x:c r="E107" s="115" t="str">
        <x:v>Methodenportfolio mit Vorlage und klaren Teilaufträgen erstellen. Basisniveau mit klaren Teilschritten, Wortlisten, Satzstartern und häufigen Sicherungen.</x:v>
      </x:c>
      <x:c r="F107" s="115" t="str">
        <x:v>Methodenportfolio selbstständig, adressatengerecht und quellenbewusst erstellen. Erweiterungsniveau mit selbstständigerer Erschließung, zusätzlichen Belegen und begründeten Urteilen.</x:v>
      </x:c>
      <x:c r="G107" s="115" t="str">
        <x:v>de_k6_st07_lesestrategien_erstellen</x:v>
      </x:c>
      <x:c r="H107" s="176" t="e">
        <x:f>HYPERLINK("schueler/de_k6_st07_lesestrategien_erstellen_app.html","Lernmodul öffnen")</x:f>
      </x:c>
      <x:c r="I107" s="177" t="e">
        <x:f>HYPERLINK("lehrer/de_k6_st07_lesestrategien_erstellen_orga.html","Vorbereitung öffnen")</x:f>
      </x:c>
    </x:row>
    <x:row r="108" ht="65" customHeight="1">
      <x:c r="A108" s="142" t="n">
        <x:v>6</x:v>
      </x:c>
      <x:c r="B108" s="115" t="str">
        <x:v>Sprechen und Zuhören</x:v>
      </x:c>
      <x:c r="C108" s="148" t="n">
        <x:v>8</x:v>
      </x:c>
      <x:c r="D108" s="115" t="str">
        <x:v>Lesestrategien und Lernorganisation: präsentieren und reflektieren</x:v>
      </x:c>
      <x:c r="E108" s="115" t="str">
        <x:v>Produkt kurz vorstellen; Rückmeldung anhand weniger Kriterien geben und annehmen. Basisniveau mit klaren Teilschritten, Wortlisten, Satzstartern und häufigen Sicherungen.</x:v>
      </x:c>
      <x:c r="F108" s="115" t="str">
        <x:v>Produkt überzeugend präsentieren; Arbeitsprozess, Quellenwahl und Wirkung kritisch reflektieren. Erweiterungsniveau mit selbstständigerer Erschließung, zusätzlichen Belegen und begründeten Urteilen.</x:v>
      </x:c>
      <x:c r="G108" s="115" t="str">
        <x:v>de_k6_st08_lesestrategien_reflexion</x:v>
      </x:c>
      <x:c r="H108" s="176" t="e">
        <x:f>HYPERLINK("schueler/de_k6_st08_lesestrategien_reflexion_app.html","Lernmodul öffnen")</x:f>
      </x:c>
      <x:c r="I108" s="177" t="e">
        <x:f>HYPERLINK("lehrer/de_k6_st08_lesestrategien_reflexion_orga.html","Vorbereitung öffnen")</x:f>
      </x:c>
    </x:row>
    <x:row r="109" ht="65" customHeight="1">
      <x:c r="A109" s="142" t="n">
        <x:v>6</x:v>
      </x:c>
      <x:c r="B109" s="115" t="str">
        <x:v>Sprechen und Zuhören</x:v>
      </x:c>
      <x:c r="C109" s="148" t="n">
        <x:v>9</x:v>
      </x:c>
      <x:c r="D109" s="115" t="str">
        <x:v>Fabeln verstehen und schreiben: Hör- oder Leseeinstieg gestalten</x:v>
      </x:c>
      <x:c r="E109" s="115" t="str">
        <x:v>Einstieg über Bild, Hörtext oder kurzen Auszug; Vorwissen zu klassische und moderne Fabeln sammeln und zentrale Wörter klären. Basisniveau mit klaren Teilschritten, Wortlisten, Satzstartern und häufigen Sicherungen.</x:v>
      </x:c>
      <x:c r="F109" s="115" t="str">
        <x:v>Aus Titel, Kontext und Gestaltung Erwartungen an klassische und moderne Fabeln ableiten; erste Hypothesen formulieren und begründen. Erweiterungsniveau mit selbstständigerer Erschließung, zusätzlichen Belegen und begründeten Urteilen.</x:v>
      </x:c>
      <x:c r="G109" s="115" t="str">
        <x:v>de_k6_st09_fabeln_einstieg</x:v>
      </x:c>
      <x:c r="H109" s="176" t="e">
        <x:f>HYPERLINK("schueler/de_k6_st09_fabeln_einstieg_app.html","Lernmodul öffnen")</x:f>
      </x:c>
      <x:c r="I109" s="177" t="e">
        <x:f>HYPERLINK("lehrer/de_k6_st09_fabeln_einstieg_orga.html","Vorbereitung öffnen")</x:f>
      </x:c>
    </x:row>
    <x:row r="110" ht="65" customHeight="1">
      <x:c r="A110" s="142" t="n">
        <x:v>6</x:v>
      </x:c>
      <x:c r="B110" s="115" t="str">
        <x:v>Lesen/Umgang mit Texten</x:v>
      </x:c>
      <x:c r="C110" s="148" t="n">
        <x:v>10</x:v>
      </x:c>
      <x:c r="D110" s="115" t="str">
        <x:v>Fabeln verstehen und schreiben: den Text mit Lesestrategien erschließen</x:v>
      </x:c>
      <x:c r="E110" s="115" t="str">
        <x:v>Text abschnittsweise lesen; Schlüsselwörter markieren und den Inhalt mit Leitfragen sichern. Basisniveau mit klaren Teilschritten, Wortlisten, Satzstartern und häufigen Sicherungen.</x:v>
      </x:c>
      <x:c r="F110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110" s="115" t="str">
        <x:v>de_k6_st10_fabeln_erschliessen</x:v>
      </x:c>
      <x:c r="H110" s="176" t="e">
        <x:f>HYPERLINK("schueler/de_k6_st10_fabeln_erschliessen_app.html","Lernmodul öffnen")</x:f>
      </x:c>
      <x:c r="I110" s="177" t="e">
        <x:f>HYPERLINK("lehrer/de_k6_st10_fabeln_erschliessen_orga.html","Vorbereitung öffnen")</x:f>
      </x:c>
    </x:row>
    <x:row r="111" ht="65" customHeight="1">
      <x:c r="A111" s="142" t="n">
        <x:v>6</x:v>
      </x:c>
      <x:c r="B111" s="115" t="str">
        <x:v>Lesen/Umgang mit Texten</x:v>
      </x:c>
      <x:c r="C111" s="148" t="n">
        <x:v>11</x:v>
      </x:c>
      <x:c r="D111" s="115" t="str">
        <x:v>Fabeln verstehen und schreiben: Gattungsmerkmale erkennen</x:v>
      </x:c>
      <x:c r="E111" s="115" t="str">
        <x:v>Merkmale wie Tierfiguren, Konflikt, Lehre, knapper Aufbau mithilfe einer Checkliste zuordnen und an Textstellen zeigen. Basisniveau mit klaren Teilschritten, Wortlisten, Satzstartern und häufigen Sicherungen.</x:v>
      </x:c>
      <x:c r="F111" s="115" t="str">
        <x:v>Merkmale wie Tierfiguren, Konflikt, Lehre, knapper Aufbau textnah belegen und ihre Funktion für Aufbau und Wirkung erklären. Erweiterungsniveau mit selbstständigerer Erschließung, zusätzlichen Belegen und begründeten Urteilen.</x:v>
      </x:c>
      <x:c r="G111" s="115" t="str">
        <x:v>de_k6_st11_fabeln_merkmale</x:v>
      </x:c>
      <x:c r="H111" s="176" t="e">
        <x:f>HYPERLINK("schueler/de_k6_st11_fabeln_merkmale_app.html","Lernmodul öffnen")</x:f>
      </x:c>
      <x:c r="I111" s="177" t="e">
        <x:f>HYPERLINK("lehrer/de_k6_st11_fabeln_merkmale_orga.html","Vorbereitung öffnen")</x:f>
      </x:c>
    </x:row>
    <x:row r="112" ht="65" customHeight="1">
      <x:c r="A112" s="142" t="n">
        <x:v>6</x:v>
      </x:c>
      <x:c r="B112" s="115" t="str">
        <x:v>Lesen/Umgang mit Texten</x:v>
      </x:c>
      <x:c r="C112" s="148" t="n">
        <x:v>12</x:v>
      </x:c>
      <x:c r="D112" s="115" t="str">
        <x:v>Fabeln verstehen und schreiben: Figuren, Handlung und Konflikt untersuchen</x:v>
      </x:c>
      <x:c r="E112" s="115" t="str">
        <x:v>übertragene Bedeutung und Kritik mit Figurenkarten oder Handlungsstreifen ordnen; einfache Belege auswählen. Basisniveau mit klaren Teilschritten, Wortlisten, Satzstartern und häufigen Sicherungen.</x:v>
      </x:c>
      <x:c r="F112" s="115" t="str">
        <x:v>übertragene Bedeutung und Kritik in ihrem Zusammenhang untersuchen; Schlussfolgerungen mit passenden Textbelegen absichern. Erweiterungsniveau mit selbstständigerer Erschließung, zusätzlichen Belegen und begründeten Urteilen.</x:v>
      </x:c>
      <x:c r="G112" s="115" t="str">
        <x:v>de_k6_st12_fabeln_figuren_handlung</x:v>
      </x:c>
      <x:c r="H112" s="176" t="e">
        <x:f>HYPERLINK("schueler/de_k6_st12_fabeln_figuren_handlung_app.html","Lernmodul öffnen")</x:f>
      </x:c>
      <x:c r="I112" s="177" t="e">
        <x:f>HYPERLINK("lehrer/de_k6_st12_fabeln_figuren_handlung_orga.html","Vorbereitung öffnen")</x:f>
      </x:c>
    </x:row>
    <x:row r="113" ht="65" customHeight="1">
      <x:c r="A113" s="142" t="n">
        <x:v>6</x:v>
      </x:c>
      <x:c r="B113" s="115" t="str">
        <x:v>Sprache untersuchen</x:v>
      </x:c>
      <x:c r="C113" s="148" t="n">
        <x:v>13</x:v>
      </x:c>
      <x:c r="D113" s="115" t="str">
        <x:v>Fabeln verstehen und schreiben: Sprache und Wirkung untersuchen</x:v>
      </x:c>
      <x:c r="E113" s="115" t="str">
        <x:v>Beispiele für typische Verben, direkte Rede, pointierter Schluss markieren und ihre Wirkung mit vorgegebenen Begriffen beschreiben. Basisniveau mit klaren Teilschritten, Wortlisten, Satzstartern und häufigen Sicherungen.</x:v>
      </x:c>
      <x:c r="F113" s="115" t="str">
        <x:v>typische Verben, direkte Rede, pointierter Schluss fachsprachlich analysieren und auf Figurenzeichnung, Stimmung oder Aussage beziehen. Erweiterungsniveau mit selbstständigerer Erschließung, zusätzlichen Belegen und begründeten Urteilen.</x:v>
      </x:c>
      <x:c r="G113" s="115" t="str">
        <x:v>de_k6_st13_fabeln_sprache_wirkung</x:v>
      </x:c>
      <x:c r="H113" s="176" t="e">
        <x:f>HYPERLINK("schueler/de_k6_st13_fabeln_sprache_wirkung_app.html","Lernmodul öffnen")</x:f>
      </x:c>
      <x:c r="I113" s="177" t="e">
        <x:f>HYPERLINK("lehrer/de_k6_st13_fabeln_sprache_wirkung_orga.html","Vorbereitung öffnen")</x:f>
      </x:c>
    </x:row>
    <x:row r="114" ht="65" customHeight="1">
      <x:c r="A114" s="142" t="n">
        <x:v>6</x:v>
      </x:c>
      <x:c r="B114" s="115" t="str">
        <x:v>Schreiben</x:v>
      </x:c>
      <x:c r="C114" s="148" t="n">
        <x:v>14</x:v>
      </x:c>
      <x:c r="D114" s="115" t="str">
        <x:v>Fabeln verstehen und schreiben: eine Deutung oder Perspektive vorbereiten</x:v>
      </x:c>
      <x:c r="E114" s="115" t="str">
        <x:v>Eine zentrale Aussage mit Satzstartern formulieren; Beleg und Erklärung in einem Schreibrahmen verbinden. Basisniveau mit klaren Teilschritten, Wortlisten, Satzstartern und häufigen Sicherungen.</x:v>
      </x:c>
      <x:c r="F114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114" s="115" t="str">
        <x:v>de_k6_st14_fabeln_deutung_planen</x:v>
      </x:c>
      <x:c r="H114" s="176" t="e">
        <x:f>HYPERLINK("schueler/de_k6_st14_fabeln_deutung_planen_app.html","Lernmodul öffnen")</x:f>
      </x:c>
      <x:c r="I114" s="177" t="e">
        <x:f>HYPERLINK("lehrer/de_k6_st14_fabeln_deutung_planen_orga.html","Vorbereitung öffnen")</x:f>
      </x:c>
    </x:row>
    <x:row r="115" ht="65" customHeight="1">
      <x:c r="A115" s="142" t="n">
        <x:v>6</x:v>
      </x:c>
      <x:c r="B115" s="115" t="str">
        <x:v>Schreiben</x:v>
      </x:c>
      <x:c r="C115" s="148" t="n">
        <x:v>15</x:v>
      </x:c>
      <x:c r="D115" s="115" t="str">
        <x:v>Fabeln verstehen und schreiben: eigene Fabel gestalten</x:v>
      </x:c>
      <x:c r="E115" s="115" t="str">
        <x:v>Eigene fabel nach klaren Vorgaben erstellen; Hilfekarten und Wortbank nutzen. Basisniveau mit klaren Teilschritten, Wortlisten, Satzstartern und häufigen Sicherungen.</x:v>
      </x:c>
      <x:c r="F115" s="115" t="str">
        <x:v>Eigene fabel eigenständig, textnah und sprachlich variabel gestalten; Wirkung bewusst planen. Erweiterungsniveau mit selbstständigerer Erschließung, zusätzlichen Belegen und begründeten Urteilen.</x:v>
      </x:c>
      <x:c r="G115" s="115" t="str">
        <x:v>de_k6_st15_fabeln_produkt</x:v>
      </x:c>
      <x:c r="H115" s="176" t="e">
        <x:f>HYPERLINK("schueler/de_k6_st15_fabeln_produkt_app.html","Lernmodul öffnen")</x:f>
      </x:c>
      <x:c r="I115" s="177" t="e">
        <x:f>HYPERLINK("lehrer/de_k6_st15_fabeln_produkt_orga.html","Vorbereitung öffnen")</x:f>
      </x:c>
    </x:row>
    <x:row r="116" ht="65" customHeight="1">
      <x:c r="A116" s="142" t="n">
        <x:v>6</x:v>
      </x:c>
      <x:c r="B116" s="115" t="str">
        <x:v>Sprechen und Zuhören</x:v>
      </x:c>
      <x:c r="C116" s="148" t="n">
        <x:v>16</x:v>
      </x:c>
      <x:c r="D116" s="115" t="str">
        <x:v>Fabeln verstehen und schreiben: Ergebnisse präsentieren und reflektieren</x:v>
      </x:c>
      <x:c r="E116" s="115" t="str">
        <x:v>Ergebnis kurz vorstellen; zwei vereinbarte Kriterien für Rückmeldung anwenden. Basisniveau mit klaren Teilschritten, Wortlisten, Satzstartern und häufigen Sicherungen.</x:v>
      </x:c>
      <x:c r="F116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116" s="115" t="str">
        <x:v>de_k6_st16_fabeln_praesentieren</x:v>
      </x:c>
      <x:c r="H116" s="176" t="e">
        <x:f>HYPERLINK("schueler/de_k6_st16_fabeln_praesentieren_app.html","Lernmodul öffnen")</x:f>
      </x:c>
      <x:c r="I116" s="177" t="e">
        <x:f>HYPERLINK("lehrer/de_k6_st16_fabeln_praesentieren_orga.html","Vorbereitung öffnen")</x:f>
      </x:c>
    </x:row>
    <x:row r="117" ht="65" customHeight="1">
      <x:c r="A117" s="142" t="n">
        <x:v>6</x:v>
      </x:c>
      <x:c r="B117" s="115" t="str">
        <x:v>Lesen/Umgang mit Texten</x:v>
      </x:c>
      <x:c r="C117" s="148" t="n">
        <x:v>17</x:v>
      </x:c>
      <x:c r="D117" s="115" t="str">
        <x:v>Sachlich berichten: Beispieltexte untersuchen</x:v>
      </x:c>
      <x:c r="E117" s="115" t="str">
        <x:v>Ein Beispiel für Ereignis- und Unfallbericht lesen; Aufbau und typische Formulierungen farbig kennzeichnen. Basisniveau mit klaren Teilschritten, Wortlisten, Satzstartern und häufigen Sicherungen.</x:v>
      </x:c>
      <x:c r="F117" s="115" t="str">
        <x:v>Mehrere Beispiele für Ereignis- und Unfallbericht vergleichen; Funktion, Adressat und Qualitätsunterschiede herausarbeiten. Erweiterungsniveau mit selbstständigerer Erschließung, zusätzlichen Belegen und begründeten Urteilen.</x:v>
      </x:c>
      <x:c r="G117" s="115" t="str">
        <x:v>de_k6_st17_bericht_beispiel</x:v>
      </x:c>
      <x:c r="H117" s="176" t="e">
        <x:f>HYPERLINK("schueler/de_k6_st17_bericht_beispiel_app.html","Lernmodul öffnen")</x:f>
      </x:c>
      <x:c r="I117" s="177" t="e">
        <x:f>HYPERLINK("lehrer/de_k6_st17_bericht_beispiel_orga.html","Vorbereitung öffnen")</x:f>
      </x:c>
    </x:row>
    <x:row r="118" ht="65" customHeight="1">
      <x:c r="A118" s="142" t="n">
        <x:v>6</x:v>
      </x:c>
      <x:c r="B118" s="115" t="str">
        <x:v>Schreiben</x:v>
      </x:c>
      <x:c r="C118" s="148" t="n">
        <x:v>18</x:v>
      </x:c>
      <x:c r="D118" s="115" t="str">
        <x:v>Sachlich berichten: Schreibziel und Kriterien klären</x:v>
      </x:c>
      <x:c r="E118" s="115" t="str">
        <x:v>Schreibziel „überprüfbar, knapp und vollständig informieren“ verstehen; eine kurze Kriterienliste auf ein Beispiel anwenden. Basisniveau mit klaren Teilschritten, Wortlisten, Satzstartern und häufigen Sicherungen.</x:v>
      </x:c>
      <x:c r="F118" s="115" t="str">
        <x:v>Schreibziel „überprüfbar, knapp und vollständig informieren“ präzisieren; Kriterien gewichten und auf unterschiedliche Schreibsituationen übertragen. Erweiterungsniveau mit selbstständigerer Erschließung, zusätzlichen Belegen und begründeten Urteilen.</x:v>
      </x:c>
      <x:c r="G118" s="115" t="str">
        <x:v>de_k6_st18_bericht_kriterien</x:v>
      </x:c>
      <x:c r="H118" s="176" t="e">
        <x:f>HYPERLINK("schueler/de_k6_st18_bericht_kriterien_app.html","Lernmodul öffnen")</x:f>
      </x:c>
      <x:c r="I118" s="177" t="e">
        <x:f>HYPERLINK("lehrer/de_k6_st18_bericht_kriterien_orga.html","Vorbereitung öffnen")</x:f>
      </x:c>
    </x:row>
    <x:row r="119" ht="65" customHeight="1">
      <x:c r="A119" s="142" t="n">
        <x:v>6</x:v>
      </x:c>
      <x:c r="B119" s="115" t="str">
        <x:v>Lesen/Umgang mit Texten</x:v>
      </x:c>
      <x:c r="C119" s="148" t="n">
        <x:v>19</x:v>
      </x:c>
      <x:c r="D119" s="115" t="str">
        <x:v>Sachlich berichten: Inhalte auswählen und ordnen</x:v>
      </x:c>
      <x:c r="E119" s="115" t="str">
        <x:v>W-Fragen und chronologische Ordnung mit Leitfragen sammeln und in einer vorgegebenen Reihenfolge ordnen. Basisniveau mit klaren Teilschritten, Wortlisten, Satzstartern und häufigen Sicherungen.</x:v>
      </x:c>
      <x:c r="F119" s="115" t="str">
        <x:v>W-Fragen und chronologische Ordnung selbstständig auswählen, gewichten und in einer passenden Gliederung strukturieren. Erweiterungsniveau mit selbstständigerer Erschließung, zusätzlichen Belegen und begründeten Urteilen.</x:v>
      </x:c>
      <x:c r="G119" s="115" t="str">
        <x:v>de_k6_st19_bericht_inhalte_ordnen</x:v>
      </x:c>
      <x:c r="H119" s="176" t="e">
        <x:f>HYPERLINK("schueler/de_k6_st19_bericht_inhalte_ordnen_app.html","Lernmodul öffnen")</x:f>
      </x:c>
      <x:c r="I119" s="177" t="e">
        <x:f>HYPERLINK("lehrer/de_k6_st19_bericht_inhalte_ordnen_orga.html","Vorbereitung öffnen")</x:f>
      </x:c>
    </x:row>
    <x:row r="120" ht="65" customHeight="1">
      <x:c r="A120" s="142" t="n">
        <x:v>6</x:v>
      </x:c>
      <x:c r="B120" s="115" t="str">
        <x:v>Sprache untersuchen</x:v>
      </x:c>
      <x:c r="C120" s="148" t="n">
        <x:v>20</x:v>
      </x:c>
      <x:c r="D120" s="115" t="str">
        <x:v>Sachlich berichten: passende sprachliche Mittel verwenden</x:v>
      </x:c>
      <x:c r="E120" s="115" t="str">
        <x:v>Präteritum, sachlicher Wortschatz, indirekte Wiedergabe in Übungen erkennen und nach Satzmustern anwenden. Basisniveau mit klaren Teilschritten, Wortlisten, Satzstartern und häufigen Sicherungen.</x:v>
      </x:c>
      <x:c r="F120" s="115" t="str">
        <x:v>Präteritum, sachlicher Wortschatz, indirekte Wiedergabe hinsichtlich Wirkung und Angemessenheit prüfen und gezielt variieren. Erweiterungsniveau mit selbstständigerer Erschließung, zusätzlichen Belegen und begründeten Urteilen.</x:v>
      </x:c>
      <x:c r="G120" s="115" t="str">
        <x:v>de_k6_st20_bericht_sprachmittel</x:v>
      </x:c>
      <x:c r="H120" s="176" t="e">
        <x:f>HYPERLINK("schueler/de_k6_st20_bericht_sprachmittel_app.html","Lernmodul öffnen")</x:f>
      </x:c>
      <x:c r="I120" s="177" t="e">
        <x:f>HYPERLINK("lehrer/de_k6_st20_bericht_sprachmittel_orga.html","Vorbereitung öffnen")</x:f>
      </x:c>
    </x:row>
    <x:row r="121" ht="65" customHeight="1">
      <x:c r="A121" s="142" t="n">
        <x:v>6</x:v>
      </x:c>
      <x:c r="B121" s="115" t="str">
        <x:v>Schreiben</x:v>
      </x:c>
      <x:c r="C121" s="148" t="n">
        <x:v>21</x:v>
      </x:c>
      <x:c r="D121" s="115" t="str">
        <x:v>Sachlich berichten: einen Schreibplan erstellen</x:v>
      </x:c>
      <x:c r="E121" s="115" t="str">
        <x:v>Einen vorstrukturierten Schreibplan ausfüllen; Einleitung, Hauptteil und Schluss festlegen. Basisniveau mit klaren Teilschritten, Wortlisten, Satzstartern und häufigen Sicherungen.</x:v>
      </x:c>
      <x:c r="F121" s="115" t="str">
        <x:v>Einen eigenen Schreibplan mit Teilzielen, Belegen und sprachlichen Mitteln entwickeln. Erweiterungsniveau mit selbstständigerer Erschließung, zusätzlichen Belegen und begründeten Urteilen.</x:v>
      </x:c>
      <x:c r="G121" s="115" t="str">
        <x:v>de_k6_st21_bericht_schreibplan</x:v>
      </x:c>
      <x:c r="H121" s="176" t="e">
        <x:f>HYPERLINK("schueler/de_k6_st21_bericht_schreibplan_app.html","Lernmodul öffnen")</x:f>
      </x:c>
      <x:c r="I121" s="177" t="e">
        <x:f>HYPERLINK("lehrer/de_k6_st21_bericht_schreibplan_orga.html","Vorbereitung öffnen")</x:f>
      </x:c>
    </x:row>
    <x:row r="122" ht="65" customHeight="1">
      <x:c r="A122" s="142" t="n">
        <x:v>6</x:v>
      </x:c>
      <x:c r="B122" s="115" t="str">
        <x:v>Schreiben</x:v>
      </x:c>
      <x:c r="C122" s="148" t="n">
        <x:v>22</x:v>
      </x:c>
      <x:c r="D122" s="115" t="str">
        <x:v>Sachlich berichten: einen ersten Textentwurf verfassen</x:v>
      </x:c>
      <x:c r="E122" s="115" t="str">
        <x:v>Zeitungs- oder unfallbericht mithilfe von Schreibrahmen, Satzanfängen und Wortbank verfassen. Basisniveau mit klaren Teilschritten, Wortlisten, Satzstartern und häufigen Sicherungen.</x:v>
      </x:c>
      <x:c r="F122" s="115" t="str">
        <x:v>Zeitungs- oder unfallbericht selbstständig, adressatenbezogen und sprachlich differenziert verfassen. Erweiterungsniveau mit selbstständigerer Erschließung, zusätzlichen Belegen und begründeten Urteilen.</x:v>
      </x:c>
      <x:c r="G122" s="115" t="str">
        <x:v>de_k6_st22_bericht_entwurf</x:v>
      </x:c>
      <x:c r="H122" s="176" t="e">
        <x:f>HYPERLINK("schueler/de_k6_st22_bericht_entwurf_app.html","Lernmodul öffnen")</x:f>
      </x:c>
      <x:c r="I122" s="177" t="e">
        <x:f>HYPERLINK("lehrer/de_k6_st22_bericht_entwurf_orga.html","Vorbereitung öffnen")</x:f>
      </x:c>
    </x:row>
    <x:row r="123" ht="65" customHeight="1">
      <x:c r="A123" s="142" t="n">
        <x:v>6</x:v>
      </x:c>
      <x:c r="B123" s="115" t="str">
        <x:v>Schreiben</x:v>
      </x:c>
      <x:c r="C123" s="148" t="n">
        <x:v>23</x:v>
      </x:c>
      <x:c r="D123" s="115" t="str">
        <x:v>Sachlich berichten: Text kriteriengeleitet überarbeiten</x:v>
      </x:c>
      <x:c r="E123" s="115" t="str">
        <x:v>Text mit einer kurzen Prüfliste überarbeiten; einen inhaltlichen und einen sprachlichen Fehler verbessern. Basisniveau mit klaren Teilschritten, Wortlisten, Satzstartern und häufigen Sicherungen.</x:v>
      </x:c>
      <x:c r="F123" s="115" t="str">
        <x:v>Text in mehreren Überarbeitungsschritten prüfen; Aufbau, Kohärenz, Stil und Normrichtigkeit gezielt optimieren. Erweiterungsniveau mit selbstständigerer Erschließung, zusätzlichen Belegen und begründeten Urteilen.</x:v>
      </x:c>
      <x:c r="G123" s="115" t="str">
        <x:v>de_k6_st23_bericht_ueberarbeiten</x:v>
      </x:c>
      <x:c r="H123" s="176" t="e">
        <x:f>HYPERLINK("schueler/de_k6_st23_bericht_ueberarbeiten_app.html","Lernmodul öffnen")</x:f>
      </x:c>
      <x:c r="I123" s="177" t="e">
        <x:f>HYPERLINK("lehrer/de_k6_st23_bericht_ueberarbeiten_orga.html","Vorbereitung öffnen")</x:f>
      </x:c>
    </x:row>
    <x:row r="124" ht="65" customHeight="1">
      <x:c r="A124" s="142" t="n">
        <x:v>6</x:v>
      </x:c>
      <x:c r="B124" s="115" t="str">
        <x:v>Sprechen und Zuhören</x:v>
      </x:c>
      <x:c r="C124" s="148" t="n">
        <x:v>24</x:v>
      </x:c>
      <x:c r="D124" s="115" t="str">
        <x:v>Sachlich berichten: Texte vorstellen und bewerten</x:v>
      </x:c>
      <x:c r="E124" s="115" t="str">
        <x:v>Ausgewählte Passage vorlesen oder erläutern; Rückmeldung mit einfachen Satzmustern geben. Basisniveau mit klaren Teilschritten, Wortlisten, Satzstartern und häufigen Sicherungen.</x:v>
      </x:c>
      <x:c r="F124" s="115" t="str">
        <x:v>Textwirkung und Schreibentscheidungen erläutern; differenziertes Peer-Feedback geben und begründet annehmen. Erweiterungsniveau mit selbstständigerer Erschließung, zusätzlichen Belegen und begründeten Urteilen.</x:v>
      </x:c>
      <x:c r="G124" s="115" t="str">
        <x:v>de_k6_st24_bericht_vorstellen</x:v>
      </x:c>
      <x:c r="H124" s="176" t="e">
        <x:f>HYPERLINK("schueler/de_k6_st24_bericht_vorstellen_app.html","Lernmodul öffnen")</x:f>
      </x:c>
      <x:c r="I124" s="177" t="e">
        <x:f>HYPERLINK("lehrer/de_k6_st24_bericht_vorstellen_orga.html","Vorbereitung öffnen")</x:f>
      </x:c>
    </x:row>
    <x:row r="125" ht="65" customHeight="1">
      <x:c r="A125" s="142" t="n">
        <x:v>6</x:v>
      </x:c>
      <x:c r="B125" s="115" t="str">
        <x:v>Sprache untersuchen</x:v>
      </x:c>
      <x:c r="C125" s="148" t="n">
        <x:v>25</x:v>
      </x:c>
      <x:c r="D125" s="115" t="str">
        <x:v>Satzglieder und Zeitformen sichern: Lernstand feststellen</x:v>
      </x:c>
      <x:c r="E125" s="115" t="str">
        <x:v>Kurze Diagnose zu Subjekt, Prädikat, Objekte und Tempora bearbeiten; eigene Unsicherheiten markieren. Basisniveau mit klaren Teilschritten, Wortlisten, Satzstartern und häufigen Sicherungen.</x:v>
      </x:c>
      <x:c r="F125" s="115" t="str">
        <x:v>Diagnose zu Subjekt, Prädikat, Objekte und Tempora auswerten; Fehlermuster benennen und persönliche Lernziele ableiten. Erweiterungsniveau mit selbstständigerer Erschließung, zusätzlichen Belegen und begründeten Urteilen.</x:v>
      </x:c>
      <x:c r="G125" s="115" t="str">
        <x:v>de_k6_st25_satzglieder_diagnose</x:v>
      </x:c>
      <x:c r="H125" s="176" t="e">
        <x:f>HYPERLINK("schueler/de_k6_st25_satzglieder_diagnose_app.html","Lernmodul öffnen")</x:f>
      </x:c>
      <x:c r="I125" s="177" t="e">
        <x:f>HYPERLINK("lehrer/de_k6_st25_satzglieder_diagnose_orga.html","Vorbereitung öffnen")</x:f>
      </x:c>
    </x:row>
    <x:row r="126" ht="65" customHeight="1">
      <x:c r="A126" s="142" t="n">
        <x:v>6</x:v>
      </x:c>
      <x:c r="B126" s="115" t="str">
        <x:v>Sprache untersuchen</x:v>
      </x:c>
      <x:c r="C126" s="148" t="n">
        <x:v>26</x:v>
      </x:c>
      <x:c r="D126" s="115" t="str">
        <x:v>Satzglieder und Zeitformen sichern: Grundbegriffe sichern</x:v>
      </x:c>
      <x:c r="E126" s="115" t="str">
        <x:v>Umstellprobe, Frageprobe, Zeitformenbildung an einfachen Beispielen erkennen und mit Merkkarten sichern. Basisniveau mit klaren Teilschritten, Wortlisten, Satzstartern und häufigen Sicherungen.</x:v>
      </x:c>
      <x:c r="F126" s="115" t="str">
        <x:v>Umstellprobe, Frageprobe, Zeitformenbildung fachsprachlich erklären, voneinander abgrenzen und in komplexeren Beispielen bestimmen. Erweiterungsniveau mit selbstständigerer Erschließung, zusätzlichen Belegen und begründeten Urteilen.</x:v>
      </x:c>
      <x:c r="G126" s="115" t="str">
        <x:v>de_k6_st26_satzglieder_grundbegriffe</x:v>
      </x:c>
      <x:c r="H126" s="176" t="e">
        <x:f>HYPERLINK("schueler/de_k6_st26_satzglieder_grundbegriffe_app.html","Lernmodul öffnen")</x:f>
      </x:c>
      <x:c r="I126" s="177" t="e">
        <x:f>HYPERLINK("lehrer/de_k6_st26_satzglieder_grundbegriffe_orga.html","Vorbereitung öffnen")</x:f>
      </x:c>
    </x:row>
    <x:row r="127" ht="65" customHeight="1">
      <x:c r="A127" s="142" t="n">
        <x:v>6</x:v>
      </x:c>
      <x:c r="B127" s="115" t="str">
        <x:v>Sprache untersuchen</x:v>
      </x:c>
      <x:c r="C127" s="148" t="n">
        <x:v>27</x:v>
      </x:c>
      <x:c r="D127" s="115" t="str">
        <x:v>Satzglieder und Zeitformen sichern: Verfahren anwenden</x:v>
      </x:c>
      <x:c r="E127" s="115" t="str">
        <x:v>Satzgliedproben und Tempusvergleich Schritt für Schritt anwenden; Entscheidungen mündlich begründen. Basisniveau mit klaren Teilschritten, Wortlisten, Satzstartern und häufigen Sicherungen.</x:v>
      </x:c>
      <x:c r="F127" s="115" t="str">
        <x:v>Satzgliedproben und Tempusvergleich selbstständig auswählen, kombinieren und auf Zweifelsfälle übertragen. Erweiterungsniveau mit selbstständigerer Erschließung, zusätzlichen Belegen und begründeten Urteilen.</x:v>
      </x:c>
      <x:c r="G127" s="115" t="str">
        <x:v>de_k6_st27_satzglieder_verfahren</x:v>
      </x:c>
      <x:c r="H127" s="176" t="e">
        <x:f>HYPERLINK("schueler/de_k6_st27_satzglieder_verfahren_app.html","Lernmodul öffnen")</x:f>
      </x:c>
      <x:c r="I127" s="177" t="e">
        <x:f>HYPERLINK("lehrer/de_k6_st27_satzglieder_verfahren_orga.html","Vorbereitung öffnen")</x:f>
      </x:c>
    </x:row>
    <x:row r="128" ht="65" customHeight="1">
      <x:c r="A128" s="142" t="n">
        <x:v>6</x:v>
      </x:c>
      <x:c r="B128" s="115" t="str">
        <x:v>Sprache untersuchen</x:v>
      </x:c>
      <x:c r="C128" s="148" t="n">
        <x:v>28</x:v>
      </x:c>
      <x:c r="D128" s="115" t="str">
        <x:v>Satzglieder und Zeitformen sichern: Formen und Funktionen untersuchen</x:v>
      </x:c>
      <x:c r="E128" s="115" t="str">
        <x:v>Formen bilden und ihre Aufgabe im Satz mit Leitfragen beschreiben. Basisniveau mit klaren Teilschritten, Wortlisten, Satzstartern und häufigen Sicherungen.</x:v>
      </x:c>
      <x:c r="F128" s="115" t="str">
        <x:v>Form, Funktion und Wirkung im Satz oder Text untersuchen; alternative Formulierungen vergleichen. Erweiterungsniveau mit selbstständigerer Erschließung, zusätzlichen Belegen und begründeten Urteilen.</x:v>
      </x:c>
      <x:c r="G128" s="115" t="str">
        <x:v>de_k6_st28_satzglieder_funktion</x:v>
      </x:c>
      <x:c r="H128" s="176" t="e">
        <x:f>HYPERLINK("schueler/de_k6_st28_satzglieder_funktion_app.html","Lernmodul öffnen")</x:f>
      </x:c>
      <x:c r="I128" s="177" t="e">
        <x:f>HYPERLINK("lehrer/de_k6_st28_satzglieder_funktion_orga.html","Vorbereitung öffnen")</x:f>
      </x:c>
    </x:row>
    <x:row r="129" ht="65" customHeight="1">
      <x:c r="A129" s="142" t="n">
        <x:v>6</x:v>
      </x:c>
      <x:c r="B129" s="115" t="str">
        <x:v>Schreiben</x:v>
      </x:c>
      <x:c r="C129" s="148" t="n">
        <x:v>29</x:v>
      </x:c>
      <x:c r="D129" s="115" t="str">
        <x:v>Satzglieder und Zeitformen sichern: Wissen im eigenen Text nutzen</x:v>
      </x:c>
      <x:c r="E129" s="115" t="str">
        <x:v>Berichte und erzähltexte nach Vorgabe verfassen und die geübten Strukturen farbig markieren. Basisniveau mit klaren Teilschritten, Wortlisten, Satzstartern und häufigen Sicherungen.</x:v>
      </x:c>
      <x:c r="F129" s="115" t="str">
        <x:v>Berichte und erzähltexte bewusst gestalten und sprachliche Entscheidungen kommentieren. Erweiterungsniveau mit selbstständigerer Erschließung, zusätzlichen Belegen und begründeten Urteilen.</x:v>
      </x:c>
      <x:c r="G129" s="115" t="str">
        <x:v>de_k6_st29_satzglieder_anwenden</x:v>
      </x:c>
      <x:c r="H129" s="176" t="e">
        <x:f>HYPERLINK("schueler/de_k6_st29_satzglieder_anwenden_app.html","Lernmodul öffnen")</x:f>
      </x:c>
      <x:c r="I129" s="177" t="e">
        <x:f>HYPERLINK("lehrer/de_k6_st29_satzglieder_anwenden_orga.html","Vorbereitung öffnen")</x:f>
      </x:c>
    </x:row>
    <x:row r="130" ht="65" customHeight="1">
      <x:c r="A130" s="142" t="n">
        <x:v>6</x:v>
      </x:c>
      <x:c r="B130" s="115" t="str">
        <x:v>Sprache untersuchen</x:v>
      </x:c>
      <x:c r="C130" s="148" t="n">
        <x:v>30</x:v>
      </x:c>
      <x:c r="D130" s="115" t="str">
        <x:v>Satzglieder und Zeitformen sichern: Fehler finden und korrigieren</x:v>
      </x:c>
      <x:c r="E130" s="115" t="str">
        <x:v>Typische Fehler in kurzen Sätzen finden; passende Regelkarte auswählen und korrigieren. Basisniveau mit klaren Teilschritten, Wortlisten, Satzstartern und häufigen Sicherungen.</x:v>
      </x:c>
      <x:c r="F130" s="115" t="str">
        <x:v>Fehler systematisch diagnostizieren, Regelbezug herstellen und mehrere Korrekturmöglichkeiten bewerten. Erweiterungsniveau mit selbstständigerer Erschließung, zusätzlichen Belegen und begründeten Urteilen.</x:v>
      </x:c>
      <x:c r="G130" s="115" t="str">
        <x:v>de_k6_st30_satzglieder_fehler</x:v>
      </x:c>
      <x:c r="H130" s="176" t="e">
        <x:f>HYPERLINK("schueler/de_k6_st30_satzglieder_fehler_app.html","Lernmodul öffnen")</x:f>
      </x:c>
      <x:c r="I130" s="177" t="e">
        <x:f>HYPERLINK("lehrer/de_k6_st30_satzglieder_fehler_orga.html","Vorbereitung öffnen")</x:f>
      </x:c>
    </x:row>
    <x:row r="131" ht="65" customHeight="1">
      <x:c r="A131" s="142" t="n">
        <x:v>6</x:v>
      </x:c>
      <x:c r="B131" s="115" t="str">
        <x:v>Sprache untersuchen</x:v>
      </x:c>
      <x:c r="C131" s="148" t="n">
        <x:v>31</x:v>
      </x:c>
      <x:c r="D131" s="115" t="str">
        <x:v>Satzglieder und Zeitformen sichern: Transfer auf unbekannte Beispiele</x:v>
      </x:c>
      <x:c r="E131" s="115" t="str">
        <x:v>Neue Beispiele mit Hilfekarte bearbeiten und Lösungen vergleichen. Basisniveau mit klaren Teilschritten, Wortlisten, Satzstartern und häufigen Sicherungen.</x:v>
      </x:c>
      <x:c r="F131" s="115" t="str">
        <x:v>Unbekannte und mehrdeutige Beispiele selbstständig analysieren; Grenzfälle begründet diskutieren. Erweiterungsniveau mit selbstständigerer Erschließung, zusätzlichen Belegen und begründeten Urteilen.</x:v>
      </x:c>
      <x:c r="G131" s="115" t="str">
        <x:v>de_k6_st31_satzglieder_transfer</x:v>
      </x:c>
      <x:c r="H131" s="176" t="e">
        <x:f>HYPERLINK("schueler/de_k6_st31_satzglieder_transfer_app.html","Lernmodul öffnen")</x:f>
      </x:c>
      <x:c r="I131" s="177" t="e">
        <x:f>HYPERLINK("lehrer/de_k6_st31_satzglieder_transfer_orga.html","Vorbereitung öffnen")</x:f>
      </x:c>
    </x:row>
    <x:row r="132" ht="65" customHeight="1">
      <x:c r="A132" s="142" t="n">
        <x:v>6</x:v>
      </x:c>
      <x:c r="B132" s="115" t="str">
        <x:v>Schreiben</x:v>
      </x:c>
      <x:c r="C132" s="148" t="n">
        <x:v>32</x:v>
      </x:c>
      <x:c r="D132" s="115" t="str">
        <x:v>Satzglieder und Zeitformen sichern: Lernprodukt und Kompetenzcheck</x:v>
      </x:c>
      <x:c r="E132" s="115" t="str">
        <x:v>Merkblatt oder Übungstext erstellen; Grundregeln in einem kurzen Kompetenzcheck anwenden. Basisniveau mit klaren Teilschritten, Wortlisten, Satzstartern und häufigen Sicherungen.</x:v>
      </x:c>
      <x:c r="F132" s="115" t="str">
        <x:v>Erklärprodukt mit eigenen Beispielen erstellen; Regeln in einem anspruchsvollen Kompetenzcheck sicher anwenden. Erweiterungsniveau mit selbstständigerer Erschließung, zusätzlichen Belegen und begründeten Urteilen.</x:v>
      </x:c>
      <x:c r="G132" s="115" t="str">
        <x:v>de_k6_st32_satzglieder_kompetenzcheck</x:v>
      </x:c>
      <x:c r="H132" s="176" t="e">
        <x:f>HYPERLINK("schueler/de_k6_st32_satzglieder_kompetenzcheck_app.html","Lernmodul öffnen")</x:f>
      </x:c>
      <x:c r="I132" s="177" t="e">
        <x:f>HYPERLINK("lehrer/de_k6_st32_satzglieder_kompetenzcheck_orga.html","Vorbereitung öffnen")</x:f>
      </x:c>
    </x:row>
    <x:row r="133" ht="65" customHeight="1">
      <x:c r="A133" s="142" t="n">
        <x:v>6</x:v>
      </x:c>
      <x:c r="B133" s="115" t="str">
        <x:v>Sprechen und Zuhören</x:v>
      </x:c>
      <x:c r="C133" s="148" t="n">
        <x:v>33</x:v>
      </x:c>
      <x:c r="D133" s="115" t="str">
        <x:v>Jugendroman: Konflikte und Entscheidungen: Hör- oder Leseeinstieg gestalten</x:v>
      </x:c>
      <x:c r="E133" s="115" t="str">
        <x:v>Einstieg über Bild, Hörtext oder kurzen Auszug; Vorwissen zu Jugendroman als Ganzschrift sammeln und zentrale Wörter klären. Basisniveau mit klaren Teilschritten, Wortlisten, Satzstartern und häufigen Sicherungen.</x:v>
      </x:c>
      <x:c r="F133" s="115" t="str">
        <x:v>Aus Titel, Kontext und Gestaltung Erwartungen an Jugendroman als Ganzschrift ableiten; erste Hypothesen formulieren und begründen. Erweiterungsniveau mit selbstständigerer Erschließung, zusätzlichen Belegen und begründeten Urteilen.</x:v>
      </x:c>
      <x:c r="G133" s="115" t="str">
        <x:v>de_k6_st33_jugendroman_einstieg</x:v>
      </x:c>
      <x:c r="H133" s="176" t="e">
        <x:f>HYPERLINK("schueler/de_k6_st33_jugendroman_einstieg_app.html","Lernmodul öffnen")</x:f>
      </x:c>
      <x:c r="I133" s="177" t="e">
        <x:f>HYPERLINK("lehrer/de_k6_st33_jugendroman_einstieg_orga.html","Vorbereitung öffnen")</x:f>
      </x:c>
    </x:row>
    <x:row r="134" ht="65" customHeight="1">
      <x:c r="A134" s="142" t="n">
        <x:v>6</x:v>
      </x:c>
      <x:c r="B134" s="115" t="str">
        <x:v>Lesen/Umgang mit Texten</x:v>
      </x:c>
      <x:c r="C134" s="148" t="n">
        <x:v>34</x:v>
      </x:c>
      <x:c r="D134" s="115" t="str">
        <x:v>Jugendroman: Konflikte und Entscheidungen: den Text mit Lesestrategien erschließen</x:v>
      </x:c>
      <x:c r="E134" s="115" t="str">
        <x:v>Text abschnittsweise lesen; Schlüsselwörter markieren und den Inhalt mit Leitfragen sichern. Basisniveau mit klaren Teilschritten, Wortlisten, Satzstartern und häufigen Sicherungen.</x:v>
      </x:c>
      <x:c r="F134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134" s="115" t="str">
        <x:v>de_k6_st34_jugendroman_erschliessen</x:v>
      </x:c>
      <x:c r="H134" s="176" t="e">
        <x:f>HYPERLINK("schueler/de_k6_st34_jugendroman_erschliessen_app.html","Lernmodul öffnen")</x:f>
      </x:c>
      <x:c r="I134" s="177" t="e">
        <x:f>HYPERLINK("lehrer/de_k6_st34_jugendroman_erschliessen_orga.html","Vorbereitung öffnen")</x:f>
      </x:c>
    </x:row>
    <x:row r="135" ht="65" customHeight="1">
      <x:c r="A135" s="142" t="n">
        <x:v>6</x:v>
      </x:c>
      <x:c r="B135" s="115" t="str">
        <x:v>Lesen/Umgang mit Texten</x:v>
      </x:c>
      <x:c r="C135" s="148" t="n">
        <x:v>35</x:v>
      </x:c>
      <x:c r="D135" s="115" t="str">
        <x:v>Jugendroman: Konflikte und Entscheidungen: Gattungsmerkmale erkennen</x:v>
      </x:c>
      <x:c r="E135" s="115" t="str">
        <x:v>Merkmale wie Figuren, Konflikte, Kapitelaufbau mithilfe einer Checkliste zuordnen und an Textstellen zeigen. Basisniveau mit klaren Teilschritten, Wortlisten, Satzstartern und häufigen Sicherungen.</x:v>
      </x:c>
      <x:c r="F135" s="115" t="str">
        <x:v>Merkmale wie Figuren, Konflikte, Kapitelaufbau textnah belegen und ihre Funktion für Aufbau und Wirkung erklären. Erweiterungsniveau mit selbstständigerer Erschließung, zusätzlichen Belegen und begründeten Urteilen.</x:v>
      </x:c>
      <x:c r="G135" s="115" t="str">
        <x:v>de_k6_st35_jugendroman_merkmale</x:v>
      </x:c>
      <x:c r="H135" s="176" t="e">
        <x:f>HYPERLINK("schueler/de_k6_st35_jugendroman_merkmale_app.html","Lernmodul öffnen")</x:f>
      </x:c>
      <x:c r="I135" s="177" t="e">
        <x:f>HYPERLINK("lehrer/de_k6_st35_jugendroman_merkmale_orga.html","Vorbereitung öffnen")</x:f>
      </x:c>
    </x:row>
    <x:row r="136" ht="65" customHeight="1">
      <x:c r="A136" s="142" t="n">
        <x:v>6</x:v>
      </x:c>
      <x:c r="B136" s="115" t="str">
        <x:v>Lesen/Umgang mit Texten</x:v>
      </x:c>
      <x:c r="C136" s="148" t="n">
        <x:v>36</x:v>
      </x:c>
      <x:c r="D136" s="115" t="str">
        <x:v>Jugendroman: Konflikte und Entscheidungen: Figuren, Handlung und Konflikt untersuchen</x:v>
      </x:c>
      <x:c r="E136" s="115" t="str">
        <x:v>Motive, Entwicklung und Wertefragen mit Figurenkarten oder Handlungsstreifen ordnen; einfache Belege auswählen. Basisniveau mit klaren Teilschritten, Wortlisten, Satzstartern und häufigen Sicherungen.</x:v>
      </x:c>
      <x:c r="F136" s="115" t="str">
        <x:v>Motive, Entwicklung und Wertefragen in ihrem Zusammenhang untersuchen; Schlussfolgerungen mit passenden Textbelegen absichern. Erweiterungsniveau mit selbstständigerer Erschließung, zusätzlichen Belegen und begründeten Urteilen.</x:v>
      </x:c>
      <x:c r="G136" s="115" t="str">
        <x:v>de_k6_st36_jugendroman_figuren_handlung</x:v>
      </x:c>
      <x:c r="H136" s="176" t="e">
        <x:f>HYPERLINK("schueler/de_k6_st36_jugendroman_figuren_handlung_app.html","Lernmodul öffnen")</x:f>
      </x:c>
      <x:c r="I136" s="177" t="e">
        <x:f>HYPERLINK("lehrer/de_k6_st36_jugendroman_figuren_handlung_orga.html","Vorbereitung öffnen")</x:f>
      </x:c>
    </x:row>
    <x:row r="137" ht="65" customHeight="1">
      <x:c r="A137" s="142" t="n">
        <x:v>6</x:v>
      </x:c>
      <x:c r="B137" s="115" t="str">
        <x:v>Sprache untersuchen</x:v>
      </x:c>
      <x:c r="C137" s="148" t="n">
        <x:v>37</x:v>
      </x:c>
      <x:c r="D137" s="115" t="str">
        <x:v>Jugendroman: Konflikte und Entscheidungen: Sprache und Wirkung untersuchen</x:v>
      </x:c>
      <x:c r="E137" s="115" t="str">
        <x:v>Beispiele für Erzählperspektive, Dialoggestaltung, innere Gedanken markieren und ihre Wirkung mit vorgegebenen Begriffen beschreiben. Basisniveau mit klaren Teilschritten, Wortlisten, Satzstartern und häufigen Sicherungen.</x:v>
      </x:c>
      <x:c r="F137" s="115" t="str">
        <x:v>Erzählperspektive, Dialoggestaltung, innere Gedanken fachsprachlich analysieren und auf Figurenzeichnung, Stimmung oder Aussage beziehen. Erweiterungsniveau mit selbstständigerer Erschließung, zusätzlichen Belegen und begründeten Urteilen.</x:v>
      </x:c>
      <x:c r="G137" s="115" t="str">
        <x:v>de_k6_st37_jugendroman_sprache_wirkung</x:v>
      </x:c>
      <x:c r="H137" s="176" t="e">
        <x:f>HYPERLINK("schueler/de_k6_st37_jugendroman_sprache_wirkung_app.html","Lernmodul öffnen")</x:f>
      </x:c>
      <x:c r="I137" s="177" t="e">
        <x:f>HYPERLINK("lehrer/de_k6_st37_jugendroman_sprache_wirkung_orga.html","Vorbereitung öffnen")</x:f>
      </x:c>
    </x:row>
    <x:row r="138" ht="65" customHeight="1">
      <x:c r="A138" s="142" t="n">
        <x:v>6</x:v>
      </x:c>
      <x:c r="B138" s="115" t="str">
        <x:v>Schreiben</x:v>
      </x:c>
      <x:c r="C138" s="148" t="n">
        <x:v>38</x:v>
      </x:c>
      <x:c r="D138" s="115" t="str">
        <x:v>Jugendroman: Konflikte und Entscheidungen: eine Deutung oder Perspektive vorbereiten</x:v>
      </x:c>
      <x:c r="E138" s="115" t="str">
        <x:v>Eine zentrale Aussage mit Satzstartern formulieren; Beleg und Erklärung in einem Schreibrahmen verbinden. Basisniveau mit klaren Teilschritten, Wortlisten, Satzstartern und häufigen Sicherungen.</x:v>
      </x:c>
      <x:c r="F138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138" s="115" t="str">
        <x:v>de_k6_st38_jugendroman_deutung_planen</x:v>
      </x:c>
      <x:c r="H138" s="176" t="e">
        <x:f>HYPERLINK("schueler/de_k6_st38_jugendroman_deutung_planen_app.html","Lernmodul öffnen")</x:f>
      </x:c>
      <x:c r="I138" s="177" t="e">
        <x:f>HYPERLINK("lehrer/de_k6_st38_jugendroman_deutung_planen_orga.html","Vorbereitung öffnen")</x:f>
      </x:c>
    </x:row>
    <x:row r="139" ht="65" customHeight="1">
      <x:c r="A139" s="142" t="n">
        <x:v>6</x:v>
      </x:c>
      <x:c r="B139" s="115" t="str">
        <x:v>Schreiben</x:v>
      </x:c>
      <x:c r="C139" s="148" t="n">
        <x:v>39</x:v>
      </x:c>
      <x:c r="D139" s="115" t="str">
        <x:v>Jugendroman: Konflikte und Entscheidungen: Lesetagebuch und Figurengespräch gestalten</x:v>
      </x:c>
      <x:c r="E139" s="115" t="str">
        <x:v>Lesetagebuch und figurengespräch nach klaren Vorgaben erstellen; Hilfekarten und Wortbank nutzen. Basisniveau mit klaren Teilschritten, Wortlisten, Satzstartern und häufigen Sicherungen.</x:v>
      </x:c>
      <x:c r="F139" s="115" t="str">
        <x:v>Lesetagebuch und figurengespräch eigenständig, textnah und sprachlich variabel gestalten; Wirkung bewusst planen. Erweiterungsniveau mit selbstständigerer Erschließung, zusätzlichen Belegen und begründeten Urteilen.</x:v>
      </x:c>
      <x:c r="G139" s="115" t="str">
        <x:v>de_k6_st39_jugendroman_produkt</x:v>
      </x:c>
      <x:c r="H139" s="176" t="e">
        <x:f>HYPERLINK("schueler/de_k6_st39_jugendroman_produkt_app.html","Lernmodul öffnen")</x:f>
      </x:c>
      <x:c r="I139" s="177" t="e">
        <x:f>HYPERLINK("lehrer/de_k6_st39_jugendroman_produkt_orga.html","Vorbereitung öffnen")</x:f>
      </x:c>
    </x:row>
    <x:row r="140" ht="65" customHeight="1">
      <x:c r="A140" s="142" t="n">
        <x:v>6</x:v>
      </x:c>
      <x:c r="B140" s="115" t="str">
        <x:v>Sprechen und Zuhören</x:v>
      </x:c>
      <x:c r="C140" s="148" t="n">
        <x:v>40</x:v>
      </x:c>
      <x:c r="D140" s="115" t="str">
        <x:v>Jugendroman: Konflikte und Entscheidungen: Ergebnisse präsentieren und reflektieren</x:v>
      </x:c>
      <x:c r="E140" s="115" t="str">
        <x:v>Ergebnis kurz vorstellen; zwei vereinbarte Kriterien für Rückmeldung anwenden. Basisniveau mit klaren Teilschritten, Wortlisten, Satzstartern und häufigen Sicherungen.</x:v>
      </x:c>
      <x:c r="F140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140" s="115" t="str">
        <x:v>de_k6_st40_jugendroman_praesentieren</x:v>
      </x:c>
      <x:c r="H140" s="176" t="e">
        <x:f>HYPERLINK("schueler/de_k6_st40_jugendroman_praesentieren_app.html","Lernmodul öffnen")</x:f>
      </x:c>
      <x:c r="I140" s="177" t="e">
        <x:f>HYPERLINK("lehrer/de_k6_st40_jugendroman_praesentieren_orga.html","Vorbereitung öffnen")</x:f>
      </x:c>
    </x:row>
    <x:row r="141" ht="65" customHeight="1">
      <x:c r="A141" s="142" t="n">
        <x:v>6</x:v>
      </x:c>
      <x:c r="B141" s="115" t="str">
        <x:v>Sprechen und Zuhören</x:v>
      </x:c>
      <x:c r="C141" s="148" t="n">
        <x:v>41</x:v>
      </x:c>
      <x:c r="D141" s="115" t="str">
        <x:v>Schwänke, Sagen und komische Geschichten: Hör- oder Leseeinstieg gestalten</x:v>
      </x:c>
      <x:c r="E141" s="115" t="str">
        <x:v>Einstieg über Bild, Hörtext oder kurzen Auszug; Vorwissen zu Schwank und humorvolle Erzählung sammeln und zentrale Wörter klären. Basisniveau mit klaren Teilschritten, Wortlisten, Satzstartern und häufigen Sicherungen.</x:v>
      </x:c>
      <x:c r="F141" s="115" t="str">
        <x:v>Aus Titel, Kontext und Gestaltung Erwartungen an Schwank und humorvolle Erzählung ableiten; erste Hypothesen formulieren und begründen. Erweiterungsniveau mit selbstständigerer Erschließung, zusätzlichen Belegen und begründeten Urteilen.</x:v>
      </x:c>
      <x:c r="G141" s="115" t="str">
        <x:v>de_k6_st41_schwaenke_einstieg</x:v>
      </x:c>
      <x:c r="H141" s="176" t="e">
        <x:f>HYPERLINK("schueler/de_k6_st41_schwaenke_einstieg_app.html","Lernmodul öffnen")</x:f>
      </x:c>
      <x:c r="I141" s="177" t="e">
        <x:f>HYPERLINK("lehrer/de_k6_st41_schwaenke_einstieg_orga.html","Vorbereitung öffnen")</x:f>
      </x:c>
    </x:row>
    <x:row r="142" ht="65" customHeight="1">
      <x:c r="A142" s="142" t="n">
        <x:v>6</x:v>
      </x:c>
      <x:c r="B142" s="115" t="str">
        <x:v>Lesen/Umgang mit Texten</x:v>
      </x:c>
      <x:c r="C142" s="148" t="n">
        <x:v>42</x:v>
      </x:c>
      <x:c r="D142" s="115" t="str">
        <x:v>Schwänke, Sagen und komische Geschichten: den Text mit Lesestrategien erschließen</x:v>
      </x:c>
      <x:c r="E142" s="115" t="str">
        <x:v>Text abschnittsweise lesen; Schlüsselwörter markieren und den Inhalt mit Leitfragen sichern. Basisniveau mit klaren Teilschritten, Wortlisten, Satzstartern und häufigen Sicherungen.</x:v>
      </x:c>
      <x:c r="F142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142" s="115" t="str">
        <x:v>de_k6_st42_schwaenke_erschliessen</x:v>
      </x:c>
      <x:c r="H142" s="176" t="e">
        <x:f>HYPERLINK("schueler/de_k6_st42_schwaenke_erschliessen_app.html","Lernmodul öffnen")</x:f>
      </x:c>
      <x:c r="I142" s="177" t="e">
        <x:f>HYPERLINK("lehrer/de_k6_st42_schwaenke_erschliessen_orga.html","Vorbereitung öffnen")</x:f>
      </x:c>
    </x:row>
    <x:row r="143" ht="65" customHeight="1">
      <x:c r="A143" s="142" t="n">
        <x:v>6</x:v>
      </x:c>
      <x:c r="B143" s="115" t="str">
        <x:v>Lesen/Umgang mit Texten</x:v>
      </x:c>
      <x:c r="C143" s="148" t="n">
        <x:v>43</x:v>
      </x:c>
      <x:c r="D143" s="115" t="str">
        <x:v>Schwänke, Sagen und komische Geschichten: Gattungsmerkmale erkennen</x:v>
      </x:c>
      <x:c r="E143" s="115" t="str">
        <x:v>Merkmale wie Übertreibung, Missverständnis, Pointe mithilfe einer Checkliste zuordnen und an Textstellen zeigen. Basisniveau mit klaren Teilschritten, Wortlisten, Satzstartern und häufigen Sicherungen.</x:v>
      </x:c>
      <x:c r="F143" s="115" t="str">
        <x:v>Merkmale wie Übertreibung, Missverständnis, Pointe textnah belegen und ihre Funktion für Aufbau und Wirkung erklären. Erweiterungsniveau mit selbstständigerer Erschließung, zusätzlichen Belegen und begründeten Urteilen.</x:v>
      </x:c>
      <x:c r="G143" s="115" t="str">
        <x:v>de_k6_st43_schwaenke_merkmale</x:v>
      </x:c>
      <x:c r="H143" s="176" t="e">
        <x:f>HYPERLINK("schueler/de_k6_st43_schwaenke_merkmale_app.html","Lernmodul öffnen")</x:f>
      </x:c>
      <x:c r="I143" s="177" t="e">
        <x:f>HYPERLINK("lehrer/de_k6_st43_schwaenke_merkmale_orga.html","Vorbereitung öffnen")</x:f>
      </x:c>
    </x:row>
    <x:row r="144" ht="65" customHeight="1">
      <x:c r="A144" s="142" t="n">
        <x:v>6</x:v>
      </x:c>
      <x:c r="B144" s="115" t="str">
        <x:v>Lesen/Umgang mit Texten</x:v>
      </x:c>
      <x:c r="C144" s="148" t="n">
        <x:v>44</x:v>
      </x:c>
      <x:c r="D144" s="115" t="str">
        <x:v>Schwänke, Sagen und komische Geschichten: Figuren, Handlung und Konflikt untersuchen</x:v>
      </x:c>
      <x:c r="E144" s="115" t="str">
        <x:v>Figurentypen und gesellschaftliche Kritik mit Figurenkarten oder Handlungsstreifen ordnen; einfache Belege auswählen. Basisniveau mit klaren Teilschritten, Wortlisten, Satzstartern und häufigen Sicherungen.</x:v>
      </x:c>
      <x:c r="F144" s="115" t="str">
        <x:v>Figurentypen und gesellschaftliche Kritik in ihrem Zusammenhang untersuchen; Schlussfolgerungen mit passenden Textbelegen absichern. Erweiterungsniveau mit selbstständigerer Erschließung, zusätzlichen Belegen und begründeten Urteilen.</x:v>
      </x:c>
      <x:c r="G144" s="115" t="str">
        <x:v>de_k6_st44_schwaenke_figuren_handlung</x:v>
      </x:c>
      <x:c r="H144" s="176" t="e">
        <x:f>HYPERLINK("schueler/de_k6_st44_schwaenke_figuren_handlung_app.html","Lernmodul öffnen")</x:f>
      </x:c>
      <x:c r="I144" s="177" t="e">
        <x:f>HYPERLINK("lehrer/de_k6_st44_schwaenke_figuren_handlung_orga.html","Vorbereitung öffnen")</x:f>
      </x:c>
    </x:row>
    <x:row r="145" ht="65" customHeight="1">
      <x:c r="A145" s="142" t="n">
        <x:v>6</x:v>
      </x:c>
      <x:c r="B145" s="115" t="str">
        <x:v>Sprache untersuchen</x:v>
      </x:c>
      <x:c r="C145" s="148" t="n">
        <x:v>45</x:v>
      </x:c>
      <x:c r="D145" s="115" t="str">
        <x:v>Schwänke, Sagen und komische Geschichten: Sprache und Wirkung untersuchen</x:v>
      </x:c>
      <x:c r="E145" s="115" t="str">
        <x:v>Beispiele für Komik durch Wortwahl, Wiederholung und Dialog markieren und ihre Wirkung mit vorgegebenen Begriffen beschreiben. Basisniveau mit klaren Teilschritten, Wortlisten, Satzstartern und häufigen Sicherungen.</x:v>
      </x:c>
      <x:c r="F145" s="115" t="str">
        <x:v>Komik durch Wortwahl, Wiederholung und Dialog fachsprachlich analysieren und auf Figurenzeichnung, Stimmung oder Aussage beziehen. Erweiterungsniveau mit selbstständigerer Erschließung, zusätzlichen Belegen und begründeten Urteilen.</x:v>
      </x:c>
      <x:c r="G145" s="115" t="str">
        <x:v>de_k6_st45_schwaenke_sprache_wirkung</x:v>
      </x:c>
      <x:c r="H145" s="176" t="e">
        <x:f>HYPERLINK("schueler/de_k6_st45_schwaenke_sprache_wirkung_app.html","Lernmodul öffnen")</x:f>
      </x:c>
      <x:c r="I145" s="177" t="e">
        <x:f>HYPERLINK("lehrer/de_k6_st45_schwaenke_sprache_wirkung_orga.html","Vorbereitung öffnen")</x:f>
      </x:c>
    </x:row>
    <x:row r="146" ht="65" customHeight="1">
      <x:c r="A146" s="142" t="n">
        <x:v>6</x:v>
      </x:c>
      <x:c r="B146" s="115" t="str">
        <x:v>Schreiben</x:v>
      </x:c>
      <x:c r="C146" s="148" t="n">
        <x:v>46</x:v>
      </x:c>
      <x:c r="D146" s="115" t="str">
        <x:v>Schwänke, Sagen und komische Geschichten: eine Deutung oder Perspektive vorbereiten</x:v>
      </x:c>
      <x:c r="E146" s="115" t="str">
        <x:v>Eine zentrale Aussage mit Satzstartern formulieren; Beleg und Erklärung in einem Schreibrahmen verbinden. Basisniveau mit klaren Teilschritten, Wortlisten, Satzstartern und häufigen Sicherungen.</x:v>
      </x:c>
      <x:c r="F146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146" s="115" t="str">
        <x:v>de_k6_st46_schwaenke_deutung_planen</x:v>
      </x:c>
      <x:c r="H146" s="176" t="e">
        <x:f>HYPERLINK("schueler/de_k6_st46_schwaenke_deutung_planen_app.html","Lernmodul öffnen")</x:f>
      </x:c>
      <x:c r="I146" s="177" t="e">
        <x:f>HYPERLINK("lehrer/de_k6_st46_schwaenke_deutung_planen_orga.html","Vorbereitung öffnen")</x:f>
      </x:c>
    </x:row>
    <x:row r="147" ht="65" customHeight="1">
      <x:c r="A147" s="142" t="n">
        <x:v>6</x:v>
      </x:c>
      <x:c r="B147" s="115" t="str">
        <x:v>Schreiben</x:v>
      </x:c>
      <x:c r="C147" s="148" t="n">
        <x:v>47</x:v>
      </x:c>
      <x:c r="D147" s="115" t="str">
        <x:v>Schwänke, Sagen und komische Geschichten: szenische Umsetzung gestalten</x:v>
      </x:c>
      <x:c r="E147" s="115" t="str">
        <x:v>Szenische umsetzung nach klaren Vorgaben erstellen; Hilfekarten und Wortbank nutzen. Basisniveau mit klaren Teilschritten, Wortlisten, Satzstartern und häufigen Sicherungen.</x:v>
      </x:c>
      <x:c r="F147" s="115" t="str">
        <x:v>Szenische umsetzung eigenständig, textnah und sprachlich variabel gestalten; Wirkung bewusst planen. Erweiterungsniveau mit selbstständigerer Erschließung, zusätzlichen Belegen und begründeten Urteilen.</x:v>
      </x:c>
      <x:c r="G147" s="115" t="str">
        <x:v>de_k6_st47_schwaenke_produkt</x:v>
      </x:c>
      <x:c r="H147" s="176" t="e">
        <x:f>HYPERLINK("schueler/de_k6_st47_schwaenke_produkt_app.html","Lernmodul öffnen")</x:f>
      </x:c>
      <x:c r="I147" s="177" t="e">
        <x:f>HYPERLINK("lehrer/de_k6_st47_schwaenke_produkt_orga.html","Vorbereitung öffnen")</x:f>
      </x:c>
    </x:row>
    <x:row r="148" ht="65" customHeight="1">
      <x:c r="A148" s="142" t="n">
        <x:v>6</x:v>
      </x:c>
      <x:c r="B148" s="115" t="str">
        <x:v>Sprechen und Zuhören</x:v>
      </x:c>
      <x:c r="C148" s="148" t="n">
        <x:v>48</x:v>
      </x:c>
      <x:c r="D148" s="115" t="str">
        <x:v>Schwänke, Sagen und komische Geschichten: Ergebnisse präsentieren und reflektieren</x:v>
      </x:c>
      <x:c r="E148" s="115" t="str">
        <x:v>Ergebnis kurz vorstellen; zwei vereinbarte Kriterien für Rückmeldung anwenden. Basisniveau mit klaren Teilschritten, Wortlisten, Satzstartern und häufigen Sicherungen.</x:v>
      </x:c>
      <x:c r="F148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148" s="115" t="str">
        <x:v>de_k6_st48_schwaenke_praesentieren</x:v>
      </x:c>
      <x:c r="H148" s="176" t="e">
        <x:f>HYPERLINK("schueler/de_k6_st48_schwaenke_praesentieren_app.html","Lernmodul öffnen")</x:f>
      </x:c>
      <x:c r="I148" s="177" t="e">
        <x:f>HYPERLINK("lehrer/de_k6_st48_schwaenke_praesentieren_orga.html","Vorbereitung öffnen")</x:f>
      </x:c>
    </x:row>
    <x:row r="149" ht="65" customHeight="1">
      <x:c r="A149" s="142" t="n">
        <x:v>6</x:v>
      </x:c>
      <x:c r="B149" s="115" t="str">
        <x:v>Lesen/Umgang mit Texten</x:v>
      </x:c>
      <x:c r="C149" s="148" t="n">
        <x:v>49</x:v>
      </x:c>
      <x:c r="D149" s="115" t="str">
        <x:v>Vorgänge verständlich erklären: Beispieltexte untersuchen</x:v>
      </x:c>
      <x:c r="E149" s="115" t="str">
        <x:v>Ein Beispiel für Vorgangsbeschreibung und Spielanleitung lesen; Aufbau und typische Formulierungen farbig kennzeichnen. Basisniveau mit klaren Teilschritten, Wortlisten, Satzstartern und häufigen Sicherungen.</x:v>
      </x:c>
      <x:c r="F149" s="115" t="str">
        <x:v>Mehrere Beispiele für Vorgangsbeschreibung und Spielanleitung vergleichen; Funktion, Adressat und Qualitätsunterschiede herausarbeiten. Erweiterungsniveau mit selbstständigerer Erschließung, zusätzlichen Belegen und begründeten Urteilen.</x:v>
      </x:c>
      <x:c r="G149" s="115" t="str">
        <x:v>de_k6_st49_vorgang_beispiel</x:v>
      </x:c>
      <x:c r="H149" s="176" t="e">
        <x:f>HYPERLINK("schueler/de_k6_st49_vorgang_beispiel_app.html","Lernmodul öffnen")</x:f>
      </x:c>
      <x:c r="I149" s="177" t="e">
        <x:f>HYPERLINK("lehrer/de_k6_st49_vorgang_beispiel_orga.html","Vorbereitung öffnen")</x:f>
      </x:c>
    </x:row>
    <x:row r="150" ht="65" customHeight="1">
      <x:c r="A150" s="142" t="n">
        <x:v>6</x:v>
      </x:c>
      <x:c r="B150" s="115" t="str">
        <x:v>Schreiben</x:v>
      </x:c>
      <x:c r="C150" s="148" t="n">
        <x:v>50</x:v>
      </x:c>
      <x:c r="D150" s="115" t="str">
        <x:v>Vorgänge verständlich erklären: Schreibziel und Kriterien klären</x:v>
      </x:c>
      <x:c r="E150" s="115" t="str">
        <x:v>Schreibziel „eine Tätigkeit so erklären, dass sie ausführbar ist“ verstehen; eine kurze Kriterienliste auf ein Beispiel anwenden. Basisniveau mit klaren Teilschritten, Wortlisten, Satzstartern und häufigen Sicherungen.</x:v>
      </x:c>
      <x:c r="F150" s="115" t="str">
        <x:v>Schreibziel „eine Tätigkeit so erklären, dass sie ausführbar ist“ präzisieren; Kriterien gewichten und auf unterschiedliche Schreibsituationen übertragen. Erweiterungsniveau mit selbstständigerer Erschließung, zusätzlichen Belegen und begründeten Urteilen.</x:v>
      </x:c>
      <x:c r="G150" s="115" t="str">
        <x:v>de_k6_st50_vorgang_kriterien</x:v>
      </x:c>
      <x:c r="H150" s="176" t="e">
        <x:f>HYPERLINK("schueler/de_k6_st50_vorgang_kriterien_app.html","Lernmodul öffnen")</x:f>
      </x:c>
      <x:c r="I150" s="177" t="e">
        <x:f>HYPERLINK("lehrer/de_k6_st50_vorgang_kriterien_orga.html","Vorbereitung öffnen")</x:f>
      </x:c>
    </x:row>
    <x:row r="151" ht="65" customHeight="1">
      <x:c r="A151" s="142" t="n">
        <x:v>6</x:v>
      </x:c>
      <x:c r="B151" s="115" t="str">
        <x:v>Lesen/Umgang mit Texten</x:v>
      </x:c>
      <x:c r="C151" s="148" t="n">
        <x:v>51</x:v>
      </x:c>
      <x:c r="D151" s="115" t="str">
        <x:v>Vorgänge verständlich erklären: Inhalte auswählen und ordnen</x:v>
      </x:c>
      <x:c r="E151" s="115" t="str">
        <x:v>Material, Arbeitsschritte und Kontrolle mit Leitfragen sammeln und in einer vorgegebenen Reihenfolge ordnen. Basisniveau mit klaren Teilschritten, Wortlisten, Satzstartern und häufigen Sicherungen.</x:v>
      </x:c>
      <x:c r="F151" s="115" t="str">
        <x:v>Material, Arbeitsschritte und Kontrolle selbstständig auswählen, gewichten und in einer passenden Gliederung strukturieren. Erweiterungsniveau mit selbstständigerer Erschließung, zusätzlichen Belegen und begründeten Urteilen.</x:v>
      </x:c>
      <x:c r="G151" s="115" t="str">
        <x:v>de_k6_st51_vorgang_inhalte_ordnen</x:v>
      </x:c>
      <x:c r="H151" s="176" t="e">
        <x:f>HYPERLINK("schueler/de_k6_st51_vorgang_inhalte_ordnen_app.html","Lernmodul öffnen")</x:f>
      </x:c>
      <x:c r="I151" s="177" t="e">
        <x:f>HYPERLINK("lehrer/de_k6_st51_vorgang_inhalte_ordnen_orga.html","Vorbereitung öffnen")</x:f>
      </x:c>
    </x:row>
    <x:row r="152" ht="65" customHeight="1">
      <x:c r="A152" s="142" t="n">
        <x:v>6</x:v>
      </x:c>
      <x:c r="B152" s="115" t="str">
        <x:v>Sprache untersuchen</x:v>
      </x:c>
      <x:c r="C152" s="148" t="n">
        <x:v>52</x:v>
      </x:c>
      <x:c r="D152" s="115" t="str">
        <x:v>Vorgänge verständlich erklären: passende sprachliche Mittel verwenden</x:v>
      </x:c>
      <x:c r="E152" s="115" t="str">
        <x:v>Präsens, Passivumschreibungen, Zeitadverbien in Übungen erkennen und nach Satzmustern anwenden. Basisniveau mit klaren Teilschritten, Wortlisten, Satzstartern und häufigen Sicherungen.</x:v>
      </x:c>
      <x:c r="F152" s="115" t="str">
        <x:v>Präsens, Passivumschreibungen, Zeitadverbien hinsichtlich Wirkung und Angemessenheit prüfen und gezielt variieren. Erweiterungsniveau mit selbstständigerer Erschließung, zusätzlichen Belegen und begründeten Urteilen.</x:v>
      </x:c>
      <x:c r="G152" s="115" t="str">
        <x:v>de_k6_st52_vorgang_sprachmittel</x:v>
      </x:c>
      <x:c r="H152" s="176" t="e">
        <x:f>HYPERLINK("schueler/de_k6_st52_vorgang_sprachmittel_app.html","Lernmodul öffnen")</x:f>
      </x:c>
      <x:c r="I152" s="177" t="e">
        <x:f>HYPERLINK("lehrer/de_k6_st52_vorgang_sprachmittel_orga.html","Vorbereitung öffnen")</x:f>
      </x:c>
    </x:row>
    <x:row r="153" ht="65" customHeight="1">
      <x:c r="A153" s="142" t="n">
        <x:v>6</x:v>
      </x:c>
      <x:c r="B153" s="115" t="str">
        <x:v>Schreiben</x:v>
      </x:c>
      <x:c r="C153" s="148" t="n">
        <x:v>53</x:v>
      </x:c>
      <x:c r="D153" s="115" t="str">
        <x:v>Vorgänge verständlich erklären: einen Schreibplan erstellen</x:v>
      </x:c>
      <x:c r="E153" s="115" t="str">
        <x:v>Einen vorstrukturierten Schreibplan ausfüllen; Einleitung, Hauptteil und Schluss festlegen. Basisniveau mit klaren Teilschritten, Wortlisten, Satzstartern und häufigen Sicherungen.</x:v>
      </x:c>
      <x:c r="F153" s="115" t="str">
        <x:v>Einen eigenen Schreibplan mit Teilzielen, Belegen und sprachlichen Mitteln entwickeln. Erweiterungsniveau mit selbstständigerer Erschließung, zusätzlichen Belegen und begründeten Urteilen.</x:v>
      </x:c>
      <x:c r="G153" s="115" t="str">
        <x:v>de_k6_st53_vorgang_schreibplan</x:v>
      </x:c>
      <x:c r="H153" s="176" t="e">
        <x:f>HYPERLINK("schueler/de_k6_st53_vorgang_schreibplan_app.html","Lernmodul öffnen")</x:f>
      </x:c>
      <x:c r="I153" s="177" t="e">
        <x:f>HYPERLINK("lehrer/de_k6_st53_vorgang_schreibplan_orga.html","Vorbereitung öffnen")</x:f>
      </x:c>
    </x:row>
    <x:row r="154" ht="65" customHeight="1">
      <x:c r="A154" s="142" t="n">
        <x:v>6</x:v>
      </x:c>
      <x:c r="B154" s="115" t="str">
        <x:v>Schreiben</x:v>
      </x:c>
      <x:c r="C154" s="148" t="n">
        <x:v>54</x:v>
      </x:c>
      <x:c r="D154" s="115" t="str">
        <x:v>Vorgänge verständlich erklären: einen ersten Textentwurf verfassen</x:v>
      </x:c>
      <x:c r="E154" s="115" t="str">
        <x:v>Anleitung mit schaubild mithilfe von Schreibrahmen, Satzanfängen und Wortbank verfassen. Basisniveau mit klaren Teilschritten, Wortlisten, Satzstartern und häufigen Sicherungen.</x:v>
      </x:c>
      <x:c r="F154" s="115" t="str">
        <x:v>Anleitung mit schaubild selbstständig, adressatenbezogen und sprachlich differenziert verfassen. Erweiterungsniveau mit selbstständigerer Erschließung, zusätzlichen Belegen und begründeten Urteilen.</x:v>
      </x:c>
      <x:c r="G154" s="115" t="str">
        <x:v>de_k6_st54_vorgang_entwurf</x:v>
      </x:c>
      <x:c r="H154" s="176" t="e">
        <x:f>HYPERLINK("schueler/de_k6_st54_vorgang_entwurf_app.html","Lernmodul öffnen")</x:f>
      </x:c>
      <x:c r="I154" s="177" t="e">
        <x:f>HYPERLINK("lehrer/de_k6_st54_vorgang_entwurf_orga.html","Vorbereitung öffnen")</x:f>
      </x:c>
    </x:row>
    <x:row r="155" ht="65" customHeight="1">
      <x:c r="A155" s="142" t="n">
        <x:v>6</x:v>
      </x:c>
      <x:c r="B155" s="115" t="str">
        <x:v>Schreiben</x:v>
      </x:c>
      <x:c r="C155" s="148" t="n">
        <x:v>55</x:v>
      </x:c>
      <x:c r="D155" s="115" t="str">
        <x:v>Vorgänge verständlich erklären: Text kriteriengeleitet überarbeiten</x:v>
      </x:c>
      <x:c r="E155" s="115" t="str">
        <x:v>Text mit einer kurzen Prüfliste überarbeiten; einen inhaltlichen und einen sprachlichen Fehler verbessern. Basisniveau mit klaren Teilschritten, Wortlisten, Satzstartern und häufigen Sicherungen.</x:v>
      </x:c>
      <x:c r="F155" s="115" t="str">
        <x:v>Text in mehreren Überarbeitungsschritten prüfen; Aufbau, Kohärenz, Stil und Normrichtigkeit gezielt optimieren. Erweiterungsniveau mit selbstständigerer Erschließung, zusätzlichen Belegen und begründeten Urteilen.</x:v>
      </x:c>
      <x:c r="G155" s="115" t="str">
        <x:v>de_k6_st55_vorgang_ueberarbeiten</x:v>
      </x:c>
      <x:c r="H155" s="176" t="e">
        <x:f>HYPERLINK("schueler/de_k6_st55_vorgang_ueberarbeiten_app.html","Lernmodul öffnen")</x:f>
      </x:c>
      <x:c r="I155" s="177" t="e">
        <x:f>HYPERLINK("lehrer/de_k6_st55_vorgang_ueberarbeiten_orga.html","Vorbereitung öffnen")</x:f>
      </x:c>
    </x:row>
    <x:row r="156" ht="65" customHeight="1">
      <x:c r="A156" s="142" t="n">
        <x:v>6</x:v>
      </x:c>
      <x:c r="B156" s="115" t="str">
        <x:v>Sprechen und Zuhören</x:v>
      </x:c>
      <x:c r="C156" s="148" t="n">
        <x:v>56</x:v>
      </x:c>
      <x:c r="D156" s="115" t="str">
        <x:v>Vorgänge verständlich erklären: Texte vorstellen und bewerten</x:v>
      </x:c>
      <x:c r="E156" s="115" t="str">
        <x:v>Ausgewählte Passage vorlesen oder erläutern; Rückmeldung mit einfachen Satzmustern geben. Basisniveau mit klaren Teilschritten, Wortlisten, Satzstartern und häufigen Sicherungen.</x:v>
      </x:c>
      <x:c r="F156" s="115" t="str">
        <x:v>Textwirkung und Schreibentscheidungen erläutern; differenziertes Peer-Feedback geben und begründet annehmen. Erweiterungsniveau mit selbstständigerer Erschließung, zusätzlichen Belegen und begründeten Urteilen.</x:v>
      </x:c>
      <x:c r="G156" s="115" t="str">
        <x:v>de_k6_st56_vorgang_vorstellen</x:v>
      </x:c>
      <x:c r="H156" s="176" t="e">
        <x:f>HYPERLINK("schueler/de_k6_st56_vorgang_vorstellen_app.html","Lernmodul öffnen")</x:f>
      </x:c>
      <x:c r="I156" s="177" t="e">
        <x:f>HYPERLINK("lehrer/de_k6_st56_vorgang_vorstellen_orga.html","Vorbereitung öffnen")</x:f>
      </x:c>
    </x:row>
    <x:row r="157" ht="65" customHeight="1">
      <x:c r="A157" s="142" t="n">
        <x:v>6</x:v>
      </x:c>
      <x:c r="B157" s="115" t="str">
        <x:v>Sprechen und Zuhören</x:v>
      </x:c>
      <x:c r="C157" s="148" t="n">
        <x:v>57</x:v>
      </x:c>
      <x:c r="D157" s="115" t="str">
        <x:v>Gedichte, Moritaten und Balladenvorstufen: Hör- oder Leseeinstieg gestalten</x:v>
      </x:c>
      <x:c r="E157" s="115" t="str">
        <x:v>Einstieg über Bild, Hörtext oder kurzen Auszug; Vorwissen zu erzählende und klangbetonte Gedichte sammeln und zentrale Wörter klären. Basisniveau mit klaren Teilschritten, Wortlisten, Satzstartern und häufigen Sicherungen.</x:v>
      </x:c>
      <x:c r="F157" s="115" t="str">
        <x:v>Aus Titel, Kontext und Gestaltung Erwartungen an erzählende und klangbetonte Gedichte ableiten; erste Hypothesen formulieren und begründen. Erweiterungsniveau mit selbstständigerer Erschließung, zusätzlichen Belegen und begründeten Urteilen.</x:v>
      </x:c>
      <x:c r="G157" s="115" t="str">
        <x:v>de_k6_st57_gedichte_einstieg</x:v>
      </x:c>
      <x:c r="H157" s="176" t="e">
        <x:f>HYPERLINK("schueler/de_k6_st57_gedichte_einstieg_app.html","Lernmodul öffnen")</x:f>
      </x:c>
      <x:c r="I157" s="177" t="e">
        <x:f>HYPERLINK("lehrer/de_k6_st57_gedichte_einstieg_orga.html","Vorbereitung öffnen")</x:f>
      </x:c>
    </x:row>
    <x:row r="158" ht="65" customHeight="1">
      <x:c r="A158" s="142" t="n">
        <x:v>6</x:v>
      </x:c>
      <x:c r="B158" s="115" t="str">
        <x:v>Lesen/Umgang mit Texten</x:v>
      </x:c>
      <x:c r="C158" s="148" t="n">
        <x:v>58</x:v>
      </x:c>
      <x:c r="D158" s="115" t="str">
        <x:v>Gedichte, Moritaten und Balladenvorstufen: den Text mit Lesestrategien erschließen</x:v>
      </x:c>
      <x:c r="E158" s="115" t="str">
        <x:v>Text abschnittsweise lesen; Schlüsselwörter markieren und den Inhalt mit Leitfragen sichern. Basisniveau mit klaren Teilschritten, Wortlisten, Satzstartern und häufigen Sicherungen.</x:v>
      </x:c>
      <x:c r="F158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158" s="115" t="str">
        <x:v>de_k6_st58_gedichte_erschliessen</x:v>
      </x:c>
      <x:c r="H158" s="176" t="e">
        <x:f>HYPERLINK("schueler/de_k6_st58_gedichte_erschliessen_app.html","Lernmodul öffnen")</x:f>
      </x:c>
      <x:c r="I158" s="177" t="e">
        <x:f>HYPERLINK("lehrer/de_k6_st58_gedichte_erschliessen_orga.html","Vorbereitung öffnen")</x:f>
      </x:c>
    </x:row>
    <x:row r="159" ht="65" customHeight="1">
      <x:c r="A159" s="142" t="n">
        <x:v>6</x:v>
      </x:c>
      <x:c r="B159" s="115" t="str">
        <x:v>Lesen/Umgang mit Texten</x:v>
      </x:c>
      <x:c r="C159" s="148" t="n">
        <x:v>59</x:v>
      </x:c>
      <x:c r="D159" s="115" t="str">
        <x:v>Gedichte, Moritaten und Balladenvorstufen: Gattungsmerkmale erkennen</x:v>
      </x:c>
      <x:c r="E159" s="115" t="str">
        <x:v>Merkmale wie Vers, Strophe, Reim, Rhythmus, Handlung mithilfe einer Checkliste zuordnen und an Textstellen zeigen. Basisniveau mit klaren Teilschritten, Wortlisten, Satzstartern und häufigen Sicherungen.</x:v>
      </x:c>
      <x:c r="F159" s="115" t="str">
        <x:v>Merkmale wie Vers, Strophe, Reim, Rhythmus, Handlung textnah belegen und ihre Funktion für Aufbau und Wirkung erklären. Erweiterungsniveau mit selbstständigerer Erschließung, zusätzlichen Belegen und begründeten Urteilen.</x:v>
      </x:c>
      <x:c r="G159" s="115" t="str">
        <x:v>de_k6_st59_gedichte_merkmale</x:v>
      </x:c>
      <x:c r="H159" s="176" t="e">
        <x:f>HYPERLINK("schueler/de_k6_st59_gedichte_merkmale_app.html","Lernmodul öffnen")</x:f>
      </x:c>
      <x:c r="I159" s="177" t="e">
        <x:f>HYPERLINK("lehrer/de_k6_st59_gedichte_merkmale_orga.html","Vorbereitung öffnen")</x:f>
      </x:c>
    </x:row>
    <x:row r="160" ht="65" customHeight="1">
      <x:c r="A160" s="142" t="n">
        <x:v>6</x:v>
      </x:c>
      <x:c r="B160" s="115" t="str">
        <x:v>Lesen/Umgang mit Texten</x:v>
      </x:c>
      <x:c r="C160" s="148" t="n">
        <x:v>60</x:v>
      </x:c>
      <x:c r="D160" s="115" t="str">
        <x:v>Gedichte, Moritaten und Balladenvorstufen: Figuren, Handlung und Konflikt untersuchen</x:v>
      </x:c>
      <x:c r="E160" s="115" t="str">
        <x:v>Stimmung, Sprecher und Spannungsentwicklung mit Figurenkarten oder Handlungsstreifen ordnen; einfache Belege auswählen. Basisniveau mit klaren Teilschritten, Wortlisten, Satzstartern und häufigen Sicherungen.</x:v>
      </x:c>
      <x:c r="F160" s="115" t="str">
        <x:v>Stimmung, Sprecher und Spannungsentwicklung in ihrem Zusammenhang untersuchen; Schlussfolgerungen mit passenden Textbelegen absichern. Erweiterungsniveau mit selbstständigerer Erschließung, zusätzlichen Belegen und begründeten Urteilen.</x:v>
      </x:c>
      <x:c r="G160" s="115" t="str">
        <x:v>de_k6_st60_gedichte_figuren_handlung</x:v>
      </x:c>
      <x:c r="H160" s="176" t="e">
        <x:f>HYPERLINK("schueler/de_k6_st60_gedichte_figuren_handlung_app.html","Lernmodul öffnen")</x:f>
      </x:c>
      <x:c r="I160" s="177" t="e">
        <x:f>HYPERLINK("lehrer/de_k6_st60_gedichte_figuren_handlung_orga.html","Vorbereitung öffnen")</x:f>
      </x:c>
    </x:row>
    <x:row r="161" ht="65" customHeight="1">
      <x:c r="A161" s="142" t="n">
        <x:v>6</x:v>
      </x:c>
      <x:c r="B161" s="115" t="str">
        <x:v>Sprache untersuchen</x:v>
      </x:c>
      <x:c r="C161" s="148" t="n">
        <x:v>61</x:v>
      </x:c>
      <x:c r="D161" s="115" t="str">
        <x:v>Gedichte, Moritaten und Balladenvorstufen: Sprache und Wirkung untersuchen</x:v>
      </x:c>
      <x:c r="E161" s="115" t="str">
        <x:v>Beispiele für Klangfiguren, Wiederholung, bildhafte Sprache markieren und ihre Wirkung mit vorgegebenen Begriffen beschreiben. Basisniveau mit klaren Teilschritten, Wortlisten, Satzstartern und häufigen Sicherungen.</x:v>
      </x:c>
      <x:c r="F161" s="115" t="str">
        <x:v>Klangfiguren, Wiederholung, bildhafte Sprache fachsprachlich analysieren und auf Figurenzeichnung, Stimmung oder Aussage beziehen. Erweiterungsniveau mit selbstständigerer Erschließung, zusätzlichen Belegen und begründeten Urteilen.</x:v>
      </x:c>
      <x:c r="G161" s="115" t="str">
        <x:v>de_k6_st61_gedichte_sprache_wirkung</x:v>
      </x:c>
      <x:c r="H161" s="176" t="e">
        <x:f>HYPERLINK("schueler/de_k6_st61_gedichte_sprache_wirkung_app.html","Lernmodul öffnen")</x:f>
      </x:c>
      <x:c r="I161" s="177" t="e">
        <x:f>HYPERLINK("lehrer/de_k6_st61_gedichte_sprache_wirkung_orga.html","Vorbereitung öffnen")</x:f>
      </x:c>
    </x:row>
    <x:row r="162" ht="65" customHeight="1">
      <x:c r="A162" s="142" t="n">
        <x:v>6</x:v>
      </x:c>
      <x:c r="B162" s="115" t="str">
        <x:v>Schreiben</x:v>
      </x:c>
      <x:c r="C162" s="148" t="n">
        <x:v>62</x:v>
      </x:c>
      <x:c r="D162" s="115" t="str">
        <x:v>Gedichte, Moritaten und Balladenvorstufen: eine Deutung oder Perspektive vorbereiten</x:v>
      </x:c>
      <x:c r="E162" s="115" t="str">
        <x:v>Eine zentrale Aussage mit Satzstartern formulieren; Beleg und Erklärung in einem Schreibrahmen verbinden. Basisniveau mit klaren Teilschritten, Wortlisten, Satzstartern und häufigen Sicherungen.</x:v>
      </x:c>
      <x:c r="F162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162" s="115" t="str">
        <x:v>de_k6_st62_gedichte_deutung_planen</x:v>
      </x:c>
      <x:c r="H162" s="176" t="e">
        <x:f>HYPERLINK("schueler/de_k6_st62_gedichte_deutung_planen_app.html","Lernmodul öffnen")</x:f>
      </x:c>
      <x:c r="I162" s="177" t="e">
        <x:f>HYPERLINK("lehrer/de_k6_st62_gedichte_deutung_planen_orga.html","Vorbereitung öffnen")</x:f>
      </x:c>
    </x:row>
    <x:row r="163" ht="65" customHeight="1">
      <x:c r="A163" s="142" t="n">
        <x:v>6</x:v>
      </x:c>
      <x:c r="B163" s="115" t="str">
        <x:v>Schreiben</x:v>
      </x:c>
      <x:c r="C163" s="148" t="n">
        <x:v>63</x:v>
      </x:c>
      <x:c r="D163" s="115" t="str">
        <x:v>Gedichte, Moritaten und Balladenvorstufen: Vortrag oder Hörfassung gestalten</x:v>
      </x:c>
      <x:c r="E163" s="115" t="str">
        <x:v>Vortrag oder hörfassung nach klaren Vorgaben erstellen; Hilfekarten und Wortbank nutzen. Basisniveau mit klaren Teilschritten, Wortlisten, Satzstartern und häufigen Sicherungen.</x:v>
      </x:c>
      <x:c r="F163" s="115" t="str">
        <x:v>Vortrag oder hörfassung eigenständig, textnah und sprachlich variabel gestalten; Wirkung bewusst planen. Erweiterungsniveau mit selbstständigerer Erschließung, zusätzlichen Belegen und begründeten Urteilen.</x:v>
      </x:c>
      <x:c r="G163" s="115" t="str">
        <x:v>de_k6_st63_gedichte_produkt</x:v>
      </x:c>
      <x:c r="H163" s="176" t="e">
        <x:f>HYPERLINK("schueler/de_k6_st63_gedichte_produkt_app.html","Lernmodul öffnen")</x:f>
      </x:c>
      <x:c r="I163" s="177" t="e">
        <x:f>HYPERLINK("lehrer/de_k6_st63_gedichte_produkt_orga.html","Vorbereitung öffnen")</x:f>
      </x:c>
    </x:row>
    <x:row r="164" ht="65" customHeight="1">
      <x:c r="A164" s="142" t="n">
        <x:v>6</x:v>
      </x:c>
      <x:c r="B164" s="115" t="str">
        <x:v>Sprechen und Zuhören</x:v>
      </x:c>
      <x:c r="C164" s="148" t="n">
        <x:v>64</x:v>
      </x:c>
      <x:c r="D164" s="115" t="str">
        <x:v>Gedichte, Moritaten und Balladenvorstufen: Ergebnisse präsentieren und reflektieren</x:v>
      </x:c>
      <x:c r="E164" s="115" t="str">
        <x:v>Ergebnis kurz vorstellen; zwei vereinbarte Kriterien für Rückmeldung anwenden. Basisniveau mit klaren Teilschritten, Wortlisten, Satzstartern und häufigen Sicherungen.</x:v>
      </x:c>
      <x:c r="F164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164" s="115" t="str">
        <x:v>de_k6_st64_gedichte_praesentieren</x:v>
      </x:c>
      <x:c r="H164" s="176" t="e">
        <x:f>HYPERLINK("schueler/de_k6_st64_gedichte_praesentieren_app.html","Lernmodul öffnen")</x:f>
      </x:c>
      <x:c r="I164" s="177" t="e">
        <x:f>HYPERLINK("lehrer/de_k6_st64_gedichte_praesentieren_orga.html","Vorbereitung öffnen")</x:f>
      </x:c>
    </x:row>
    <x:row r="165" ht="65" customHeight="1">
      <x:c r="A165" s="142" t="n">
        <x:v>6</x:v>
      </x:c>
      <x:c r="B165" s="115" t="str">
        <x:v>Sprache untersuchen</x:v>
      </x:c>
      <x:c r="C165" s="148" t="n">
        <x:v>65</x:v>
      </x:c>
      <x:c r="D165" s="115" t="str">
        <x:v>Wortbildung und schwierige Schreibungen: Lernstand feststellen</x:v>
      </x:c>
      <x:c r="E165" s="115" t="str">
        <x:v>Kurze Diagnose zu Wortfamilien, Präfixe, Suffixe und Fremdwörter bearbeiten; eigene Unsicherheiten markieren. Basisniveau mit klaren Teilschritten, Wortlisten, Satzstartern und häufigen Sicherungen.</x:v>
      </x:c>
      <x:c r="F165" s="115" t="str">
        <x:v>Diagnose zu Wortfamilien, Präfixe, Suffixe und Fremdwörter auswerten; Fehlermuster benennen und persönliche Lernziele ableiten. Erweiterungsniveau mit selbstständigerer Erschließung, zusätzlichen Belegen und begründeten Urteilen.</x:v>
      </x:c>
      <x:c r="G165" s="115" t="str">
        <x:v>de_k6_st65_wortbildung_diagnose</x:v>
      </x:c>
      <x:c r="H165" s="176" t="e">
        <x:f>HYPERLINK("schueler/de_k6_st65_wortbildung_diagnose_app.html","Lernmodul öffnen")</x:f>
      </x:c>
      <x:c r="I165" s="177" t="e">
        <x:f>HYPERLINK("lehrer/de_k6_st65_wortbildung_diagnose_orga.html","Vorbereitung öffnen")</x:f>
      </x:c>
    </x:row>
    <x:row r="166" ht="65" customHeight="1">
      <x:c r="A166" s="142" t="n">
        <x:v>6</x:v>
      </x:c>
      <x:c r="B166" s="115" t="str">
        <x:v>Sprache untersuchen</x:v>
      </x:c>
      <x:c r="C166" s="148" t="n">
        <x:v>66</x:v>
      </x:c>
      <x:c r="D166" s="115" t="str">
        <x:v>Wortbildung und schwierige Schreibungen: Grundbegriffe sichern</x:v>
      </x:c>
      <x:c r="E166" s="115" t="str">
        <x:v>Wortstamm, Ableitung, Groß- und Kleinschreibung an einfachen Beispielen erkennen und mit Merkkarten sichern. Basisniveau mit klaren Teilschritten, Wortlisten, Satzstartern und häufigen Sicherungen.</x:v>
      </x:c>
      <x:c r="F166" s="115" t="str">
        <x:v>Wortstamm, Ableitung, Groß- und Kleinschreibung fachsprachlich erklären, voneinander abgrenzen und in komplexeren Beispielen bestimmen. Erweiterungsniveau mit selbstständigerer Erschließung, zusätzlichen Belegen und begründeten Urteilen.</x:v>
      </x:c>
      <x:c r="G166" s="115" t="str">
        <x:v>de_k6_st66_wortbildung_grundbegriffe</x:v>
      </x:c>
      <x:c r="H166" s="176" t="e">
        <x:f>HYPERLINK("schueler/de_k6_st66_wortbildung_grundbegriffe_app.html","Lernmodul öffnen")</x:f>
      </x:c>
      <x:c r="I166" s="177" t="e">
        <x:f>HYPERLINK("lehrer/de_k6_st66_wortbildung_grundbegriffe_orga.html","Vorbereitung öffnen")</x:f>
      </x:c>
    </x:row>
    <x:row r="167" ht="65" customHeight="1">
      <x:c r="A167" s="142" t="n">
        <x:v>6</x:v>
      </x:c>
      <x:c r="B167" s="115" t="str">
        <x:v>Sprache untersuchen</x:v>
      </x:c>
      <x:c r="C167" s="148" t="n">
        <x:v>67</x:v>
      </x:c>
      <x:c r="D167" s="115" t="str">
        <x:v>Wortbildung und schwierige Schreibungen: Verfahren anwenden</x:v>
      </x:c>
      <x:c r="E167" s="115" t="str">
        <x:v>Morpheme und Wörterbucharbeit Schritt für Schritt anwenden; Entscheidungen mündlich begründen. Basisniveau mit klaren Teilschritten, Wortlisten, Satzstartern und häufigen Sicherungen.</x:v>
      </x:c>
      <x:c r="F167" s="115" t="str">
        <x:v>Morpheme und Wörterbucharbeit selbstständig auswählen, kombinieren und auf Zweifelsfälle übertragen. Erweiterungsniveau mit selbstständigerer Erschließung, zusätzlichen Belegen und begründeten Urteilen.</x:v>
      </x:c>
      <x:c r="G167" s="115" t="str">
        <x:v>de_k6_st67_wortbildung_verfahren</x:v>
      </x:c>
      <x:c r="H167" s="176" t="e">
        <x:f>HYPERLINK("schueler/de_k6_st67_wortbildung_verfahren_app.html","Lernmodul öffnen")</x:f>
      </x:c>
      <x:c r="I167" s="177" t="e">
        <x:f>HYPERLINK("lehrer/de_k6_st67_wortbildung_verfahren_orga.html","Vorbereitung öffnen")</x:f>
      </x:c>
    </x:row>
    <x:row r="168" ht="65" customHeight="1">
      <x:c r="A168" s="142" t="n">
        <x:v>6</x:v>
      </x:c>
      <x:c r="B168" s="115" t="str">
        <x:v>Sprache untersuchen</x:v>
      </x:c>
      <x:c r="C168" s="148" t="n">
        <x:v>68</x:v>
      </x:c>
      <x:c r="D168" s="115" t="str">
        <x:v>Wortbildung und schwierige Schreibungen: Formen und Funktionen untersuchen</x:v>
      </x:c>
      <x:c r="E168" s="115" t="str">
        <x:v>Formen bilden und ihre Aufgabe im Satz mit Leitfragen beschreiben. Basisniveau mit klaren Teilschritten, Wortlisten, Satzstartern und häufigen Sicherungen.</x:v>
      </x:c>
      <x:c r="F168" s="115" t="str">
        <x:v>Form, Funktion und Wirkung im Satz oder Text untersuchen; alternative Formulierungen vergleichen. Erweiterungsniveau mit selbstständigerer Erschließung, zusätzlichen Belegen und begründeten Urteilen.</x:v>
      </x:c>
      <x:c r="G168" s="115" t="str">
        <x:v>de_k6_st68_wortbildung_funktion</x:v>
      </x:c>
      <x:c r="H168" s="176" t="e">
        <x:f>HYPERLINK("schueler/de_k6_st68_wortbildung_funktion_app.html","Lernmodul öffnen")</x:f>
      </x:c>
      <x:c r="I168" s="177" t="e">
        <x:f>HYPERLINK("lehrer/de_k6_st68_wortbildung_funktion_orga.html","Vorbereitung öffnen")</x:f>
      </x:c>
    </x:row>
    <x:row r="169" ht="65" customHeight="1">
      <x:c r="A169" s="142" t="n">
        <x:v>6</x:v>
      </x:c>
      <x:c r="B169" s="115" t="str">
        <x:v>Schreiben</x:v>
      </x:c>
      <x:c r="C169" s="148" t="n">
        <x:v>69</x:v>
      </x:c>
      <x:c r="D169" s="115" t="str">
        <x:v>Wortbildung und schwierige Schreibungen: Wissen im eigenen Text nutzen</x:v>
      </x:c>
      <x:c r="E169" s="115" t="str">
        <x:v>Sachtexte und eigene fehlerschwerpunkte nach Vorgabe verfassen und die geübten Strukturen farbig markieren. Basisniveau mit klaren Teilschritten, Wortlisten, Satzstartern und häufigen Sicherungen.</x:v>
      </x:c>
      <x:c r="F169" s="115" t="str">
        <x:v>Sachtexte und eigene fehlerschwerpunkte bewusst gestalten und sprachliche Entscheidungen kommentieren. Erweiterungsniveau mit selbstständigerer Erschließung, zusätzlichen Belegen und begründeten Urteilen.</x:v>
      </x:c>
      <x:c r="G169" s="115" t="str">
        <x:v>de_k6_st69_wortbildung_anwenden</x:v>
      </x:c>
      <x:c r="H169" s="176" t="e">
        <x:f>HYPERLINK("schueler/de_k6_st69_wortbildung_anwenden_app.html","Lernmodul öffnen")</x:f>
      </x:c>
      <x:c r="I169" s="177" t="e">
        <x:f>HYPERLINK("lehrer/de_k6_st69_wortbildung_anwenden_orga.html","Vorbereitung öffnen")</x:f>
      </x:c>
    </x:row>
    <x:row r="170" ht="65" customHeight="1">
      <x:c r="A170" s="142" t="n">
        <x:v>6</x:v>
      </x:c>
      <x:c r="B170" s="115" t="str">
        <x:v>Sprache untersuchen</x:v>
      </x:c>
      <x:c r="C170" s="148" t="n">
        <x:v>70</x:v>
      </x:c>
      <x:c r="D170" s="115" t="str">
        <x:v>Wortbildung und schwierige Schreibungen: Fehler finden und korrigieren</x:v>
      </x:c>
      <x:c r="E170" s="115" t="str">
        <x:v>Typische Fehler in kurzen Sätzen finden; passende Regelkarte auswählen und korrigieren. Basisniveau mit klaren Teilschritten, Wortlisten, Satzstartern und häufigen Sicherungen.</x:v>
      </x:c>
      <x:c r="F170" s="115" t="str">
        <x:v>Fehler systematisch diagnostizieren, Regelbezug herstellen und mehrere Korrekturmöglichkeiten bewerten. Erweiterungsniveau mit selbstständigerer Erschließung, zusätzlichen Belegen und begründeten Urteilen.</x:v>
      </x:c>
      <x:c r="G170" s="115" t="str">
        <x:v>de_k6_st70_wortbildung_fehler</x:v>
      </x:c>
      <x:c r="H170" s="176" t="e">
        <x:f>HYPERLINK("schueler/de_k6_st70_wortbildung_fehler_app.html","Lernmodul öffnen")</x:f>
      </x:c>
      <x:c r="I170" s="177" t="e">
        <x:f>HYPERLINK("lehrer/de_k6_st70_wortbildung_fehler_orga.html","Vorbereitung öffnen")</x:f>
      </x:c>
    </x:row>
    <x:row r="171" ht="65" customHeight="1">
      <x:c r="A171" s="142" t="n">
        <x:v>6</x:v>
      </x:c>
      <x:c r="B171" s="115" t="str">
        <x:v>Sprache untersuchen</x:v>
      </x:c>
      <x:c r="C171" s="148" t="n">
        <x:v>71</x:v>
      </x:c>
      <x:c r="D171" s="115" t="str">
        <x:v>Wortbildung und schwierige Schreibungen: Transfer auf unbekannte Beispiele</x:v>
      </x:c>
      <x:c r="E171" s="115" t="str">
        <x:v>Neue Beispiele mit Hilfekarte bearbeiten und Lösungen vergleichen. Basisniveau mit klaren Teilschritten, Wortlisten, Satzstartern und häufigen Sicherungen.</x:v>
      </x:c>
      <x:c r="F171" s="115" t="str">
        <x:v>Unbekannte und mehrdeutige Beispiele selbstständig analysieren; Grenzfälle begründet diskutieren. Erweiterungsniveau mit selbstständigerer Erschließung, zusätzlichen Belegen und begründeten Urteilen.</x:v>
      </x:c>
      <x:c r="G171" s="115" t="str">
        <x:v>de_k6_st71_wortbildung_transfer</x:v>
      </x:c>
      <x:c r="H171" s="176" t="e">
        <x:f>HYPERLINK("schueler/de_k6_st71_wortbildung_transfer_app.html","Lernmodul öffnen")</x:f>
      </x:c>
      <x:c r="I171" s="177" t="e">
        <x:f>HYPERLINK("lehrer/de_k6_st71_wortbildung_transfer_orga.html","Vorbereitung öffnen")</x:f>
      </x:c>
    </x:row>
    <x:row r="172" ht="65" customHeight="1">
      <x:c r="A172" s="142" t="n">
        <x:v>6</x:v>
      </x:c>
      <x:c r="B172" s="115" t="str">
        <x:v>Schreiben</x:v>
      </x:c>
      <x:c r="C172" s="148" t="n">
        <x:v>72</x:v>
      </x:c>
      <x:c r="D172" s="115" t="str">
        <x:v>Wortbildung und schwierige Schreibungen: Lernprodukt und Kompetenzcheck</x:v>
      </x:c>
      <x:c r="E172" s="115" t="str">
        <x:v>Merkblatt oder Übungstext erstellen; Grundregeln in einem kurzen Kompetenzcheck anwenden. Basisniveau mit klaren Teilschritten, Wortlisten, Satzstartern und häufigen Sicherungen.</x:v>
      </x:c>
      <x:c r="F172" s="115" t="str">
        <x:v>Erklärprodukt mit eigenen Beispielen erstellen; Regeln in einem anspruchsvollen Kompetenzcheck sicher anwenden. Erweiterungsniveau mit selbstständigerer Erschließung, zusätzlichen Belegen und begründeten Urteilen.</x:v>
      </x:c>
      <x:c r="G172" s="115" t="str">
        <x:v>de_k6_st72_wortbildung_kompetenzcheck</x:v>
      </x:c>
      <x:c r="H172" s="176" t="e">
        <x:f>HYPERLINK("schueler/de_k6_st72_wortbildung_kompetenzcheck_app.html","Lernmodul öffnen")</x:f>
      </x:c>
      <x:c r="I172" s="177" t="e">
        <x:f>HYPERLINK("lehrer/de_k6_st72_wortbildung_kompetenzcheck_orga.html","Vorbereitung öffnen")</x:f>
      </x:c>
    </x:row>
    <x:row r="173" ht="65" customHeight="1">
      <x:c r="A173" s="142" t="n">
        <x:v>6</x:v>
      </x:c>
      <x:c r="B173" s="115" t="str">
        <x:v>Sprechen und Zuhören</x:v>
      </x:c>
      <x:c r="C173" s="148" t="n">
        <x:v>73</x:v>
      </x:c>
      <x:c r="D173" s="115" t="str">
        <x:v>Recherchieren und einen Kurzvortrag halten: Vorwissen und Positionen klären</x:v>
      </x:c>
      <x:c r="E173" s="115" t="str">
        <x:v>Eigene Erfahrungen zu Informationssuche und Kurzreferat benennen; zentrale Begriffe mit Beispielen klären. Basisniveau mit klaren Teilschritten, Wortlisten, Satzstartern und häufigen Sicherungen.</x:v>
      </x:c>
      <x:c r="F173" s="115" t="str">
        <x:v>Vorwissen zu Informationssuche und Kurzreferat strukturieren; erste Positionen formulieren und mögliche Konflikte benennen. Erweiterungsniveau mit selbstständigerer Erschließung, zusätzlichen Belegen und begründeten Urteilen.</x:v>
      </x:c>
      <x:c r="G173" s="115" t="str">
        <x:v>de_k6_st73_referat_einstieg</x:v>
      </x:c>
      <x:c r="H173" s="176" t="e">
        <x:f>HYPERLINK("schueler/de_k6_st73_referat_einstieg_app.html","Lernmodul öffnen")</x:f>
      </x:c>
      <x:c r="I173" s="177" t="e">
        <x:f>HYPERLINK("lehrer/de_k6_st73_referat_einstieg_orga.html","Vorbereitung öffnen")</x:f>
      </x:c>
    </x:row>
    <x:row r="174" ht="65" customHeight="1">
      <x:c r="A174" s="142" t="n">
        <x:v>6</x:v>
      </x:c>
      <x:c r="B174" s="115" t="str">
        <x:v>Lesen/Umgang mit Texten</x:v>
      </x:c>
      <x:c r="C174" s="148" t="n">
        <x:v>74</x:v>
      </x:c>
      <x:c r="D174" s="115" t="str">
        <x:v>Recherchieren und einen Kurzvortrag halten: Quellen und Materialien erschließen</x:v>
      </x:c>
      <x:c r="E174" s="115" t="str">
        <x:v>Kurze Materialien lesen oder ansehen; Hauptaussagen mit Leitfragen festhalten. Basisniveau mit klaren Teilschritten, Wortlisten, Satzstartern und häufigen Sicherungen.</x:v>
      </x:c>
      <x:c r="F174" s="115" t="str">
        <x:v>Unterschiedliche Materialien selbstständig erschließen; Aussage, Intention und Kontext bestimmen. Erweiterungsniveau mit selbstständigerer Erschließung, zusätzlichen Belegen und begründeten Urteilen.</x:v>
      </x:c>
      <x:c r="G174" s="115" t="str">
        <x:v>de_k6_st74_referat_quellen</x:v>
      </x:c>
      <x:c r="H174" s="176" t="e">
        <x:f>HYPERLINK("schueler/de_k6_st74_referat_quellen_app.html","Lernmodul öffnen")</x:f>
      </x:c>
      <x:c r="I174" s="177" t="e">
        <x:f>HYPERLINK("lehrer/de_k6_st74_referat_quellen_orga.html","Vorbereitung öffnen")</x:f>
      </x:c>
    </x:row>
    <x:row r="175" ht="65" customHeight="1">
      <x:c r="A175" s="142" t="n">
        <x:v>6</x:v>
      </x:c>
      <x:c r="B175" s="115" t="str">
        <x:v>Lesen/Umgang mit Texten</x:v>
      </x:c>
      <x:c r="C175" s="148" t="n">
        <x:v>75</x:v>
      </x:c>
      <x:c r="D175" s="115" t="str">
        <x:v>Recherchieren und einen Kurzvortrag halten: Qualitätskriterien anwenden</x:v>
      </x:c>
      <x:c r="E175" s="115" t="str">
        <x:v>verlässliche Quelle, Stichwortzettel, Bildauswahl in einer Checkliste anwenden und Auffälligkeiten markieren. Basisniveau mit klaren Teilschritten, Wortlisten, Satzstartern und häufigen Sicherungen.</x:v>
      </x:c>
      <x:c r="F175" s="115" t="str">
        <x:v>verlässliche Quelle, Stichwortzettel, Bildauswahl gewichten, auf Grenzfälle anwenden und begründete Qualitätsurteile formulieren. Erweiterungsniveau mit selbstständigerer Erschließung, zusätzlichen Belegen und begründeten Urteilen.</x:v>
      </x:c>
      <x:c r="G175" s="115" t="str">
        <x:v>de_k6_st75_referat_kriterien</x:v>
      </x:c>
      <x:c r="H175" s="176" t="e">
        <x:f>HYPERLINK("schueler/de_k6_st75_referat_kriterien_app.html","Lernmodul öffnen")</x:f>
      </x:c>
      <x:c r="I175" s="177" t="e">
        <x:f>HYPERLINK("lehrer/de_k6_st75_referat_kriterien_orga.html","Vorbereitung öffnen")</x:f>
      </x:c>
    </x:row>
    <x:row r="176" ht="65" customHeight="1">
      <x:c r="A176" s="142" t="n">
        <x:v>6</x:v>
      </x:c>
      <x:c r="B176" s="115" t="str">
        <x:v>Lesen/Umgang mit Texten</x:v>
      </x:c>
      <x:c r="C176" s="148" t="n">
        <x:v>76</x:v>
      </x:c>
      <x:c r="D176" s="115" t="str">
        <x:v>Recherchieren und einen Kurzvortrag halten: Darstellungen vergleichen</x:v>
      </x:c>
      <x:c r="E176" s="115" t="str">
        <x:v>Suchergebnisse und quellenqualität nach vorgegebenen Merkmalen vergleichen. Basisniveau mit klaren Teilschritten, Wortlisten, Satzstartern und häufigen Sicherungen.</x:v>
      </x:c>
      <x:c r="F176" s="115" t="str">
        <x:v>Suchergebnisse und quellenqualität hinsichtlich Informationsauswahl, Gestaltung, Wirkung und Interessen vergleichen. Erweiterungsniveau mit selbstständigerer Erschließung, zusätzlichen Belegen und begründeten Urteilen.</x:v>
      </x:c>
      <x:c r="G176" s="115" t="str">
        <x:v>de_k6_st76_referat_vergleichen</x:v>
      </x:c>
      <x:c r="H176" s="176" t="e">
        <x:f>HYPERLINK("schueler/de_k6_st76_referat_vergleichen_app.html","Lernmodul öffnen")</x:f>
      </x:c>
      <x:c r="I176" s="177" t="e">
        <x:f>HYPERLINK("lehrer/de_k6_st76_referat_vergleichen_orga.html","Vorbereitung öffnen")</x:f>
      </x:c>
    </x:row>
    <x:row r="177" ht="65" customHeight="1">
      <x:c r="A177" s="142" t="n">
        <x:v>6</x:v>
      </x:c>
      <x:c r="B177" s="115" t="str">
        <x:v>Schreiben</x:v>
      </x:c>
      <x:c r="C177" s="148" t="n">
        <x:v>77</x:v>
      </x:c>
      <x:c r="D177" s="115" t="str">
        <x:v>Recherchieren und einen Kurzvortrag halten: Informationen prüfen und ordnen</x:v>
      </x:c>
      <x:c r="E177" s="115" t="str">
        <x:v>Informationen aus vorgegebenen Quellen auswählen; Fundstellen notieren und geordnet ablegen. Basisniveau mit klaren Teilschritten, Wortlisten, Satzstartern und häufigen Sicherungen.</x:v>
      </x:c>
      <x:c r="F177" s="115" t="str">
        <x:v>Recherchefrage entwickeln; Quellen prüfen, Informationen abgleichen und korrekt dokumentieren. Erweiterungsniveau mit selbstständigerer Erschließung, zusätzlichen Belegen und begründeten Urteilen.</x:v>
      </x:c>
      <x:c r="G177" s="115" t="str">
        <x:v>de_k6_st77_referat_recherche</x:v>
      </x:c>
      <x:c r="H177" s="176" t="e">
        <x:f>HYPERLINK("schueler/de_k6_st77_referat_recherche_app.html","Lernmodul öffnen")</x:f>
      </x:c>
      <x:c r="I177" s="177" t="e">
        <x:f>HYPERLINK("lehrer/de_k6_st77_referat_recherche_orga.html","Vorbereitung öffnen")</x:f>
      </x:c>
    </x:row>
    <x:row r="178" ht="65" customHeight="1">
      <x:c r="A178" s="142" t="n">
        <x:v>6</x:v>
      </x:c>
      <x:c r="B178" s="115" t="str">
        <x:v>Schreiben</x:v>
      </x:c>
      <x:c r="C178" s="148" t="n">
        <x:v>78</x:v>
      </x:c>
      <x:c r="D178" s="115" t="str">
        <x:v>Recherchieren und einen Kurzvortrag halten: Produkt planen</x:v>
      </x:c>
      <x:c r="E178" s="115" t="str">
        <x:v>Für Kurzreferat einen vorgegebenen Arbeitsplan ergänzen; Aufgaben verteilen. Basisniveau mit klaren Teilschritten, Wortlisten, Satzstartern und häufigen Sicherungen.</x:v>
      </x:c>
      <x:c r="F178" s="115" t="str">
        <x:v>Für Kurzreferat Zielgruppe, Aufbau, Medienwahl, Zeitplan und Qualitätskontrolle selbstständig festlegen. Erweiterungsniveau mit selbstständigerer Erschließung, zusätzlichen Belegen und begründeten Urteilen.</x:v>
      </x:c>
      <x:c r="G178" s="115" t="str">
        <x:v>de_k6_st78_referat_planen</x:v>
      </x:c>
      <x:c r="H178" s="176" t="e">
        <x:f>HYPERLINK("schueler/de_k6_st78_referat_planen_app.html","Lernmodul öffnen")</x:f>
      </x:c>
      <x:c r="I178" s="177" t="e">
        <x:f>HYPERLINK("lehrer/de_k6_st78_referat_planen_orga.html","Vorbereitung öffnen")</x:f>
      </x:c>
    </x:row>
    <x:row r="179" ht="65" customHeight="1">
      <x:c r="A179" s="142" t="n">
        <x:v>6</x:v>
      </x:c>
      <x:c r="B179" s="115" t="str">
        <x:v>Schreiben</x:v>
      </x:c>
      <x:c r="C179" s="148" t="n">
        <x:v>79</x:v>
      </x:c>
      <x:c r="D179" s="115" t="str">
        <x:v>Recherchieren und einen Kurzvortrag halten: Produkt erstellen</x:v>
      </x:c>
      <x:c r="E179" s="115" t="str">
        <x:v>Kurzreferat mit Vorlage und klaren Teilaufträgen erstellen. Basisniveau mit klaren Teilschritten, Wortlisten, Satzstartern und häufigen Sicherungen.</x:v>
      </x:c>
      <x:c r="F179" s="115" t="str">
        <x:v>Kurzreferat selbstständig, adressatengerecht und quellenbewusst erstellen. Erweiterungsniveau mit selbstständigerer Erschließung, zusätzlichen Belegen und begründeten Urteilen.</x:v>
      </x:c>
      <x:c r="G179" s="115" t="str">
        <x:v>de_k6_st79_referat_erstellen</x:v>
      </x:c>
      <x:c r="H179" s="176" t="e">
        <x:f>HYPERLINK("schueler/de_k6_st79_referat_erstellen_app.html","Lernmodul öffnen")</x:f>
      </x:c>
      <x:c r="I179" s="177" t="e">
        <x:f>HYPERLINK("lehrer/de_k6_st79_referat_erstellen_orga.html","Vorbereitung öffnen")</x:f>
      </x:c>
    </x:row>
    <x:row r="180" ht="65" customHeight="1">
      <x:c r="A180" s="142" t="n">
        <x:v>6</x:v>
      </x:c>
      <x:c r="B180" s="115" t="str">
        <x:v>Sprechen und Zuhören</x:v>
      </x:c>
      <x:c r="C180" s="148" t="n">
        <x:v>80</x:v>
      </x:c>
      <x:c r="D180" s="115" t="str">
        <x:v>Recherchieren und einen Kurzvortrag halten: präsentieren und reflektieren</x:v>
      </x:c>
      <x:c r="E180" s="115" t="str">
        <x:v>Produkt kurz vorstellen; Rückmeldung anhand weniger Kriterien geben und annehmen. Basisniveau mit klaren Teilschritten, Wortlisten, Satzstartern und häufigen Sicherungen.</x:v>
      </x:c>
      <x:c r="F180" s="115" t="str">
        <x:v>Produkt überzeugend präsentieren; Arbeitsprozess, Quellenwahl und Wirkung kritisch reflektieren. Erweiterungsniveau mit selbstständigerer Erschließung, zusätzlichen Belegen und begründeten Urteilen.</x:v>
      </x:c>
      <x:c r="G180" s="115" t="str">
        <x:v>de_k6_st80_referat_reflexion</x:v>
      </x:c>
      <x:c r="H180" s="176" t="e">
        <x:f>HYPERLINK("schueler/de_k6_st80_referat_reflexion_app.html","Lernmodul öffnen")</x:f>
      </x:c>
      <x:c r="I180" s="177" t="e">
        <x:f>HYPERLINK("lehrer/de_k6_st80_referat_reflexion_orga.html","Vorbereitung öffnen")</x:f>
      </x:c>
    </x:row>
    <x:row r="181" ht="65" customHeight="1">
      <x:c r="A181" s="142" t="n">
        <x:v>6</x:v>
      </x:c>
      <x:c r="B181" s="115" t="str">
        <x:v>Lesen/Umgang mit Texten</x:v>
      </x:c>
      <x:c r="C181" s="148" t="n">
        <x:v>81</x:v>
      </x:c>
      <x:c r="D181" s="115" t="str">
        <x:v>Stellung nehmen und werben: Beispieltexte untersuchen</x:v>
      </x:c>
      <x:c r="E181" s="115" t="str">
        <x:v>Ein Beispiel für begründete Stellungnahme und Werbetext lesen; Aufbau und typische Formulierungen farbig kennzeichnen. Basisniveau mit klaren Teilschritten, Wortlisten, Satzstartern und häufigen Sicherungen.</x:v>
      </x:c>
      <x:c r="F181" s="115" t="str">
        <x:v>Mehrere Beispiele für begründete Stellungnahme und Werbetext vergleichen; Funktion, Adressat und Qualitätsunterschiede herausarbeiten. Erweiterungsniveau mit selbstständigerer Erschließung, zusätzlichen Belegen und begründeten Urteilen.</x:v>
      </x:c>
      <x:c r="G181" s="115" t="str">
        <x:v>de_k6_st81_stellungnahme_beispiel</x:v>
      </x:c>
      <x:c r="H181" s="176" t="e">
        <x:f>HYPERLINK("schueler/de_k6_st81_stellungnahme_beispiel_app.html","Lernmodul öffnen")</x:f>
      </x:c>
      <x:c r="I181" s="177" t="e">
        <x:f>HYPERLINK("lehrer/de_k6_st81_stellungnahme_beispiel_orga.html","Vorbereitung öffnen")</x:f>
      </x:c>
    </x:row>
    <x:row r="182" ht="65" customHeight="1">
      <x:c r="A182" s="142" t="n">
        <x:v>6</x:v>
      </x:c>
      <x:c r="B182" s="115" t="str">
        <x:v>Schreiben</x:v>
      </x:c>
      <x:c r="C182" s="148" t="n">
        <x:v>82</x:v>
      </x:c>
      <x:c r="D182" s="115" t="str">
        <x:v>Stellung nehmen und werben: Schreibziel und Kriterien klären</x:v>
      </x:c>
      <x:c r="E182" s="115" t="str">
        <x:v>Schreibziel „eine Meinung mit nachvollziehbaren Gründen vertreten“ verstehen; eine kurze Kriterienliste auf ein Beispiel anwenden. Basisniveau mit klaren Teilschritten, Wortlisten, Satzstartern und häufigen Sicherungen.</x:v>
      </x:c>
      <x:c r="F182" s="115" t="str">
        <x:v>Schreibziel „eine Meinung mit nachvollziehbaren Gründen vertreten“ präzisieren; Kriterien gewichten und auf unterschiedliche Schreibsituationen übertragen. Erweiterungsniveau mit selbstständigerer Erschließung, zusätzlichen Belegen und begründeten Urteilen.</x:v>
      </x:c>
      <x:c r="G182" s="115" t="str">
        <x:v>de_k6_st82_stellungnahme_kriterien</x:v>
      </x:c>
      <x:c r="H182" s="176" t="e">
        <x:f>HYPERLINK("schueler/de_k6_st82_stellungnahme_kriterien_app.html","Lernmodul öffnen")</x:f>
      </x:c>
      <x:c r="I182" s="177" t="e">
        <x:f>HYPERLINK("lehrer/de_k6_st82_stellungnahme_kriterien_orga.html","Vorbereitung öffnen")</x:f>
      </x:c>
    </x:row>
    <x:row r="183" ht="65" customHeight="1">
      <x:c r="A183" s="142" t="n">
        <x:v>6</x:v>
      </x:c>
      <x:c r="B183" s="115" t="str">
        <x:v>Lesen/Umgang mit Texten</x:v>
      </x:c>
      <x:c r="C183" s="148" t="n">
        <x:v>83</x:v>
      </x:c>
      <x:c r="D183" s="115" t="str">
        <x:v>Stellung nehmen und werben: Inhalte auswählen und ordnen</x:v>
      </x:c>
      <x:c r="E183" s="115" t="str">
        <x:v>Behauptung, Begründung und Beispiel mit Leitfragen sammeln und in einer vorgegebenen Reihenfolge ordnen. Basisniveau mit klaren Teilschritten, Wortlisten, Satzstartern und häufigen Sicherungen.</x:v>
      </x:c>
      <x:c r="F183" s="115" t="str">
        <x:v>Behauptung, Begründung und Beispiel selbstständig auswählen, gewichten und in einer passenden Gliederung strukturieren. Erweiterungsniveau mit selbstständigerer Erschließung, zusätzlichen Belegen und begründeten Urteilen.</x:v>
      </x:c>
      <x:c r="G183" s="115" t="str">
        <x:v>de_k6_st83_stellungnahme_inhalte_ordnen</x:v>
      </x:c>
      <x:c r="H183" s="176" t="e">
        <x:f>HYPERLINK("schueler/de_k6_st83_stellungnahme_inhalte_ordnen_app.html","Lernmodul öffnen")</x:f>
      </x:c>
      <x:c r="I183" s="177" t="e">
        <x:f>HYPERLINK("lehrer/de_k6_st83_stellungnahme_inhalte_ordnen_orga.html","Vorbereitung öffnen")</x:f>
      </x:c>
    </x:row>
    <x:row r="184" ht="65" customHeight="1">
      <x:c r="A184" s="142" t="n">
        <x:v>6</x:v>
      </x:c>
      <x:c r="B184" s="115" t="str">
        <x:v>Sprache untersuchen</x:v>
      </x:c>
      <x:c r="C184" s="148" t="n">
        <x:v>84</x:v>
      </x:c>
      <x:c r="D184" s="115" t="str">
        <x:v>Stellung nehmen und werben: passende sprachliche Mittel verwenden</x:v>
      </x:c>
      <x:c r="E184" s="115" t="str">
        <x:v>wertende Wörter, Appell, Werbesprache in Übungen erkennen und nach Satzmustern anwenden. Basisniveau mit klaren Teilschritten, Wortlisten, Satzstartern und häufigen Sicherungen.</x:v>
      </x:c>
      <x:c r="F184" s="115" t="str">
        <x:v>wertende Wörter, Appell, Werbesprache hinsichtlich Wirkung und Angemessenheit prüfen und gezielt variieren. Erweiterungsniveau mit selbstständigerer Erschließung, zusätzlichen Belegen und begründeten Urteilen.</x:v>
      </x:c>
      <x:c r="G184" s="115" t="str">
        <x:v>de_k6_st84_stellungnahme_sprachmittel</x:v>
      </x:c>
      <x:c r="H184" s="176" t="e">
        <x:f>HYPERLINK("schueler/de_k6_st84_stellungnahme_sprachmittel_app.html","Lernmodul öffnen")</x:f>
      </x:c>
      <x:c r="I184" s="177" t="e">
        <x:f>HYPERLINK("lehrer/de_k6_st84_stellungnahme_sprachmittel_orga.html","Vorbereitung öffnen")</x:f>
      </x:c>
    </x:row>
    <x:row r="185" ht="65" customHeight="1">
      <x:c r="A185" s="142" t="n">
        <x:v>6</x:v>
      </x:c>
      <x:c r="B185" s="115" t="str">
        <x:v>Schreiben</x:v>
      </x:c>
      <x:c r="C185" s="148" t="n">
        <x:v>85</x:v>
      </x:c>
      <x:c r="D185" s="115" t="str">
        <x:v>Stellung nehmen und werben: einen Schreibplan erstellen</x:v>
      </x:c>
      <x:c r="E185" s="115" t="str">
        <x:v>Einen vorstrukturierten Schreibplan ausfüllen; Einleitung, Hauptteil und Schluss festlegen. Basisniveau mit klaren Teilschritten, Wortlisten, Satzstartern und häufigen Sicherungen.</x:v>
      </x:c>
      <x:c r="F185" s="115" t="str">
        <x:v>Einen eigenen Schreibplan mit Teilzielen, Belegen und sprachlichen Mitteln entwickeln. Erweiterungsniveau mit selbstständigerer Erschließung, zusätzlichen Belegen und begründeten Urteilen.</x:v>
      </x:c>
      <x:c r="G185" s="115" t="str">
        <x:v>de_k6_st85_stellungnahme_schreibplan</x:v>
      </x:c>
      <x:c r="H185" s="176" t="e">
        <x:f>HYPERLINK("schueler/de_k6_st85_stellungnahme_schreibplan_app.html","Lernmodul öffnen")</x:f>
      </x:c>
      <x:c r="I185" s="177" t="e">
        <x:f>HYPERLINK("lehrer/de_k6_st85_stellungnahme_schreibplan_orga.html","Vorbereitung öffnen")</x:f>
      </x:c>
    </x:row>
    <x:row r="186" ht="65" customHeight="1">
      <x:c r="A186" s="142" t="n">
        <x:v>6</x:v>
      </x:c>
      <x:c r="B186" s="115" t="str">
        <x:v>Schreiben</x:v>
      </x:c>
      <x:c r="C186" s="148" t="n">
        <x:v>86</x:v>
      </x:c>
      <x:c r="D186" s="115" t="str">
        <x:v>Stellung nehmen und werben: einen ersten Textentwurf verfassen</x:v>
      </x:c>
      <x:c r="E186" s="115" t="str">
        <x:v>Stellungnahme oder werbeanzeige mithilfe von Schreibrahmen, Satzanfängen und Wortbank verfassen. Basisniveau mit klaren Teilschritten, Wortlisten, Satzstartern und häufigen Sicherungen.</x:v>
      </x:c>
      <x:c r="F186" s="115" t="str">
        <x:v>Stellungnahme oder werbeanzeige selbstständig, adressatenbezogen und sprachlich differenziert verfassen. Erweiterungsniveau mit selbstständigerer Erschließung, zusätzlichen Belegen und begründeten Urteilen.</x:v>
      </x:c>
      <x:c r="G186" s="115" t="str">
        <x:v>de_k6_st86_stellungnahme_entwurf</x:v>
      </x:c>
      <x:c r="H186" s="176" t="e">
        <x:f>HYPERLINK("schueler/de_k6_st86_stellungnahme_entwurf_app.html","Lernmodul öffnen")</x:f>
      </x:c>
      <x:c r="I186" s="177" t="e">
        <x:f>HYPERLINK("lehrer/de_k6_st86_stellungnahme_entwurf_orga.html","Vorbereitung öffnen")</x:f>
      </x:c>
    </x:row>
    <x:row r="187" ht="65" customHeight="1">
      <x:c r="A187" s="142" t="n">
        <x:v>6</x:v>
      </x:c>
      <x:c r="B187" s="115" t="str">
        <x:v>Schreiben</x:v>
      </x:c>
      <x:c r="C187" s="148" t="n">
        <x:v>87</x:v>
      </x:c>
      <x:c r="D187" s="115" t="str">
        <x:v>Stellung nehmen und werben: Text kriteriengeleitet überarbeiten</x:v>
      </x:c>
      <x:c r="E187" s="115" t="str">
        <x:v>Text mit einer kurzen Prüfliste überarbeiten; einen inhaltlichen und einen sprachlichen Fehler verbessern. Basisniveau mit klaren Teilschritten, Wortlisten, Satzstartern und häufigen Sicherungen.</x:v>
      </x:c>
      <x:c r="F187" s="115" t="str">
        <x:v>Text in mehreren Überarbeitungsschritten prüfen; Aufbau, Kohärenz, Stil und Normrichtigkeit gezielt optimieren. Erweiterungsniveau mit selbstständigerer Erschließung, zusätzlichen Belegen und begründeten Urteilen.</x:v>
      </x:c>
      <x:c r="G187" s="115" t="str">
        <x:v>de_k6_st87_stellungnahme_ueberarbeiten</x:v>
      </x:c>
      <x:c r="H187" s="176" t="e">
        <x:f>HYPERLINK("schueler/de_k6_st87_stellungnahme_ueberarbeiten_app.html","Lernmodul öffnen")</x:f>
      </x:c>
      <x:c r="I187" s="177" t="e">
        <x:f>HYPERLINK("lehrer/de_k6_st87_stellungnahme_ueberarbeiten_orga.html","Vorbereitung öffnen")</x:f>
      </x:c>
    </x:row>
    <x:row r="188" ht="65" customHeight="1">
      <x:c r="A188" s="142" t="n">
        <x:v>6</x:v>
      </x:c>
      <x:c r="B188" s="115" t="str">
        <x:v>Sprechen und Zuhören</x:v>
      </x:c>
      <x:c r="C188" s="148" t="n">
        <x:v>88</x:v>
      </x:c>
      <x:c r="D188" s="115" t="str">
        <x:v>Stellung nehmen und werben: Texte vorstellen und bewerten</x:v>
      </x:c>
      <x:c r="E188" s="115" t="str">
        <x:v>Ausgewählte Passage vorlesen oder erläutern; Rückmeldung mit einfachen Satzmustern geben. Basisniveau mit klaren Teilschritten, Wortlisten, Satzstartern und häufigen Sicherungen.</x:v>
      </x:c>
      <x:c r="F188" s="115" t="str">
        <x:v>Textwirkung und Schreibentscheidungen erläutern; differenziertes Peer-Feedback geben und begründet annehmen. Erweiterungsniveau mit selbstständigerer Erschließung, zusätzlichen Belegen und begründeten Urteilen.</x:v>
      </x:c>
      <x:c r="G188" s="115" t="str">
        <x:v>de_k6_st88_stellungnahme_vorstellen</x:v>
      </x:c>
      <x:c r="H188" s="176" t="e">
        <x:f>HYPERLINK("schueler/de_k6_st88_stellungnahme_vorstellen_app.html","Lernmodul öffnen")</x:f>
      </x:c>
      <x:c r="I188" s="177" t="e">
        <x:f>HYPERLINK("lehrer/de_k6_st88_stellungnahme_vorstellen_orga.html","Vorbereitung öffnen")</x:f>
      </x:c>
    </x:row>
    <x:row r="189" ht="65" customHeight="1">
      <x:c r="A189" s="142" t="n">
        <x:v>6</x:v>
      </x:c>
      <x:c r="B189" s="115" t="str">
        <x:v>Sprechen und Zuhören</x:v>
      </x:c>
      <x:c r="C189" s="148" t="n">
        <x:v>89</x:v>
      </x:c>
      <x:c r="D189" s="115" t="str">
        <x:v>Theater, Hörspiel und Jahresrückblick: Vorwissen und Positionen klären</x:v>
      </x:c>
      <x:c r="E189" s="115" t="str">
        <x:v>Eigene Erfahrungen zu Sketch, Hörspiel und szenisches Spiel benennen; zentrale Begriffe mit Beispielen klären. Basisniveau mit klaren Teilschritten, Wortlisten, Satzstartern und häufigen Sicherungen.</x:v>
      </x:c>
      <x:c r="F189" s="115" t="str">
        <x:v>Vorwissen zu Sketch, Hörspiel und szenisches Spiel strukturieren; erste Positionen formulieren und mögliche Konflikte benennen. Erweiterungsniveau mit selbstständigerer Erschließung, zusätzlichen Belegen und begründeten Urteilen.</x:v>
      </x:c>
      <x:c r="G189" s="115" t="str">
        <x:v>de_k6_st89_theater_einstieg</x:v>
      </x:c>
      <x:c r="H189" s="176" t="e">
        <x:f>HYPERLINK("schueler/de_k6_st89_theater_einstieg_app.html","Lernmodul öffnen")</x:f>
      </x:c>
      <x:c r="I189" s="177" t="e">
        <x:f>HYPERLINK("lehrer/de_k6_st89_theater_einstieg_orga.html","Vorbereitung öffnen")</x:f>
      </x:c>
    </x:row>
    <x:row r="190" ht="65" customHeight="1">
      <x:c r="A190" s="142" t="n">
        <x:v>6</x:v>
      </x:c>
      <x:c r="B190" s="115" t="str">
        <x:v>Lesen/Umgang mit Texten</x:v>
      </x:c>
      <x:c r="C190" s="148" t="n">
        <x:v>90</x:v>
      </x:c>
      <x:c r="D190" s="115" t="str">
        <x:v>Theater, Hörspiel und Jahresrückblick: Quellen und Materialien erschließen</x:v>
      </x:c>
      <x:c r="E190" s="115" t="str">
        <x:v>Kurze Materialien lesen oder ansehen; Hauptaussagen mit Leitfragen festhalten. Basisniveau mit klaren Teilschritten, Wortlisten, Satzstartern und häufigen Sicherungen.</x:v>
      </x:c>
      <x:c r="F190" s="115" t="str">
        <x:v>Unterschiedliche Materialien selbstständig erschließen; Aussage, Intention und Kontext bestimmen. Erweiterungsniveau mit selbstständigerer Erschließung, zusätzlichen Belegen und begründeten Urteilen.</x:v>
      </x:c>
      <x:c r="G190" s="115" t="str">
        <x:v>de_k6_st90_theater_quellen</x:v>
      </x:c>
      <x:c r="H190" s="176" t="e">
        <x:f>HYPERLINK("schueler/de_k6_st90_theater_quellen_app.html","Lernmodul öffnen")</x:f>
      </x:c>
      <x:c r="I190" s="177" t="e">
        <x:f>HYPERLINK("lehrer/de_k6_st90_theater_quellen_orga.html","Vorbereitung öffnen")</x:f>
      </x:c>
    </x:row>
    <x:row r="191" ht="65" customHeight="1">
      <x:c r="A191" s="142" t="n">
        <x:v>6</x:v>
      </x:c>
      <x:c r="B191" s="115" t="str">
        <x:v>Lesen/Umgang mit Texten</x:v>
      </x:c>
      <x:c r="C191" s="148" t="n">
        <x:v>91</x:v>
      </x:c>
      <x:c r="D191" s="115" t="str">
        <x:v>Theater, Hörspiel und Jahresrückblick: Qualitätskriterien anwenden</x:v>
      </x:c>
      <x:c r="E191" s="115" t="str">
        <x:v>Rollen, Sprechweise, Geräusche und Regiehinweise in einer Checkliste anwenden und Auffälligkeiten markieren. Basisniveau mit klaren Teilschritten, Wortlisten, Satzstartern und häufigen Sicherungen.</x:v>
      </x:c>
      <x:c r="F191" s="115" t="str">
        <x:v>Rollen, Sprechweise, Geräusche und Regiehinweise gewichten, auf Grenzfälle anwenden und begründete Qualitätsurteile formulieren. Erweiterungsniveau mit selbstständigerer Erschließung, zusätzlichen Belegen und begründeten Urteilen.</x:v>
      </x:c>
      <x:c r="G191" s="115" t="str">
        <x:v>de_k6_st91_theater_kriterien</x:v>
      </x:c>
      <x:c r="H191" s="176" t="e">
        <x:f>HYPERLINK("schueler/de_k6_st91_theater_kriterien_app.html","Lernmodul öffnen")</x:f>
      </x:c>
      <x:c r="I191" s="177" t="e">
        <x:f>HYPERLINK("lehrer/de_k6_st91_theater_kriterien_orga.html","Vorbereitung öffnen")</x:f>
      </x:c>
    </x:row>
    <x:row r="192" ht="65" customHeight="1">
      <x:c r="A192" s="142" t="n">
        <x:v>6</x:v>
      </x:c>
      <x:c r="B192" s="115" t="str">
        <x:v>Lesen/Umgang mit Texten</x:v>
      </x:c>
      <x:c r="C192" s="148" t="n">
        <x:v>92</x:v>
      </x:c>
      <x:c r="D192" s="115" t="str">
        <x:v>Theater, Hörspiel und Jahresrückblick: Darstellungen vergleichen</x:v>
      </x:c>
      <x:c r="E192" s="115" t="str">
        <x:v>Textvorlage und inszenierung nach vorgegebenen Merkmalen vergleichen. Basisniveau mit klaren Teilschritten, Wortlisten, Satzstartern und häufigen Sicherungen.</x:v>
      </x:c>
      <x:c r="F192" s="115" t="str">
        <x:v>Textvorlage und inszenierung hinsichtlich Informationsauswahl, Gestaltung, Wirkung und Interessen vergleichen. Erweiterungsniveau mit selbstständigerer Erschließung, zusätzlichen Belegen und begründeten Urteilen.</x:v>
      </x:c>
      <x:c r="G192" s="115" t="str">
        <x:v>de_k6_st92_theater_vergleichen</x:v>
      </x:c>
      <x:c r="H192" s="176" t="e">
        <x:f>HYPERLINK("schueler/de_k6_st92_theater_vergleichen_app.html","Lernmodul öffnen")</x:f>
      </x:c>
      <x:c r="I192" s="177" t="e">
        <x:f>HYPERLINK("lehrer/de_k6_st92_theater_vergleichen_orga.html","Vorbereitung öffnen")</x:f>
      </x:c>
    </x:row>
    <x:row r="193" ht="65" customHeight="1">
      <x:c r="A193" s="142" t="n">
        <x:v>6</x:v>
      </x:c>
      <x:c r="B193" s="115" t="str">
        <x:v>Schreiben</x:v>
      </x:c>
      <x:c r="C193" s="148" t="n">
        <x:v>93</x:v>
      </x:c>
      <x:c r="D193" s="115" t="str">
        <x:v>Theater, Hörspiel und Jahresrückblick: Informationen prüfen und ordnen</x:v>
      </x:c>
      <x:c r="E193" s="115" t="str">
        <x:v>Informationen aus vorgegebenen Quellen auswählen; Fundstellen notieren und geordnet ablegen. Basisniveau mit klaren Teilschritten, Wortlisten, Satzstartern und häufigen Sicherungen.</x:v>
      </x:c>
      <x:c r="F193" s="115" t="str">
        <x:v>Recherchefrage entwickeln; Quellen prüfen, Informationen abgleichen und korrekt dokumentieren. Erweiterungsniveau mit selbstständigerer Erschließung, zusätzlichen Belegen und begründeten Urteilen.</x:v>
      </x:c>
      <x:c r="G193" s="115" t="str">
        <x:v>de_k6_st93_theater_recherche</x:v>
      </x:c>
      <x:c r="H193" s="176" t="e">
        <x:f>HYPERLINK("schueler/de_k6_st93_theater_recherche_app.html","Lernmodul öffnen")</x:f>
      </x:c>
      <x:c r="I193" s="177" t="e">
        <x:f>HYPERLINK("lehrer/de_k6_st93_theater_recherche_orga.html","Vorbereitung öffnen")</x:f>
      </x:c>
    </x:row>
    <x:row r="194" ht="65" customHeight="1">
      <x:c r="A194" s="142" t="n">
        <x:v>6</x:v>
      </x:c>
      <x:c r="B194" s="115" t="str">
        <x:v>Schreiben</x:v>
      </x:c>
      <x:c r="C194" s="148" t="n">
        <x:v>94</x:v>
      </x:c>
      <x:c r="D194" s="115" t="str">
        <x:v>Theater, Hörspiel und Jahresrückblick: Produkt planen</x:v>
      </x:c>
      <x:c r="E194" s="115" t="str">
        <x:v>Für kurze Aufführung einen vorgegebenen Arbeitsplan ergänzen; Aufgaben verteilen. Basisniveau mit klaren Teilschritten, Wortlisten, Satzstartern und häufigen Sicherungen.</x:v>
      </x:c>
      <x:c r="F194" s="115" t="str">
        <x:v>Für kurze Aufführung Zielgruppe, Aufbau, Medienwahl, Zeitplan und Qualitätskontrolle selbstständig festlegen. Erweiterungsniveau mit selbstständigerer Erschließung, zusätzlichen Belegen und begründeten Urteilen.</x:v>
      </x:c>
      <x:c r="G194" s="115" t="str">
        <x:v>de_k6_st94_theater_planen</x:v>
      </x:c>
      <x:c r="H194" s="176" t="e">
        <x:f>HYPERLINK("schueler/de_k6_st94_theater_planen_app.html","Lernmodul öffnen")</x:f>
      </x:c>
      <x:c r="I194" s="177" t="e">
        <x:f>HYPERLINK("lehrer/de_k6_st94_theater_planen_orga.html","Vorbereitung öffnen")</x:f>
      </x:c>
    </x:row>
    <x:row r="195" ht="65" customHeight="1">
      <x:c r="A195" s="142" t="n">
        <x:v>6</x:v>
      </x:c>
      <x:c r="B195" s="115" t="str">
        <x:v>Schreiben</x:v>
      </x:c>
      <x:c r="C195" s="148" t="n">
        <x:v>95</x:v>
      </x:c>
      <x:c r="D195" s="115" t="str">
        <x:v>Theater, Hörspiel und Jahresrückblick: Produkt erstellen</x:v>
      </x:c>
      <x:c r="E195" s="115" t="str">
        <x:v>Kurze aufführung mit Vorlage und klaren Teilaufträgen erstellen. Basisniveau mit klaren Teilschritten, Wortlisten, Satzstartern und häufigen Sicherungen.</x:v>
      </x:c>
      <x:c r="F195" s="115" t="str">
        <x:v>Kurze aufführung selbstständig, adressatengerecht und quellenbewusst erstellen. Erweiterungsniveau mit selbstständigerer Erschließung, zusätzlichen Belegen und begründeten Urteilen.</x:v>
      </x:c>
      <x:c r="G195" s="115" t="str">
        <x:v>de_k6_st95_theater_erstellen</x:v>
      </x:c>
      <x:c r="H195" s="176" t="e">
        <x:f>HYPERLINK("schueler/de_k6_st95_theater_erstellen_app.html","Lernmodul öffnen")</x:f>
      </x:c>
      <x:c r="I195" s="177" t="e">
        <x:f>HYPERLINK("lehrer/de_k6_st95_theater_erstellen_orga.html","Vorbereitung öffnen")</x:f>
      </x:c>
    </x:row>
    <x:row r="196" ht="65" customHeight="1">
      <x:c r="A196" s="142" t="n">
        <x:v>6</x:v>
      </x:c>
      <x:c r="B196" s="115" t="str">
        <x:v>Sprechen und Zuhören</x:v>
      </x:c>
      <x:c r="C196" s="148" t="n">
        <x:v>96</x:v>
      </x:c>
      <x:c r="D196" s="115" t="str">
        <x:v>Theater, Hörspiel und Jahresrückblick: präsentieren und reflektieren</x:v>
      </x:c>
      <x:c r="E196" s="115" t="str">
        <x:v>Produkt kurz vorstellen; Rückmeldung anhand weniger Kriterien geben und annehmen. Basisniveau mit klaren Teilschritten, Wortlisten, Satzstartern und häufigen Sicherungen.</x:v>
      </x:c>
      <x:c r="F196" s="115" t="str">
        <x:v>Produkt überzeugend präsentieren; Arbeitsprozess, Quellenwahl und Wirkung kritisch reflektieren. Erweiterungsniveau mit selbstständigerer Erschließung, zusätzlichen Belegen und begründeten Urteilen.</x:v>
      </x:c>
      <x:c r="G196" s="115" t="str">
        <x:v>de_k6_st96_theater_reflexion</x:v>
      </x:c>
      <x:c r="H196" s="176" t="e">
        <x:f>HYPERLINK("schueler/de_k6_st96_theater_reflexion_app.html","Lernmodul öffnen")</x:f>
      </x:c>
      <x:c r="I196" s="177" t="e">
        <x:f>HYPERLINK("lehrer/de_k6_st96_theater_reflexion_orga.html","Vorbereitung öffnen")</x:f>
      </x:c>
    </x:row>
    <x:row r="197" ht="65" customHeight="1">
      <x:c r="A197" s="142" t="n">
        <x:v>7</x:v>
      </x:c>
      <x:c r="B197" s="115" t="str">
        <x:v>Sprechen und Zuhören</x:v>
      </x:c>
      <x:c r="C197" s="148" t="n">
        <x:v>1</x:v>
      </x:c>
      <x:c r="D197" s="115" t="str">
        <x:v>Kommunikation und Sprachregister: Vorwissen und Positionen klären</x:v>
      </x:c>
      <x:c r="E197" s="115" t="str">
        <x:v>Eigene Erfahrungen zu Gespräche in Alltag, Schule und Öffentlichkeit benennen; zentrale Begriffe mit Beispielen klären. Kurs-I-Niveau: reduzierte Textmenge, Leitfragen, vorstrukturierte Verfahren und alltagsnahe Transferaufgaben.</x:v>
      </x:c>
      <x:c r="F197" s="115" t="str">
        <x:v>Vorwissen zu Gespräche in Alltag, Schule und Öffentlichkeit strukturieren; erste Positionen formulieren und mögliche Konflikte benennen. Kurs-II-Niveau: komplexere Texte, selbstständige Verfahren, Fachbegriffe und vertiefte Deutung oder Bewertung.</x:v>
      </x:c>
      <x:c r="G197" s="115" t="str">
        <x:v>de_k7_st01_kommunikation_einstieg</x:v>
      </x:c>
      <x:c r="H197" s="176" t="e">
        <x:f>HYPERLINK("schueler/de_k7_st01_kommunikation_einstieg_app.html","Lernmodul öffnen")</x:f>
      </x:c>
      <x:c r="I197" s="177" t="e">
        <x:f>HYPERLINK("lehrer/de_k7_st01_kommunikation_einstieg_orga.html","Vorbereitung öffnen")</x:f>
      </x:c>
    </x:row>
    <x:row r="198" ht="65" customHeight="1">
      <x:c r="A198" s="142" t="n">
        <x:v>7</x:v>
      </x:c>
      <x:c r="B198" s="115" t="str">
        <x:v>Lesen/Umgang mit Texten</x:v>
      </x:c>
      <x:c r="C198" s="148" t="n">
        <x:v>2</x:v>
      </x:c>
      <x:c r="D198" s="115" t="str">
        <x:v>Kommunikation und Sprachregister: Quellen und Materialien erschließen</x:v>
      </x:c>
      <x:c r="E198" s="115" t="str">
        <x:v>Kurze Materialien lesen oder ansehen; Hauptaussagen mit Leitfragen festhalten. Kurs-I-Niveau: reduzierte Textmenge, Leitfragen, vorstrukturierte Verfahren und alltagsnahe Transferaufgaben.</x:v>
      </x:c>
      <x:c r="F198" s="115" t="str">
        <x:v>Unterschiedliche Materialien selbstständig erschließen; Aussage, Intention und Kontext bestimmen. Kurs-II-Niveau: komplexere Texte, selbstständige Verfahren, Fachbegriffe und vertiefte Deutung oder Bewertung.</x:v>
      </x:c>
      <x:c r="G198" s="115" t="str">
        <x:v>de_k7_st02_kommunikation_quellen</x:v>
      </x:c>
      <x:c r="H198" s="176" t="e">
        <x:f>HYPERLINK("schueler/de_k7_st02_kommunikation_quellen_app.html","Lernmodul öffnen")</x:f>
      </x:c>
      <x:c r="I198" s="177" t="e">
        <x:f>HYPERLINK("lehrer/de_k7_st02_kommunikation_quellen_orga.html","Vorbereitung öffnen")</x:f>
      </x:c>
    </x:row>
    <x:row r="199" ht="65" customHeight="1">
      <x:c r="A199" s="142" t="n">
        <x:v>7</x:v>
      </x:c>
      <x:c r="B199" s="115" t="str">
        <x:v>Lesen/Umgang mit Texten</x:v>
      </x:c>
      <x:c r="C199" s="148" t="n">
        <x:v>3</x:v>
      </x:c>
      <x:c r="D199" s="115" t="str">
        <x:v>Kommunikation und Sprachregister: Qualitätskriterien anwenden</x:v>
      </x:c>
      <x:c r="E199" s="115" t="str">
        <x:v>Gesprächsregeln, Standardsprache, adressatengerechte Wortwahl in einer Checkliste anwenden und Auffälligkeiten markieren. Kurs-I-Niveau: reduzierte Textmenge, Leitfragen, vorstrukturierte Verfahren und alltagsnahe Transferaufgaben.</x:v>
      </x:c>
      <x:c r="F199" s="115" t="str">
        <x:v>Gesprächsregeln, Standardsprache, adressatengerechte Wortwahl gewichten, auf Grenzfälle anwenden und begründete Qualitätsurteile formulieren. Kurs-II-Niveau: komplexere Texte, selbstständige Verfahren, Fachbegriffe und vertiefte Deutung oder Bewertung.</x:v>
      </x:c>
      <x:c r="G199" s="115" t="str">
        <x:v>de_k7_st03_kommunikation_kriterien</x:v>
      </x:c>
      <x:c r="H199" s="176" t="e">
        <x:f>HYPERLINK("schueler/de_k7_st03_kommunikation_kriterien_app.html","Lernmodul öffnen")</x:f>
      </x:c>
      <x:c r="I199" s="177" t="e">
        <x:f>HYPERLINK("lehrer/de_k7_st03_kommunikation_kriterien_orga.html","Vorbereitung öffnen")</x:f>
      </x:c>
    </x:row>
    <x:row r="200" ht="65" customHeight="1">
      <x:c r="A200" s="142" t="n">
        <x:v>7</x:v>
      </x:c>
      <x:c r="B200" s="115" t="str">
        <x:v>Lesen/Umgang mit Texten</x:v>
      </x:c>
      <x:c r="C200" s="148" t="n">
        <x:v>4</x:v>
      </x:c>
      <x:c r="D200" s="115" t="str">
        <x:v>Kommunikation und Sprachregister: Darstellungen vergleichen</x:v>
      </x:c>
      <x:c r="E200" s="115" t="str">
        <x:v>Privates und formelles sprachhandeln nach vorgegebenen Merkmalen vergleichen. Kurs-I-Niveau: reduzierte Textmenge, Leitfragen, vorstrukturierte Verfahren und alltagsnahe Transferaufgaben.</x:v>
      </x:c>
      <x:c r="F200" s="115" t="str">
        <x:v>Privates und formelles sprachhandeln hinsichtlich Informationsauswahl, Gestaltung, Wirkung und Interessen vergleichen. Kurs-II-Niveau: komplexere Texte, selbstständige Verfahren, Fachbegriffe und vertiefte Deutung oder Bewertung.</x:v>
      </x:c>
      <x:c r="G200" s="115" t="str">
        <x:v>de_k7_st04_kommunikation_vergleichen</x:v>
      </x:c>
      <x:c r="H200" s="176" t="e">
        <x:f>HYPERLINK("schueler/de_k7_st04_kommunikation_vergleichen_app.html","Lernmodul öffnen")</x:f>
      </x:c>
      <x:c r="I200" s="177" t="e">
        <x:f>HYPERLINK("lehrer/de_k7_st04_kommunikation_vergleichen_orga.html","Vorbereitung öffnen")</x:f>
      </x:c>
    </x:row>
    <x:row r="201" ht="65" customHeight="1">
      <x:c r="A201" s="142" t="n">
        <x:v>7</x:v>
      </x:c>
      <x:c r="B201" s="115" t="str">
        <x:v>Schreiben</x:v>
      </x:c>
      <x:c r="C201" s="148" t="n">
        <x:v>5</x:v>
      </x:c>
      <x:c r="D201" s="115" t="str">
        <x:v>Kommunikation und Sprachregister: Informationen prüfen und ordnen</x:v>
      </x:c>
      <x:c r="E201" s="115" t="str">
        <x:v>Informationen aus vorgegebenen Quellen auswählen; Fundstellen notieren und geordnet ablegen. Kurs-I-Niveau: reduzierte Textmenge, Leitfragen, vorstrukturierte Verfahren und alltagsnahe Transferaufgaben.</x:v>
      </x:c>
      <x:c r="F201" s="115" t="str">
        <x:v>Recherchefrage entwickeln; Quellen prüfen, Informationen abgleichen und korrekt dokumentieren. Kurs-II-Niveau: komplexere Texte, selbstständige Verfahren, Fachbegriffe und vertiefte Deutung oder Bewertung.</x:v>
      </x:c>
      <x:c r="G201" s="115" t="str">
        <x:v>de_k7_st05_kommunikation_recherche</x:v>
      </x:c>
      <x:c r="H201" s="176" t="e">
        <x:f>HYPERLINK("schueler/de_k7_st05_kommunikation_recherche_app.html","Lernmodul öffnen")</x:f>
      </x:c>
      <x:c r="I201" s="177" t="e">
        <x:f>HYPERLINK("lehrer/de_k7_st05_kommunikation_recherche_orga.html","Vorbereitung öffnen")</x:f>
      </x:c>
    </x:row>
    <x:row r="202" ht="65" customHeight="1">
      <x:c r="A202" s="142" t="n">
        <x:v>7</x:v>
      </x:c>
      <x:c r="B202" s="115" t="str">
        <x:v>Schreiben</x:v>
      </x:c>
      <x:c r="C202" s="148" t="n">
        <x:v>6</x:v>
      </x:c>
      <x:c r="D202" s="115" t="str">
        <x:v>Kommunikation und Sprachregister: Produkt planen</x:v>
      </x:c>
      <x:c r="E202" s="115" t="str">
        <x:v>Für Gesprächsanalyse einen vorgegebenen Arbeitsplan ergänzen; Aufgaben verteilen. Kurs-I-Niveau: reduzierte Textmenge, Leitfragen, vorstrukturierte Verfahren und alltagsnahe Transferaufgaben.</x:v>
      </x:c>
      <x:c r="F202" s="115" t="str">
        <x:v>Für Gesprächsanalyse Zielgruppe, Aufbau, Medienwahl, Zeitplan und Qualitätskontrolle selbstständig festlegen. Kurs-II-Niveau: komplexere Texte, selbstständige Verfahren, Fachbegriffe und vertiefte Deutung oder Bewertung.</x:v>
      </x:c>
      <x:c r="G202" s="115" t="str">
        <x:v>de_k7_st06_kommunikation_planen</x:v>
      </x:c>
      <x:c r="H202" s="176" t="e">
        <x:f>HYPERLINK("schueler/de_k7_st06_kommunikation_planen_app.html","Lernmodul öffnen")</x:f>
      </x:c>
      <x:c r="I202" s="177" t="e">
        <x:f>HYPERLINK("lehrer/de_k7_st06_kommunikation_planen_orga.html","Vorbereitung öffnen")</x:f>
      </x:c>
    </x:row>
    <x:row r="203" ht="65" customHeight="1">
      <x:c r="A203" s="142" t="n">
        <x:v>7</x:v>
      </x:c>
      <x:c r="B203" s="115" t="str">
        <x:v>Schreiben</x:v>
      </x:c>
      <x:c r="C203" s="148" t="n">
        <x:v>7</x:v>
      </x:c>
      <x:c r="D203" s="115" t="str">
        <x:v>Kommunikation und Sprachregister: Produkt erstellen</x:v>
      </x:c>
      <x:c r="E203" s="115" t="str">
        <x:v>Gesprächsanalyse mit Vorlage und klaren Teilaufträgen erstellen. Kurs-I-Niveau: reduzierte Textmenge, Leitfragen, vorstrukturierte Verfahren und alltagsnahe Transferaufgaben.</x:v>
      </x:c>
      <x:c r="F203" s="115" t="str">
        <x:v>Gesprächsanalyse selbstständig, adressatengerecht und quellenbewusst erstellen. Kurs-II-Niveau: komplexere Texte, selbstständige Verfahren, Fachbegriffe und vertiefte Deutung oder Bewertung.</x:v>
      </x:c>
      <x:c r="G203" s="115" t="str">
        <x:v>de_k7_st07_kommunikation_erstellen</x:v>
      </x:c>
      <x:c r="H203" s="176" t="e">
        <x:f>HYPERLINK("schueler/de_k7_st07_kommunikation_erstellen_app.html","Lernmodul öffnen")</x:f>
      </x:c>
      <x:c r="I203" s="177" t="e">
        <x:f>HYPERLINK("lehrer/de_k7_st07_kommunikation_erstellen_orga.html","Vorbereitung öffnen")</x:f>
      </x:c>
    </x:row>
    <x:row r="204" ht="65" customHeight="1">
      <x:c r="A204" s="142" t="n">
        <x:v>7</x:v>
      </x:c>
      <x:c r="B204" s="115" t="str">
        <x:v>Sprechen und Zuhören</x:v>
      </x:c>
      <x:c r="C204" s="148" t="n">
        <x:v>8</x:v>
      </x:c>
      <x:c r="D204" s="115" t="str">
        <x:v>Kommunikation und Sprachregister: präsentieren und reflektieren</x:v>
      </x:c>
      <x:c r="E204" s="115" t="str">
        <x:v>Produkt kurz vorstellen; Rückmeldung anhand weniger Kriterien geben und annehmen. Kurs-I-Niveau: reduzierte Textmenge, Leitfragen, vorstrukturierte Verfahren und alltagsnahe Transferaufgaben.</x:v>
      </x:c>
      <x:c r="F204" s="115" t="str">
        <x:v>Produkt überzeugend präsentieren; Arbeitsprozess, Quellenwahl und Wirkung kritisch reflektieren. Kurs-II-Niveau: komplexere Texte, selbstständige Verfahren, Fachbegriffe und vertiefte Deutung oder Bewertung.</x:v>
      </x:c>
      <x:c r="G204" s="115" t="str">
        <x:v>de_k7_st08_kommunikation_reflexion</x:v>
      </x:c>
      <x:c r="H204" s="176" t="e">
        <x:f>HYPERLINK("schueler/de_k7_st08_kommunikation_reflexion_app.html","Lernmodul öffnen")</x:f>
      </x:c>
      <x:c r="I204" s="177" t="e">
        <x:f>HYPERLINK("lehrer/de_k7_st08_kommunikation_reflexion_orga.html","Vorbereitung öffnen")</x:f>
      </x:c>
    </x:row>
    <x:row r="205" ht="65" customHeight="1">
      <x:c r="A205" s="142" t="n">
        <x:v>7</x:v>
      </x:c>
      <x:c r="B205" s="115" t="str">
        <x:v>Sprechen und Zuhören</x:v>
      </x:c>
      <x:c r="C205" s="148" t="n">
        <x:v>9</x:v>
      </x:c>
      <x:c r="D205" s="115" t="str">
        <x:v>Kurzgeschichten erschließen: Hör- oder Leseeinstieg gestalten</x:v>
      </x:c>
      <x:c r="E205" s="115" t="str">
        <x:v>Einstieg über Bild, Hörtext oder kurzen Auszug; Vorwissen zu Kurzgeschichten des 20. und 21. Jahrhunderts sammeln und zentrale Wörter klären. Kurs-I-Niveau: reduzierte Textmenge, Leitfragen, vorstrukturierte Verfahren und alltagsnahe Transferaufgaben.</x:v>
      </x:c>
      <x:c r="F205" s="115" t="str">
        <x:v>Aus Titel, Kontext und Gestaltung Erwartungen an Kurzgeschichten des 20. und 21. Jahrhunderts ableiten; erste Hypothesen formulieren und begründen. Kurs-II-Niveau: komplexere Texte, selbstständige Verfahren, Fachbegriffe und vertiefte Deutung oder Bewertung.</x:v>
      </x:c>
      <x:c r="G205" s="115" t="str">
        <x:v>de_k7_st09_kurzgeschichten_einstieg</x:v>
      </x:c>
      <x:c r="H205" s="176" t="e">
        <x:f>HYPERLINK("schueler/de_k7_st09_kurzgeschichten_einstieg_app.html","Lernmodul öffnen")</x:f>
      </x:c>
      <x:c r="I205" s="177" t="e">
        <x:f>HYPERLINK("lehrer/de_k7_st09_kurzgeschichten_einstieg_orga.html","Vorbereitung öffnen")</x:f>
      </x:c>
    </x:row>
    <x:row r="206" ht="65" customHeight="1">
      <x:c r="A206" s="142" t="n">
        <x:v>7</x:v>
      </x:c>
      <x:c r="B206" s="115" t="str">
        <x:v>Lesen/Umgang mit Texten</x:v>
      </x:c>
      <x:c r="C206" s="148" t="n">
        <x:v>10</x:v>
      </x:c>
      <x:c r="D206" s="115" t="str">
        <x:v>Kurzgeschichten erschließen: den Text mit Lesestrategien erschließen</x:v>
      </x:c>
      <x:c r="E206" s="115" t="str">
        <x:v>Text abschnittsweise lesen; Schlüsselwörter markieren und den Inhalt mit Leitfragen sichern. Kurs-I-Niveau: reduzierte Textmenge, Leitfragen, vorstrukturierte Verfahren und alltagsnahe Transferaufgaben.</x:v>
      </x:c>
      <x:c r="F206" s="115" t="str">
        <x:v>Lesetechnik passend zum Ziel wählen; Sinnabschnitte, Schlüsselstellen und offene Fragen selbstständig festhalten. Kurs-II-Niveau: komplexere Texte, selbstständige Verfahren, Fachbegriffe und vertiefte Deutung oder Bewertung.</x:v>
      </x:c>
      <x:c r="G206" s="115" t="str">
        <x:v>de_k7_st10_kurzgeschichten_erschliessen</x:v>
      </x:c>
      <x:c r="H206" s="176" t="e">
        <x:f>HYPERLINK("schueler/de_k7_st10_kurzgeschichten_erschliessen_app.html","Lernmodul öffnen")</x:f>
      </x:c>
      <x:c r="I206" s="177" t="e">
        <x:f>HYPERLINK("lehrer/de_k7_st10_kurzgeschichten_erschliessen_orga.html","Vorbereitung öffnen")</x:f>
      </x:c>
    </x:row>
    <x:row r="207" ht="65" customHeight="1">
      <x:c r="A207" s="142" t="n">
        <x:v>7</x:v>
      </x:c>
      <x:c r="B207" s="115" t="str">
        <x:v>Lesen/Umgang mit Texten</x:v>
      </x:c>
      <x:c r="C207" s="148" t="n">
        <x:v>11</x:v>
      </x:c>
      <x:c r="D207" s="115" t="str">
        <x:v>Kurzgeschichten erschließen: Gattungsmerkmale erkennen</x:v>
      </x:c>
      <x:c r="E207" s="115" t="str">
        <x:v>Merkmale wie unmittelbarer Einstieg, Ausschnitt, offener Schluss, Alltagssituation mithilfe einer Checkliste zuordnen und an Textstellen zeigen. Kurs-I-Niveau: reduzierte Textmenge, Leitfragen, vorstrukturierte Verfahren und alltagsnahe Transferaufgaben.</x:v>
      </x:c>
      <x:c r="F207" s="115" t="str">
        <x:v>Merkmale wie unmittelbarer Einstieg, Ausschnitt, offener Schluss, Alltagssituation textnah belegen und ihre Funktion für Aufbau und Wirkung erklären. Kurs-II-Niveau: komplexere Texte, selbstständige Verfahren, Fachbegriffe und vertiefte Deutung oder Bewertung.</x:v>
      </x:c>
      <x:c r="G207" s="115" t="str">
        <x:v>de_k7_st11_kurzgeschichten_merkmale</x:v>
      </x:c>
      <x:c r="H207" s="176" t="e">
        <x:f>HYPERLINK("schueler/de_k7_st11_kurzgeschichten_merkmale_app.html","Lernmodul öffnen")</x:f>
      </x:c>
      <x:c r="I207" s="177" t="e">
        <x:f>HYPERLINK("lehrer/de_k7_st11_kurzgeschichten_merkmale_orga.html","Vorbereitung öffnen")</x:f>
      </x:c>
    </x:row>
    <x:row r="208" ht="65" customHeight="1">
      <x:c r="A208" s="142" t="n">
        <x:v>7</x:v>
      </x:c>
      <x:c r="B208" s="115" t="str">
        <x:v>Lesen/Umgang mit Texten</x:v>
      </x:c>
      <x:c r="C208" s="148" t="n">
        <x:v>12</x:v>
      </x:c>
      <x:c r="D208" s="115" t="str">
        <x:v>Kurzgeschichten erschließen: Figuren, Handlung und Konflikt untersuchen</x:v>
      </x:c>
      <x:c r="E208" s="115" t="str">
        <x:v>Wendepunkt, Leerstellen und Konflikt mit Figurenkarten oder Handlungsstreifen ordnen; einfache Belege auswählen. Kurs-I-Niveau: reduzierte Textmenge, Leitfragen, vorstrukturierte Verfahren und alltagsnahe Transferaufgaben.</x:v>
      </x:c>
      <x:c r="F208" s="115" t="str">
        <x:v>Wendepunkt, Leerstellen und Konflikt in ihrem Zusammenhang untersuchen; Schlussfolgerungen mit passenden Textbelegen absichern. Kurs-II-Niveau: komplexere Texte, selbstständige Verfahren, Fachbegriffe und vertiefte Deutung oder Bewertung.</x:v>
      </x:c>
      <x:c r="G208" s="115" t="str">
        <x:v>de_k7_st12_kurzgeschichten_figuren_handlung</x:v>
      </x:c>
      <x:c r="H208" s="176" t="e">
        <x:f>HYPERLINK("schueler/de_k7_st12_kurzgeschichten_figuren_handlung_app.html","Lernmodul öffnen")</x:f>
      </x:c>
      <x:c r="I208" s="177" t="e">
        <x:f>HYPERLINK("lehrer/de_k7_st12_kurzgeschichten_figuren_handlung_orga.html","Vorbereitung öffnen")</x:f>
      </x:c>
    </x:row>
    <x:row r="209" ht="65" customHeight="1">
      <x:c r="A209" s="142" t="n">
        <x:v>7</x:v>
      </x:c>
      <x:c r="B209" s="115" t="str">
        <x:v>Sprache untersuchen</x:v>
      </x:c>
      <x:c r="C209" s="148" t="n">
        <x:v>13</x:v>
      </x:c>
      <x:c r="D209" s="115" t="str">
        <x:v>Kurzgeschichten erschließen: Sprache und Wirkung untersuchen</x:v>
      </x:c>
      <x:c r="E209" s="115" t="str">
        <x:v>Beispiele für knappe Sprache, Symbole, Dialoge markieren und ihre Wirkung mit vorgegebenen Begriffen beschreiben. Kurs-I-Niveau: reduzierte Textmenge, Leitfragen, vorstrukturierte Verfahren und alltagsnahe Transferaufgaben.</x:v>
      </x:c>
      <x:c r="F209" s="115" t="str">
        <x:v>knappe Sprache, Symbole, Dialoge fachsprachlich analysieren und auf Figurenzeichnung, Stimmung oder Aussage beziehen. Kurs-II-Niveau: komplexere Texte, selbstständige Verfahren, Fachbegriffe und vertiefte Deutung oder Bewertung.</x:v>
      </x:c>
      <x:c r="G209" s="115" t="str">
        <x:v>de_k7_st13_kurzgeschichten_sprache_wirkung</x:v>
      </x:c>
      <x:c r="H209" s="176" t="e">
        <x:f>HYPERLINK("schueler/de_k7_st13_kurzgeschichten_sprache_wirkung_app.html","Lernmodul öffnen")</x:f>
      </x:c>
      <x:c r="I209" s="177" t="e">
        <x:f>HYPERLINK("lehrer/de_k7_st13_kurzgeschichten_sprache_wirkung_orga.html","Vorbereitung öffnen")</x:f>
      </x:c>
    </x:row>
    <x:row r="210" ht="65" customHeight="1">
      <x:c r="A210" s="142" t="n">
        <x:v>7</x:v>
      </x:c>
      <x:c r="B210" s="115" t="str">
        <x:v>Schreiben</x:v>
      </x:c>
      <x:c r="C210" s="148" t="n">
        <x:v>14</x:v>
      </x:c>
      <x:c r="D210" s="115" t="str">
        <x:v>Kurzgeschichten erschließen: eine Deutung oder Perspektive vorbereiten</x:v>
      </x:c>
      <x:c r="E210" s="115" t="str">
        <x:v>Eine zentrale Aussage mit Satzstartern formulieren; Beleg und Erklärung in einem Schreibrahmen verbinden. Kurs-I-Niveau: reduzierte Textmenge, Leitfragen, vorstrukturierte Verfahren und alltagsnahe Transferaufgaben.</x:v>
      </x:c>
      <x:c r="F210" s="115" t="str">
        <x:v>Eine schlüssige Deutungshypothese entwickeln; mehrere Belege auswählen, ordnen und gegeneinander abwägen. Kurs-II-Niveau: komplexere Texte, selbstständige Verfahren, Fachbegriffe und vertiefte Deutung oder Bewertung.</x:v>
      </x:c>
      <x:c r="G210" s="115" t="str">
        <x:v>de_k7_st14_kurzgeschichten_deutung_planen</x:v>
      </x:c>
      <x:c r="H210" s="176" t="e">
        <x:f>HYPERLINK("schueler/de_k7_st14_kurzgeschichten_deutung_planen_app.html","Lernmodul öffnen")</x:f>
      </x:c>
      <x:c r="I210" s="177" t="e">
        <x:f>HYPERLINK("lehrer/de_k7_st14_kurzgeschichten_deutung_planen_orga.html","Vorbereitung öffnen")</x:f>
      </x:c>
    </x:row>
    <x:row r="211" ht="65" customHeight="1">
      <x:c r="A211" s="142" t="n">
        <x:v>7</x:v>
      </x:c>
      <x:c r="B211" s="115" t="str">
        <x:v>Schreiben</x:v>
      </x:c>
      <x:c r="C211" s="148" t="n">
        <x:v>15</x:v>
      </x:c>
      <x:c r="D211" s="115" t="str">
        <x:v>Kurzgeschichten erschließen: Fortsetzung oder innerer Monolog gestalten</x:v>
      </x:c>
      <x:c r="E211" s="115" t="str">
        <x:v>Fortsetzung oder innerer monolog nach klaren Vorgaben erstellen; Hilfekarten und Wortbank nutzen. Kurs-I-Niveau: reduzierte Textmenge, Leitfragen, vorstrukturierte Verfahren und alltagsnahe Transferaufgaben.</x:v>
      </x:c>
      <x:c r="F211" s="115" t="str">
        <x:v>Fortsetzung oder innerer monolog eigenständig, textnah und sprachlich variabel gestalten; Wirkung bewusst planen. Kurs-II-Niveau: komplexere Texte, selbstständige Verfahren, Fachbegriffe und vertiefte Deutung oder Bewertung.</x:v>
      </x:c>
      <x:c r="G211" s="115" t="str">
        <x:v>de_k7_st15_kurzgeschichten_produkt</x:v>
      </x:c>
      <x:c r="H211" s="176" t="e">
        <x:f>HYPERLINK("schueler/de_k7_st15_kurzgeschichten_produkt_app.html","Lernmodul öffnen")</x:f>
      </x:c>
      <x:c r="I211" s="177" t="e">
        <x:f>HYPERLINK("lehrer/de_k7_st15_kurzgeschichten_produkt_orga.html","Vorbereitung öffnen")</x:f>
      </x:c>
    </x:row>
    <x:row r="212" ht="65" customHeight="1">
      <x:c r="A212" s="142" t="n">
        <x:v>7</x:v>
      </x:c>
      <x:c r="B212" s="115" t="str">
        <x:v>Sprechen und Zuhören</x:v>
      </x:c>
      <x:c r="C212" s="148" t="n">
        <x:v>16</x:v>
      </x:c>
      <x:c r="D212" s="115" t="str">
        <x:v>Kurzgeschichten erschließen: Ergebnisse präsentieren und reflektieren</x:v>
      </x:c>
      <x:c r="E212" s="115" t="str">
        <x:v>Ergebnis kurz vorstellen; zwei vereinbarte Kriterien für Rückmeldung anwenden. Kurs-I-Niveau: reduzierte Textmenge, Leitfragen, vorstrukturierte Verfahren und alltagsnahe Transferaufgaben.</x:v>
      </x:c>
      <x:c r="F212" s="115" t="str">
        <x:v>Ergebnis adressatenbezogen präsentieren; Rückmeldungen begründen und die eigene Deutung oder Gestaltung überarbeiten. Kurs-II-Niveau: komplexere Texte, selbstständige Verfahren, Fachbegriffe und vertiefte Deutung oder Bewertung.</x:v>
      </x:c>
      <x:c r="G212" s="115" t="str">
        <x:v>de_k7_st16_kurzgeschichten_praesentieren</x:v>
      </x:c>
      <x:c r="H212" s="176" t="e">
        <x:f>HYPERLINK("schueler/de_k7_st16_kurzgeschichten_praesentieren_app.html","Lernmodul öffnen")</x:f>
      </x:c>
      <x:c r="I212" s="177" t="e">
        <x:f>HYPERLINK("lehrer/de_k7_st16_kurzgeschichten_praesentieren_orga.html","Vorbereitung öffnen")</x:f>
      </x:c>
    </x:row>
    <x:row r="213" ht="65" customHeight="1">
      <x:c r="A213" s="142" t="n">
        <x:v>7</x:v>
      </x:c>
      <x:c r="B213" s="115" t="str">
        <x:v>Sprechen und Zuhören</x:v>
      </x:c>
      <x:c r="C213" s="148" t="n">
        <x:v>17</x:v>
      </x:c>
      <x:c r="D213" s="115" t="str">
        <x:v>Balladen untersuchen und vortragen: Hör- oder Leseeinstieg gestalten</x:v>
      </x:c>
      <x:c r="E213" s="115" t="str">
        <x:v>Einstieg über Bild, Hörtext oder kurzen Auszug; Vorwissen zu klassische und moderne Balladen sammeln und zentrale Wörter klären. Kurs-I-Niveau: reduzierte Textmenge, Leitfragen, vorstrukturierte Verfahren und alltagsnahe Transferaufgaben.</x:v>
      </x:c>
      <x:c r="F213" s="115" t="str">
        <x:v>Aus Titel, Kontext und Gestaltung Erwartungen an klassische und moderne Balladen ableiten; erste Hypothesen formulieren und begründen. Kurs-II-Niveau: komplexere Texte, selbstständige Verfahren, Fachbegriffe und vertiefte Deutung oder Bewertung.</x:v>
      </x:c>
      <x:c r="G213" s="115" t="str">
        <x:v>de_k7_st17_balladen_einstieg</x:v>
      </x:c>
      <x:c r="H213" s="176" t="e">
        <x:f>HYPERLINK("schueler/de_k7_st17_balladen_einstieg_app.html","Lernmodul öffnen")</x:f>
      </x:c>
      <x:c r="I213" s="177" t="e">
        <x:f>HYPERLINK("lehrer/de_k7_st17_balladen_einstieg_orga.html","Vorbereitung öffnen")</x:f>
      </x:c>
    </x:row>
    <x:row r="214" ht="65" customHeight="1">
      <x:c r="A214" s="142" t="n">
        <x:v>7</x:v>
      </x:c>
      <x:c r="B214" s="115" t="str">
        <x:v>Lesen/Umgang mit Texten</x:v>
      </x:c>
      <x:c r="C214" s="148" t="n">
        <x:v>18</x:v>
      </x:c>
      <x:c r="D214" s="115" t="str">
        <x:v>Balladen untersuchen und vortragen: den Text mit Lesestrategien erschließen</x:v>
      </x:c>
      <x:c r="E214" s="115" t="str">
        <x:v>Text abschnittsweise lesen; Schlüsselwörter markieren und den Inhalt mit Leitfragen sichern. Kurs-I-Niveau: reduzierte Textmenge, Leitfragen, vorstrukturierte Verfahren und alltagsnahe Transferaufgaben.</x:v>
      </x:c>
      <x:c r="F214" s="115" t="str">
        <x:v>Lesetechnik passend zum Ziel wählen; Sinnabschnitte, Schlüsselstellen und offene Fragen selbstständig festhalten. Kurs-II-Niveau: komplexere Texte, selbstständige Verfahren, Fachbegriffe und vertiefte Deutung oder Bewertung.</x:v>
      </x:c>
      <x:c r="G214" s="115" t="str">
        <x:v>de_k7_st18_balladen_erschliessen</x:v>
      </x:c>
      <x:c r="H214" s="176" t="e">
        <x:f>HYPERLINK("schueler/de_k7_st18_balladen_erschliessen_app.html","Lernmodul öffnen")</x:f>
      </x:c>
      <x:c r="I214" s="177" t="e">
        <x:f>HYPERLINK("lehrer/de_k7_st18_balladen_erschliessen_orga.html","Vorbereitung öffnen")</x:f>
      </x:c>
    </x:row>
    <x:row r="215" ht="65" customHeight="1">
      <x:c r="A215" s="142" t="n">
        <x:v>7</x:v>
      </x:c>
      <x:c r="B215" s="115" t="str">
        <x:v>Lesen/Umgang mit Texten</x:v>
      </x:c>
      <x:c r="C215" s="148" t="n">
        <x:v>19</x:v>
      </x:c>
      <x:c r="D215" s="115" t="str">
        <x:v>Balladen untersuchen und vortragen: Gattungsmerkmale erkennen</x:v>
      </x:c>
      <x:c r="E215" s="115" t="str">
        <x:v>Merkmale wie epische, lyrische und dramatische Elemente mithilfe einer Checkliste zuordnen und an Textstellen zeigen. Kurs-I-Niveau: reduzierte Textmenge, Leitfragen, vorstrukturierte Verfahren und alltagsnahe Transferaufgaben.</x:v>
      </x:c>
      <x:c r="F215" s="115" t="str">
        <x:v>Merkmale wie epische, lyrische und dramatische Elemente textnah belegen und ihre Funktion für Aufbau und Wirkung erklären. Kurs-II-Niveau: komplexere Texte, selbstständige Verfahren, Fachbegriffe und vertiefte Deutung oder Bewertung.</x:v>
      </x:c>
      <x:c r="G215" s="115" t="str">
        <x:v>de_k7_st19_balladen_merkmale</x:v>
      </x:c>
      <x:c r="H215" s="176" t="e">
        <x:f>HYPERLINK("schueler/de_k7_st19_balladen_merkmale_app.html","Lernmodul öffnen")</x:f>
      </x:c>
      <x:c r="I215" s="177" t="e">
        <x:f>HYPERLINK("lehrer/de_k7_st19_balladen_merkmale_orga.html","Vorbereitung öffnen")</x:f>
      </x:c>
    </x:row>
    <x:row r="216" ht="65" customHeight="1">
      <x:c r="A216" s="142" t="n">
        <x:v>7</x:v>
      </x:c>
      <x:c r="B216" s="115" t="str">
        <x:v>Lesen/Umgang mit Texten</x:v>
      </x:c>
      <x:c r="C216" s="148" t="n">
        <x:v>20</x:v>
      </x:c>
      <x:c r="D216" s="115" t="str">
        <x:v>Balladen untersuchen und vortragen: Figuren, Handlung und Konflikt untersuchen</x:v>
      </x:c>
      <x:c r="E216" s="115" t="str">
        <x:v>Spannungsbogen, Konflikt und Aussage mit Figurenkarten oder Handlungsstreifen ordnen; einfache Belege auswählen. Kurs-I-Niveau: reduzierte Textmenge, Leitfragen, vorstrukturierte Verfahren und alltagsnahe Transferaufgaben.</x:v>
      </x:c>
      <x:c r="F216" s="115" t="str">
        <x:v>Spannungsbogen, Konflikt und Aussage in ihrem Zusammenhang untersuchen; Schlussfolgerungen mit passenden Textbelegen absichern. Kurs-II-Niveau: komplexere Texte, selbstständige Verfahren, Fachbegriffe und vertiefte Deutung oder Bewertung.</x:v>
      </x:c>
      <x:c r="G216" s="115" t="str">
        <x:v>de_k7_st20_balladen_figuren_handlung</x:v>
      </x:c>
      <x:c r="H216" s="176" t="e">
        <x:f>HYPERLINK("schueler/de_k7_st20_balladen_figuren_handlung_app.html","Lernmodul öffnen")</x:f>
      </x:c>
      <x:c r="I216" s="177" t="e">
        <x:f>HYPERLINK("lehrer/de_k7_st20_balladen_figuren_handlung_orga.html","Vorbereitung öffnen")</x:f>
      </x:c>
    </x:row>
    <x:row r="217" ht="65" customHeight="1">
      <x:c r="A217" s="142" t="n">
        <x:v>7</x:v>
      </x:c>
      <x:c r="B217" s="115" t="str">
        <x:v>Sprache untersuchen</x:v>
      </x:c>
      <x:c r="C217" s="148" t="n">
        <x:v>21</x:v>
      </x:c>
      <x:c r="D217" s="115" t="str">
        <x:v>Balladen untersuchen und vortragen: Sprache und Wirkung untersuchen</x:v>
      </x:c>
      <x:c r="E217" s="115" t="str">
        <x:v>Beispiele für Rhythmus, Klang, direkte Rede, Bildlichkeit markieren und ihre Wirkung mit vorgegebenen Begriffen beschreiben. Kurs-I-Niveau: reduzierte Textmenge, Leitfragen, vorstrukturierte Verfahren und alltagsnahe Transferaufgaben.</x:v>
      </x:c>
      <x:c r="F217" s="115" t="str">
        <x:v>Rhythmus, Klang, direkte Rede, Bildlichkeit fachsprachlich analysieren und auf Figurenzeichnung, Stimmung oder Aussage beziehen. Kurs-II-Niveau: komplexere Texte, selbstständige Verfahren, Fachbegriffe und vertiefte Deutung oder Bewertung.</x:v>
      </x:c>
      <x:c r="G217" s="115" t="str">
        <x:v>de_k7_st21_balladen_sprache_wirkung</x:v>
      </x:c>
      <x:c r="H217" s="176" t="e">
        <x:f>HYPERLINK("schueler/de_k7_st21_balladen_sprache_wirkung_app.html","Lernmodul öffnen")</x:f>
      </x:c>
      <x:c r="I217" s="177" t="e">
        <x:f>HYPERLINK("lehrer/de_k7_st21_balladen_sprache_wirkung_orga.html","Vorbereitung öffnen")</x:f>
      </x:c>
    </x:row>
    <x:row r="218" ht="65" customHeight="1">
      <x:c r="A218" s="142" t="n">
        <x:v>7</x:v>
      </x:c>
      <x:c r="B218" s="115" t="str">
        <x:v>Schreiben</x:v>
      </x:c>
      <x:c r="C218" s="148" t="n">
        <x:v>22</x:v>
      </x:c>
      <x:c r="D218" s="115" t="str">
        <x:v>Balladen untersuchen und vortragen: eine Deutung oder Perspektive vorbereiten</x:v>
      </x:c>
      <x:c r="E218" s="115" t="str">
        <x:v>Eine zentrale Aussage mit Satzstartern formulieren; Beleg und Erklärung in einem Schreibrahmen verbinden. Kurs-I-Niveau: reduzierte Textmenge, Leitfragen, vorstrukturierte Verfahren und alltagsnahe Transferaufgaben.</x:v>
      </x:c>
      <x:c r="F218" s="115" t="str">
        <x:v>Eine schlüssige Deutungshypothese entwickeln; mehrere Belege auswählen, ordnen und gegeneinander abwägen. Kurs-II-Niveau: komplexere Texte, selbstständige Verfahren, Fachbegriffe und vertiefte Deutung oder Bewertung.</x:v>
      </x:c>
      <x:c r="G218" s="115" t="str">
        <x:v>de_k7_st22_balladen_deutung_planen</x:v>
      </x:c>
      <x:c r="H218" s="176" t="e">
        <x:f>HYPERLINK("schueler/de_k7_st22_balladen_deutung_planen_app.html","Lernmodul öffnen")</x:f>
      </x:c>
      <x:c r="I218" s="177" t="e">
        <x:f>HYPERLINK("lehrer/de_k7_st22_balladen_deutung_planen_orga.html","Vorbereitung öffnen")</x:f>
      </x:c>
    </x:row>
    <x:row r="219" ht="65" customHeight="1">
      <x:c r="A219" s="142" t="n">
        <x:v>7</x:v>
      </x:c>
      <x:c r="B219" s="115" t="str">
        <x:v>Schreiben</x:v>
      </x:c>
      <x:c r="C219" s="148" t="n">
        <x:v>23</x:v>
      </x:c>
      <x:c r="D219" s="115" t="str">
        <x:v>Balladen untersuchen und vortragen: gestaltender Vortrag gestalten</x:v>
      </x:c>
      <x:c r="E219" s="115" t="str">
        <x:v>Gestaltender vortrag nach klaren Vorgaben erstellen; Hilfekarten und Wortbank nutzen. Kurs-I-Niveau: reduzierte Textmenge, Leitfragen, vorstrukturierte Verfahren und alltagsnahe Transferaufgaben.</x:v>
      </x:c>
      <x:c r="F219" s="115" t="str">
        <x:v>Gestaltender vortrag eigenständig, textnah und sprachlich variabel gestalten; Wirkung bewusst planen. Kurs-II-Niveau: komplexere Texte, selbstständige Verfahren, Fachbegriffe und vertiefte Deutung oder Bewertung.</x:v>
      </x:c>
      <x:c r="G219" s="115" t="str">
        <x:v>de_k7_st23_balladen_produkt</x:v>
      </x:c>
      <x:c r="H219" s="176" t="e">
        <x:f>HYPERLINK("schueler/de_k7_st23_balladen_produkt_app.html","Lernmodul öffnen")</x:f>
      </x:c>
      <x:c r="I219" s="177" t="e">
        <x:f>HYPERLINK("lehrer/de_k7_st23_balladen_produkt_orga.html","Vorbereitung öffnen")</x:f>
      </x:c>
    </x:row>
    <x:row r="220" ht="65" customHeight="1">
      <x:c r="A220" s="142" t="n">
        <x:v>7</x:v>
      </x:c>
      <x:c r="B220" s="115" t="str">
        <x:v>Sprechen und Zuhören</x:v>
      </x:c>
      <x:c r="C220" s="148" t="n">
        <x:v>24</x:v>
      </x:c>
      <x:c r="D220" s="115" t="str">
        <x:v>Balladen untersuchen und vortragen: Ergebnisse präsentieren und reflektieren</x:v>
      </x:c>
      <x:c r="E220" s="115" t="str">
        <x:v>Ergebnis kurz vorstellen; zwei vereinbarte Kriterien für Rückmeldung anwenden. Kurs-I-Niveau: reduzierte Textmenge, Leitfragen, vorstrukturierte Verfahren und alltagsnahe Transferaufgaben.</x:v>
      </x:c>
      <x:c r="F220" s="115" t="str">
        <x:v>Ergebnis adressatenbezogen präsentieren; Rückmeldungen begründen und die eigene Deutung oder Gestaltung überarbeiten. Kurs-II-Niveau: komplexere Texte, selbstständige Verfahren, Fachbegriffe und vertiefte Deutung oder Bewertung.</x:v>
      </x:c>
      <x:c r="G220" s="115" t="str">
        <x:v>de_k7_st24_balladen_praesentieren</x:v>
      </x:c>
      <x:c r="H220" s="176" t="e">
        <x:f>HYPERLINK("schueler/de_k7_st24_balladen_praesentieren_app.html","Lernmodul öffnen")</x:f>
      </x:c>
      <x:c r="I220" s="177" t="e">
        <x:f>HYPERLINK("lehrer/de_k7_st24_balladen_praesentieren_orga.html","Vorbereitung öffnen")</x:f>
      </x:c>
    </x:row>
    <x:row r="221" ht="65" customHeight="1">
      <x:c r="A221" s="142" t="n">
        <x:v>7</x:v>
      </x:c>
      <x:c r="B221" s="115" t="str">
        <x:v>Lesen/Umgang mit Texten</x:v>
      </x:c>
      <x:c r="C221" s="148" t="n">
        <x:v>25</x:v>
      </x:c>
      <x:c r="D221" s="115" t="str">
        <x:v>Inhaltsangaben verfassen: Beispieltexte untersuchen</x:v>
      </x:c>
      <x:c r="E221" s="115" t="str">
        <x:v>Ein Beispiel für Inhaltsangabe zu epischen Texten lesen; Aufbau und typische Formulierungen farbig kennzeichnen. Kurs-I-Niveau: reduzierte Textmenge, Leitfragen, vorstrukturierte Verfahren und alltagsnahe Transferaufgaben.</x:v>
      </x:c>
      <x:c r="F221" s="115" t="str">
        <x:v>Mehrere Beispiele für Inhaltsangabe zu epischen Texten vergleichen; Funktion, Adressat und Qualitätsunterschiede herausarbeiten. Kurs-II-Niveau: komplexere Texte, selbstständige Verfahren, Fachbegriffe und vertiefte Deutung oder Bewertung.</x:v>
      </x:c>
      <x:c r="G221" s="115" t="str">
        <x:v>de_k7_st25_inhaltsangabe_beispiel</x:v>
      </x:c>
      <x:c r="H221" s="176" t="e">
        <x:f>HYPERLINK("schueler/de_k7_st25_inhaltsangabe_beispiel_app.html","Lernmodul öffnen")</x:f>
      </x:c>
      <x:c r="I221" s="177" t="e">
        <x:f>HYPERLINK("lehrer/de_k7_st25_inhaltsangabe_beispiel_orga.html","Vorbereitung öffnen")</x:f>
      </x:c>
    </x:row>
    <x:row r="222" ht="65" customHeight="1">
      <x:c r="A222" s="142" t="n">
        <x:v>7</x:v>
      </x:c>
      <x:c r="B222" s="115" t="str">
        <x:v>Schreiben</x:v>
      </x:c>
      <x:c r="C222" s="148" t="n">
        <x:v>26</x:v>
      </x:c>
      <x:c r="D222" s="115" t="str">
        <x:v>Inhaltsangaben verfassen: Schreibziel und Kriterien klären</x:v>
      </x:c>
      <x:c r="E222" s="115" t="str">
        <x:v>Schreibziel „wesentliche Handlung knapp und geordnet wiedergeben“ verstehen; eine kurze Kriterienliste auf ein Beispiel anwenden. Kurs-I-Niveau: reduzierte Textmenge, Leitfragen, vorstrukturierte Verfahren und alltagsnahe Transferaufgaben.</x:v>
      </x:c>
      <x:c r="F222" s="115" t="str">
        <x:v>Schreibziel „wesentliche Handlung knapp und geordnet wiedergeben“ präzisieren; Kriterien gewichten und auf unterschiedliche Schreibsituationen übertragen. Kurs-II-Niveau: komplexere Texte, selbstständige Verfahren, Fachbegriffe und vertiefte Deutung oder Bewertung.</x:v>
      </x:c>
      <x:c r="G222" s="115" t="str">
        <x:v>de_k7_st26_inhaltsangabe_kriterien</x:v>
      </x:c>
      <x:c r="H222" s="176" t="e">
        <x:f>HYPERLINK("schueler/de_k7_st26_inhaltsangabe_kriterien_app.html","Lernmodul öffnen")</x:f>
      </x:c>
      <x:c r="I222" s="177" t="e">
        <x:f>HYPERLINK("lehrer/de_k7_st26_inhaltsangabe_kriterien_orga.html","Vorbereitung öffnen")</x:f>
      </x:c>
    </x:row>
    <x:row r="223" ht="65" customHeight="1">
      <x:c r="A223" s="142" t="n">
        <x:v>7</x:v>
      </x:c>
      <x:c r="B223" s="115" t="str">
        <x:v>Lesen/Umgang mit Texten</x:v>
      </x:c>
      <x:c r="C223" s="148" t="n">
        <x:v>27</x:v>
      </x:c>
      <x:c r="D223" s="115" t="str">
        <x:v>Inhaltsangaben verfassen: Inhalte auswählen und ordnen</x:v>
      </x:c>
      <x:c r="E223" s="115" t="str">
        <x:v>Einleitung, Hauptteil, Textbelege mit Leitfragen sammeln und in einer vorgegebenen Reihenfolge ordnen. Kurs-I-Niveau: reduzierte Textmenge, Leitfragen, vorstrukturierte Verfahren und alltagsnahe Transferaufgaben.</x:v>
      </x:c>
      <x:c r="F223" s="115" t="str">
        <x:v>Einleitung, Hauptteil, Textbelege selbstständig auswählen, gewichten und in einer passenden Gliederung strukturieren. Kurs-II-Niveau: komplexere Texte, selbstständige Verfahren, Fachbegriffe und vertiefte Deutung oder Bewertung.</x:v>
      </x:c>
      <x:c r="G223" s="115" t="str">
        <x:v>de_k7_st27_inhaltsangabe_inhalte_ordnen</x:v>
      </x:c>
      <x:c r="H223" s="176" t="e">
        <x:f>HYPERLINK("schueler/de_k7_st27_inhaltsangabe_inhalte_ordnen_app.html","Lernmodul öffnen")</x:f>
      </x:c>
      <x:c r="I223" s="177" t="e">
        <x:f>HYPERLINK("lehrer/de_k7_st27_inhaltsangabe_inhalte_ordnen_orga.html","Vorbereitung öffnen")</x:f>
      </x:c>
    </x:row>
    <x:row r="224" ht="65" customHeight="1">
      <x:c r="A224" s="142" t="n">
        <x:v>7</x:v>
      </x:c>
      <x:c r="B224" s="115" t="str">
        <x:v>Sprache untersuchen</x:v>
      </x:c>
      <x:c r="C224" s="148" t="n">
        <x:v>28</x:v>
      </x:c>
      <x:c r="D224" s="115" t="str">
        <x:v>Inhaltsangaben verfassen: passende sprachliche Mittel verwenden</x:v>
      </x:c>
      <x:c r="E224" s="115" t="str">
        <x:v>Präsens, sachliche Sprache, indirekte Rede in Übungen erkennen und nach Satzmustern anwenden. Kurs-I-Niveau: reduzierte Textmenge, Leitfragen, vorstrukturierte Verfahren und alltagsnahe Transferaufgaben.</x:v>
      </x:c>
      <x:c r="F224" s="115" t="str">
        <x:v>Präsens, sachliche Sprache, indirekte Rede hinsichtlich Wirkung und Angemessenheit prüfen und gezielt variieren. Kurs-II-Niveau: komplexere Texte, selbstständige Verfahren, Fachbegriffe und vertiefte Deutung oder Bewertung.</x:v>
      </x:c>
      <x:c r="G224" s="115" t="str">
        <x:v>de_k7_st28_inhaltsangabe_sprachmittel</x:v>
      </x:c>
      <x:c r="H224" s="176" t="e">
        <x:f>HYPERLINK("schueler/de_k7_st28_inhaltsangabe_sprachmittel_app.html","Lernmodul öffnen")</x:f>
      </x:c>
      <x:c r="I224" s="177" t="e">
        <x:f>HYPERLINK("lehrer/de_k7_st28_inhaltsangabe_sprachmittel_orga.html","Vorbereitung öffnen")</x:f>
      </x:c>
    </x:row>
    <x:row r="225" ht="65" customHeight="1">
      <x:c r="A225" s="142" t="n">
        <x:v>7</x:v>
      </x:c>
      <x:c r="B225" s="115" t="str">
        <x:v>Schreiben</x:v>
      </x:c>
      <x:c r="C225" s="148" t="n">
        <x:v>29</x:v>
      </x:c>
      <x:c r="D225" s="115" t="str">
        <x:v>Inhaltsangaben verfassen: einen Schreibplan erstellen</x:v>
      </x:c>
      <x:c r="E225" s="115" t="str">
        <x:v>Einen vorstrukturierten Schreibplan ausfüllen; Einleitung, Hauptteil und Schluss festlegen. Kurs-I-Niveau: reduzierte Textmenge, Leitfragen, vorstrukturierte Verfahren und alltagsnahe Transferaufgaben.</x:v>
      </x:c>
      <x:c r="F225" s="115" t="str">
        <x:v>Einen eigenen Schreibplan mit Teilzielen, Belegen und sprachlichen Mitteln entwickeln. Kurs-II-Niveau: komplexere Texte, selbstständige Verfahren, Fachbegriffe und vertiefte Deutung oder Bewertung.</x:v>
      </x:c>
      <x:c r="G225" s="115" t="str">
        <x:v>de_k7_st29_inhaltsangabe_schreibplan</x:v>
      </x:c>
      <x:c r="H225" s="176" t="e">
        <x:f>HYPERLINK("schueler/de_k7_st29_inhaltsangabe_schreibplan_app.html","Lernmodul öffnen")</x:f>
      </x:c>
      <x:c r="I225" s="177" t="e">
        <x:f>HYPERLINK("lehrer/de_k7_st29_inhaltsangabe_schreibplan_orga.html","Vorbereitung öffnen")</x:f>
      </x:c>
    </x:row>
    <x:row r="226" ht="65" customHeight="1">
      <x:c r="A226" s="142" t="n">
        <x:v>7</x:v>
      </x:c>
      <x:c r="B226" s="115" t="str">
        <x:v>Schreiben</x:v>
      </x:c>
      <x:c r="C226" s="148" t="n">
        <x:v>30</x:v>
      </x:c>
      <x:c r="D226" s="115" t="str">
        <x:v>Inhaltsangaben verfassen: einen ersten Textentwurf verfassen</x:v>
      </x:c>
      <x:c r="E226" s="115" t="str">
        <x:v>Vollständige inhaltsangabe mithilfe von Schreibrahmen, Satzanfängen und Wortbank verfassen. Kurs-I-Niveau: reduzierte Textmenge, Leitfragen, vorstrukturierte Verfahren und alltagsnahe Transferaufgaben.</x:v>
      </x:c>
      <x:c r="F226" s="115" t="str">
        <x:v>Vollständige inhaltsangabe selbstständig, adressatenbezogen und sprachlich differenziert verfassen. Kurs-II-Niveau: komplexere Texte, selbstständige Verfahren, Fachbegriffe und vertiefte Deutung oder Bewertung.</x:v>
      </x:c>
      <x:c r="G226" s="115" t="str">
        <x:v>de_k7_st30_inhaltsangabe_entwurf</x:v>
      </x:c>
      <x:c r="H226" s="176" t="e">
        <x:f>HYPERLINK("schueler/de_k7_st30_inhaltsangabe_entwurf_app.html","Lernmodul öffnen")</x:f>
      </x:c>
      <x:c r="I226" s="177" t="e">
        <x:f>HYPERLINK("lehrer/de_k7_st30_inhaltsangabe_entwurf_orga.html","Vorbereitung öffnen")</x:f>
      </x:c>
    </x:row>
    <x:row r="227" ht="65" customHeight="1">
      <x:c r="A227" s="142" t="n">
        <x:v>7</x:v>
      </x:c>
      <x:c r="B227" s="115" t="str">
        <x:v>Schreiben</x:v>
      </x:c>
      <x:c r="C227" s="148" t="n">
        <x:v>31</x:v>
      </x:c>
      <x:c r="D227" s="115" t="str">
        <x:v>Inhaltsangaben verfassen: Text kriteriengeleitet überarbeiten</x:v>
      </x:c>
      <x:c r="E227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227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227" s="115" t="str">
        <x:v>de_k7_st31_inhaltsangabe_ueberarbeiten</x:v>
      </x:c>
      <x:c r="H227" s="176" t="e">
        <x:f>HYPERLINK("schueler/de_k7_st31_inhaltsangabe_ueberarbeiten_app.html","Lernmodul öffnen")</x:f>
      </x:c>
      <x:c r="I227" s="177" t="e">
        <x:f>HYPERLINK("lehrer/de_k7_st31_inhaltsangabe_ueberarbeiten_orga.html","Vorbereitung öffnen")</x:f>
      </x:c>
    </x:row>
    <x:row r="228" ht="65" customHeight="1">
      <x:c r="A228" s="142" t="n">
        <x:v>7</x:v>
      </x:c>
      <x:c r="B228" s="115" t="str">
        <x:v>Sprechen und Zuhören</x:v>
      </x:c>
      <x:c r="C228" s="148" t="n">
        <x:v>32</x:v>
      </x:c>
      <x:c r="D228" s="115" t="str">
        <x:v>Inhaltsangaben verfassen: Texte vorstellen und bewerten</x:v>
      </x:c>
      <x:c r="E228" s="115" t="str">
        <x:v>Ausgewählte Passage vorlesen oder erläutern; Rückmeldung mit einfachen Satzmustern geben. Kurs-I-Niveau: reduzierte Textmenge, Leitfragen, vorstrukturierte Verfahren und alltagsnahe Transferaufgaben.</x:v>
      </x:c>
      <x:c r="F228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228" s="115" t="str">
        <x:v>de_k7_st32_inhaltsangabe_vorstellen</x:v>
      </x:c>
      <x:c r="H228" s="176" t="e">
        <x:f>HYPERLINK("schueler/de_k7_st32_inhaltsangabe_vorstellen_app.html","Lernmodul öffnen")</x:f>
      </x:c>
      <x:c r="I228" s="177" t="e">
        <x:f>HYPERLINK("lehrer/de_k7_st32_inhaltsangabe_vorstellen_orga.html","Vorbereitung öffnen")</x:f>
      </x:c>
    </x:row>
    <x:row r="229" ht="65" customHeight="1">
      <x:c r="A229" s="142" t="n">
        <x:v>7</x:v>
      </x:c>
      <x:c r="B229" s="115" t="str">
        <x:v>Sprache untersuchen</x:v>
      </x:c>
      <x:c r="C229" s="148" t="n">
        <x:v>33</x:v>
      </x:c>
      <x:c r="D229" s="115" t="str">
        <x:v>Adverbiale Bestimmungen und Satzbau: Lernstand feststellen</x:v>
      </x:c>
      <x:c r="E229" s="115" t="str">
        <x:v>Kurze Diagnose zu Satzglieder und adverbiale Bestimmungen bearbeiten; eigene Unsicherheiten markieren. Kurs-I-Niveau: reduzierte Textmenge, Leitfragen, vorstrukturierte Verfahren und alltagsnahe Transferaufgaben.</x:v>
      </x:c>
      <x:c r="F229" s="115" t="str">
        <x:v>Diagnose zu Satzglieder und adverbiale Bestimmungen auswerten; Fehlermuster benennen und persönliche Lernziele ableiten. Kurs-II-Niveau: komplexere Texte, selbstständige Verfahren, Fachbegriffe und vertiefte Deutung oder Bewertung.</x:v>
      </x:c>
      <x:c r="G229" s="115" t="str">
        <x:v>de_k7_st33_adverbiale_diagnose</x:v>
      </x:c>
      <x:c r="H229" s="176" t="e">
        <x:f>HYPERLINK("schueler/de_k7_st33_adverbiale_diagnose_app.html","Lernmodul öffnen")</x:f>
      </x:c>
      <x:c r="I229" s="177" t="e">
        <x:f>HYPERLINK("lehrer/de_k7_st33_adverbiale_diagnose_orga.html","Vorbereitung öffnen")</x:f>
      </x:c>
    </x:row>
    <x:row r="230" ht="65" customHeight="1">
      <x:c r="A230" s="142" t="n">
        <x:v>7</x:v>
      </x:c>
      <x:c r="B230" s="115" t="str">
        <x:v>Sprache untersuchen</x:v>
      </x:c>
      <x:c r="C230" s="148" t="n">
        <x:v>34</x:v>
      </x:c>
      <x:c r="D230" s="115" t="str">
        <x:v>Adverbiale Bestimmungen und Satzbau: Grundbegriffe sichern</x:v>
      </x:c>
      <x:c r="E230" s="115" t="str">
        <x:v>Frageprobe, Umstellprobe, lokale, temporale, modale und kausale Angaben an einfachen Beispielen erkennen und mit Merkkarten sichern. Kurs-I-Niveau: reduzierte Textmenge, Leitfragen, vorstrukturierte Verfahren und alltagsnahe Transferaufgaben.</x:v>
      </x:c>
      <x:c r="F230" s="115" t="str">
        <x:v>Frageprobe, Umstellprobe, lokale, temporale, modale und kausale Angaben fachsprachlich erklären, voneinander abgrenzen und in komplexeren Beispielen bestimmen. Kurs-II-Niveau: komplexere Texte, selbstständige Verfahren, Fachbegriffe und vertiefte Deutung oder Bewertung.</x:v>
      </x:c>
      <x:c r="G230" s="115" t="str">
        <x:v>de_k7_st34_adverbiale_grundbegriffe</x:v>
      </x:c>
      <x:c r="H230" s="176" t="e">
        <x:f>HYPERLINK("schueler/de_k7_st34_adverbiale_grundbegriffe_app.html","Lernmodul öffnen")</x:f>
      </x:c>
      <x:c r="I230" s="177" t="e">
        <x:f>HYPERLINK("lehrer/de_k7_st34_adverbiale_grundbegriffe_orga.html","Vorbereitung öffnen")</x:f>
      </x:c>
    </x:row>
    <x:row r="231" ht="65" customHeight="1">
      <x:c r="A231" s="142" t="n">
        <x:v>7</x:v>
      </x:c>
      <x:c r="B231" s="115" t="str">
        <x:v>Sprache untersuchen</x:v>
      </x:c>
      <x:c r="C231" s="148" t="n">
        <x:v>35</x:v>
      </x:c>
      <x:c r="D231" s="115" t="str">
        <x:v>Adverbiale Bestimmungen und Satzbau: Verfahren anwenden</x:v>
      </x:c>
      <x:c r="E231" s="115" t="str">
        <x:v>Satzgliedanalyse Schritt für Schritt anwenden; Entscheidungen mündlich begründen. Kurs-I-Niveau: reduzierte Textmenge, Leitfragen, vorstrukturierte Verfahren und alltagsnahe Transferaufgaben.</x:v>
      </x:c>
      <x:c r="F231" s="115" t="str">
        <x:v>Satzgliedanalyse selbstständig auswählen, kombinieren und auf Zweifelsfälle übertragen. Kurs-II-Niveau: komplexere Texte, selbstständige Verfahren, Fachbegriffe und vertiefte Deutung oder Bewertung.</x:v>
      </x:c>
      <x:c r="G231" s="115" t="str">
        <x:v>de_k7_st35_adverbiale_verfahren</x:v>
      </x:c>
      <x:c r="H231" s="176" t="e">
        <x:f>HYPERLINK("schueler/de_k7_st35_adverbiale_verfahren_app.html","Lernmodul öffnen")</x:f>
      </x:c>
      <x:c r="I231" s="177" t="e">
        <x:f>HYPERLINK("lehrer/de_k7_st35_adverbiale_verfahren_orga.html","Vorbereitung öffnen")</x:f>
      </x:c>
    </x:row>
    <x:row r="232" ht="65" customHeight="1">
      <x:c r="A232" s="142" t="n">
        <x:v>7</x:v>
      </x:c>
      <x:c r="B232" s="115" t="str">
        <x:v>Sprache untersuchen</x:v>
      </x:c>
      <x:c r="C232" s="148" t="n">
        <x:v>36</x:v>
      </x:c>
      <x:c r="D232" s="115" t="str">
        <x:v>Adverbiale Bestimmungen und Satzbau: Formen und Funktionen untersuchen</x:v>
      </x:c>
      <x:c r="E232" s="115" t="str">
        <x:v>Formen bilden und ihre Aufgabe im Satz mit Leitfragen beschreiben. Kurs-I-Niveau: reduzierte Textmenge, Leitfragen, vorstrukturierte Verfahren und alltagsnahe Transferaufgaben.</x:v>
      </x:c>
      <x:c r="F232" s="115" t="str">
        <x:v>Form, Funktion und Wirkung im Satz oder Text untersuchen; alternative Formulierungen vergleichen. Kurs-II-Niveau: komplexere Texte, selbstständige Verfahren, Fachbegriffe und vertiefte Deutung oder Bewertung.</x:v>
      </x:c>
      <x:c r="G232" s="115" t="str">
        <x:v>de_k7_st36_adverbiale_funktion</x:v>
      </x:c>
      <x:c r="H232" s="176" t="e">
        <x:f>HYPERLINK("schueler/de_k7_st36_adverbiale_funktion_app.html","Lernmodul öffnen")</x:f>
      </x:c>
      <x:c r="I232" s="177" t="e">
        <x:f>HYPERLINK("lehrer/de_k7_st36_adverbiale_funktion_orga.html","Vorbereitung öffnen")</x:f>
      </x:c>
    </x:row>
    <x:row r="233" ht="65" customHeight="1">
      <x:c r="A233" s="142" t="n">
        <x:v>7</x:v>
      </x:c>
      <x:c r="B233" s="115" t="str">
        <x:v>Schreiben</x:v>
      </x:c>
      <x:c r="C233" s="148" t="n">
        <x:v>37</x:v>
      </x:c>
      <x:c r="D233" s="115" t="str">
        <x:v>Adverbiale Bestimmungen und Satzbau: Wissen im eigenen Text nutzen</x:v>
      </x:c>
      <x:c r="E233" s="115" t="str">
        <x:v>Präzise erzähl- und sachtexte nach Vorgabe verfassen und die geübten Strukturen farbig markieren. Kurs-I-Niveau: reduzierte Textmenge, Leitfragen, vorstrukturierte Verfahren und alltagsnahe Transferaufgaben.</x:v>
      </x:c>
      <x:c r="F233" s="115" t="str">
        <x:v>Präzise erzähl- und sachtexte bewusst gestalten und sprachliche Entscheidungen kommentieren. Kurs-II-Niveau: komplexere Texte, selbstständige Verfahren, Fachbegriffe und vertiefte Deutung oder Bewertung.</x:v>
      </x:c>
      <x:c r="G233" s="115" t="str">
        <x:v>de_k7_st37_adverbiale_anwenden</x:v>
      </x:c>
      <x:c r="H233" s="176" t="e">
        <x:f>HYPERLINK("schueler/de_k7_st37_adverbiale_anwenden_app.html","Lernmodul öffnen")</x:f>
      </x:c>
      <x:c r="I233" s="177" t="e">
        <x:f>HYPERLINK("lehrer/de_k7_st37_adverbiale_anwenden_orga.html","Vorbereitung öffnen")</x:f>
      </x:c>
    </x:row>
    <x:row r="234" ht="65" customHeight="1">
      <x:c r="A234" s="142" t="n">
        <x:v>7</x:v>
      </x:c>
      <x:c r="B234" s="115" t="str">
        <x:v>Sprache untersuchen</x:v>
      </x:c>
      <x:c r="C234" s="148" t="n">
        <x:v>38</x:v>
      </x:c>
      <x:c r="D234" s="115" t="str">
        <x:v>Adverbiale Bestimmungen und Satzbau: Fehler finden und korrigieren</x:v>
      </x:c>
      <x:c r="E234" s="115" t="str">
        <x:v>Typische Fehler in kurzen Sätzen finden; passende Regelkarte auswählen und korrigieren. Kurs-I-Niveau: reduzierte Textmenge, Leitfragen, vorstrukturierte Verfahren und alltagsnahe Transferaufgaben.</x:v>
      </x:c>
      <x:c r="F234" s="115" t="str">
        <x:v>Fehler systematisch diagnostizieren, Regelbezug herstellen und mehrere Korrekturmöglichkeiten bewerten. Kurs-II-Niveau: komplexere Texte, selbstständige Verfahren, Fachbegriffe und vertiefte Deutung oder Bewertung.</x:v>
      </x:c>
      <x:c r="G234" s="115" t="str">
        <x:v>de_k7_st38_adverbiale_fehler</x:v>
      </x:c>
      <x:c r="H234" s="176" t="e">
        <x:f>HYPERLINK("schueler/de_k7_st38_adverbiale_fehler_app.html","Lernmodul öffnen")</x:f>
      </x:c>
      <x:c r="I234" s="177" t="e">
        <x:f>HYPERLINK("lehrer/de_k7_st38_adverbiale_fehler_orga.html","Vorbereitung öffnen")</x:f>
      </x:c>
    </x:row>
    <x:row r="235" ht="65" customHeight="1">
      <x:c r="A235" s="142" t="n">
        <x:v>7</x:v>
      </x:c>
      <x:c r="B235" s="115" t="str">
        <x:v>Sprache untersuchen</x:v>
      </x:c>
      <x:c r="C235" s="148" t="n">
        <x:v>39</x:v>
      </x:c>
      <x:c r="D235" s="115" t="str">
        <x:v>Adverbiale Bestimmungen und Satzbau: Transfer auf unbekannte Beispiele</x:v>
      </x:c>
      <x:c r="E235" s="115" t="str">
        <x:v>Neue Beispiele mit Hilfekarte bearbeiten und Lösungen vergleichen. Kurs-I-Niveau: reduzierte Textmenge, Leitfragen, vorstrukturierte Verfahren und alltagsnahe Transferaufgaben.</x:v>
      </x:c>
      <x:c r="F235" s="115" t="str">
        <x:v>Unbekannte und mehrdeutige Beispiele selbstständig analysieren; Grenzfälle begründet diskutieren. Kurs-II-Niveau: komplexere Texte, selbstständige Verfahren, Fachbegriffe und vertiefte Deutung oder Bewertung.</x:v>
      </x:c>
      <x:c r="G235" s="115" t="str">
        <x:v>de_k7_st39_adverbiale_transfer</x:v>
      </x:c>
      <x:c r="H235" s="176" t="e">
        <x:f>HYPERLINK("schueler/de_k7_st39_adverbiale_transfer_app.html","Lernmodul öffnen")</x:f>
      </x:c>
      <x:c r="I235" s="177" t="e">
        <x:f>HYPERLINK("lehrer/de_k7_st39_adverbiale_transfer_orga.html","Vorbereitung öffnen")</x:f>
      </x:c>
    </x:row>
    <x:row r="236" ht="65" customHeight="1">
      <x:c r="A236" s="142" t="n">
        <x:v>7</x:v>
      </x:c>
      <x:c r="B236" s="115" t="str">
        <x:v>Schreiben</x:v>
      </x:c>
      <x:c r="C236" s="148" t="n">
        <x:v>40</x:v>
      </x:c>
      <x:c r="D236" s="115" t="str">
        <x:v>Adverbiale Bestimmungen und Satzbau: Lernprodukt und Kompetenzcheck</x:v>
      </x:c>
      <x:c r="E236" s="115" t="str">
        <x:v>Merkblatt oder Übungstext erstellen; Grundregeln in einem kurzen Kompetenzcheck anwenden. Kurs-I-Niveau: reduzierte Textmenge, Leitfragen, vorstrukturierte Verfahren und alltagsnahe Transferaufgaben.</x:v>
      </x:c>
      <x:c r="F236" s="115" t="str">
        <x:v>Erklärprodukt mit eigenen Beispielen erstellen; Regeln in einem anspruchsvollen Kompetenzcheck sicher anwenden. Kurs-II-Niveau: komplexere Texte, selbstständige Verfahren, Fachbegriffe und vertiefte Deutung oder Bewertung.</x:v>
      </x:c>
      <x:c r="G236" s="115" t="str">
        <x:v>de_k7_st40_adverbiale_kompetenzcheck</x:v>
      </x:c>
      <x:c r="H236" s="176" t="e">
        <x:f>HYPERLINK("schueler/de_k7_st40_adverbiale_kompetenzcheck_app.html","Lernmodul öffnen")</x:f>
      </x:c>
      <x:c r="I236" s="177" t="e">
        <x:f>HYPERLINK("lehrer/de_k7_st40_adverbiale_kompetenzcheck_orga.html","Vorbereitung öffnen")</x:f>
      </x:c>
    </x:row>
    <x:row r="237" ht="65" customHeight="1">
      <x:c r="A237" s="142" t="n">
        <x:v>7</x:v>
      </x:c>
      <x:c r="B237" s="115" t="str">
        <x:v>Lesen/Umgang mit Texten</x:v>
      </x:c>
      <x:c r="C237" s="148" t="n">
        <x:v>41</x:v>
      </x:c>
      <x:c r="D237" s="115" t="str">
        <x:v>Argumentieren und Stellung nehmen: Beispieltexte untersuchen</x:v>
      </x:c>
      <x:c r="E237" s="115" t="str">
        <x:v>Ein Beispiel für begründete Stellungnahme lesen; Aufbau und typische Formulierungen farbig kennzeichnen. Kurs-I-Niveau: reduzierte Textmenge, Leitfragen, vorstrukturierte Verfahren und alltagsnahe Transferaufgaben.</x:v>
      </x:c>
      <x:c r="F237" s="115" t="str">
        <x:v>Mehrere Beispiele für begründete Stellungnahme vergleichen; Funktion, Adressat und Qualitätsunterschiede herausarbeiten. Kurs-II-Niveau: komplexere Texte, selbstständige Verfahren, Fachbegriffe und vertiefte Deutung oder Bewertung.</x:v>
      </x:c>
      <x:c r="G237" s="115" t="str">
        <x:v>de_k7_st41_argumentieren_beispiel</x:v>
      </x:c>
      <x:c r="H237" s="176" t="e">
        <x:f>HYPERLINK("schueler/de_k7_st41_argumentieren_beispiel_app.html","Lernmodul öffnen")</x:f>
      </x:c>
      <x:c r="I237" s="177" t="e">
        <x:f>HYPERLINK("lehrer/de_k7_st41_argumentieren_beispiel_orga.html","Vorbereitung öffnen")</x:f>
      </x:c>
    </x:row>
    <x:row r="238" ht="65" customHeight="1">
      <x:c r="A238" s="142" t="n">
        <x:v>7</x:v>
      </x:c>
      <x:c r="B238" s="115" t="str">
        <x:v>Schreiben</x:v>
      </x:c>
      <x:c r="C238" s="148" t="n">
        <x:v>42</x:v>
      </x:c>
      <x:c r="D238" s="115" t="str">
        <x:v>Argumentieren und Stellung nehmen: Schreibziel und Kriterien klären</x:v>
      </x:c>
      <x:c r="E238" s="115" t="str">
        <x:v>Schreibziel „eine Position nachvollziehbar vertreten“ verstehen; eine kurze Kriterienliste auf ein Beispiel anwenden. Kurs-I-Niveau: reduzierte Textmenge, Leitfragen, vorstrukturierte Verfahren und alltagsnahe Transferaufgaben.</x:v>
      </x:c>
      <x:c r="F238" s="115" t="str">
        <x:v>Schreibziel „eine Position nachvollziehbar vertreten“ präzisieren; Kriterien gewichten und auf unterschiedliche Schreibsituationen übertragen. Kurs-II-Niveau: komplexere Texte, selbstständige Verfahren, Fachbegriffe und vertiefte Deutung oder Bewertung.</x:v>
      </x:c>
      <x:c r="G238" s="115" t="str">
        <x:v>de_k7_st42_argumentieren_kriterien</x:v>
      </x:c>
      <x:c r="H238" s="176" t="e">
        <x:f>HYPERLINK("schueler/de_k7_st42_argumentieren_kriterien_app.html","Lernmodul öffnen")</x:f>
      </x:c>
      <x:c r="I238" s="177" t="e">
        <x:f>HYPERLINK("lehrer/de_k7_st42_argumentieren_kriterien_orga.html","Vorbereitung öffnen")</x:f>
      </x:c>
    </x:row>
    <x:row r="239" ht="65" customHeight="1">
      <x:c r="A239" s="142" t="n">
        <x:v>7</x:v>
      </x:c>
      <x:c r="B239" s="115" t="str">
        <x:v>Lesen/Umgang mit Texten</x:v>
      </x:c>
      <x:c r="C239" s="148" t="n">
        <x:v>43</x:v>
      </x:c>
      <x:c r="D239" s="115" t="str">
        <x:v>Argumentieren und Stellung nehmen: Inhalte auswählen und ordnen</x:v>
      </x:c>
      <x:c r="E239" s="115" t="str">
        <x:v>These, Argument, Beispiel und Schluss mit Leitfragen sammeln und in einer vorgegebenen Reihenfolge ordnen. Kurs-I-Niveau: reduzierte Textmenge, Leitfragen, vorstrukturierte Verfahren und alltagsnahe Transferaufgaben.</x:v>
      </x:c>
      <x:c r="F239" s="115" t="str">
        <x:v>These, Argument, Beispiel und Schluss selbstständig auswählen, gewichten und in einer passenden Gliederung strukturieren. Kurs-II-Niveau: komplexere Texte, selbstständige Verfahren, Fachbegriffe und vertiefte Deutung oder Bewertung.</x:v>
      </x:c>
      <x:c r="G239" s="115" t="str">
        <x:v>de_k7_st43_argumentieren_inhalte_ordnen</x:v>
      </x:c>
      <x:c r="H239" s="176" t="e">
        <x:f>HYPERLINK("schueler/de_k7_st43_argumentieren_inhalte_ordnen_app.html","Lernmodul öffnen")</x:f>
      </x:c>
      <x:c r="I239" s="177" t="e">
        <x:f>HYPERLINK("lehrer/de_k7_st43_argumentieren_inhalte_ordnen_orga.html","Vorbereitung öffnen")</x:f>
      </x:c>
    </x:row>
    <x:row r="240" ht="65" customHeight="1">
      <x:c r="A240" s="142" t="n">
        <x:v>7</x:v>
      </x:c>
      <x:c r="B240" s="115" t="str">
        <x:v>Sprache untersuchen</x:v>
      </x:c>
      <x:c r="C240" s="148" t="n">
        <x:v>44</x:v>
      </x:c>
      <x:c r="D240" s="115" t="str">
        <x:v>Argumentieren und Stellung nehmen: passende sprachliche Mittel verwenden</x:v>
      </x:c>
      <x:c r="E240" s="115" t="str">
        <x:v>Verknüpfungswörter, sachlicher Ton, Gegenargument in Übungen erkennen und nach Satzmustern anwenden. Kurs-I-Niveau: reduzierte Textmenge, Leitfragen, vorstrukturierte Verfahren und alltagsnahe Transferaufgaben.</x:v>
      </x:c>
      <x:c r="F240" s="115" t="str">
        <x:v>Verknüpfungswörter, sachlicher Ton, Gegenargument hinsichtlich Wirkung und Angemessenheit prüfen und gezielt variieren. Kurs-II-Niveau: komplexere Texte, selbstständige Verfahren, Fachbegriffe und vertiefte Deutung oder Bewertung.</x:v>
      </x:c>
      <x:c r="G240" s="115" t="str">
        <x:v>de_k7_st44_argumentieren_sprachmittel</x:v>
      </x:c>
      <x:c r="H240" s="176" t="e">
        <x:f>HYPERLINK("schueler/de_k7_st44_argumentieren_sprachmittel_app.html","Lernmodul öffnen")</x:f>
      </x:c>
      <x:c r="I240" s="177" t="e">
        <x:f>HYPERLINK("lehrer/de_k7_st44_argumentieren_sprachmittel_orga.html","Vorbereitung öffnen")</x:f>
      </x:c>
    </x:row>
    <x:row r="241" ht="65" customHeight="1">
      <x:c r="A241" s="142" t="n">
        <x:v>7</x:v>
      </x:c>
      <x:c r="B241" s="115" t="str">
        <x:v>Schreiben</x:v>
      </x:c>
      <x:c r="C241" s="148" t="n">
        <x:v>45</x:v>
      </x:c>
      <x:c r="D241" s="115" t="str">
        <x:v>Argumentieren und Stellung nehmen: einen Schreibplan erstellen</x:v>
      </x:c>
      <x:c r="E241" s="115" t="str">
        <x:v>Einen vorstrukturierten Schreibplan ausfüllen; Einleitung, Hauptteil und Schluss festlegen. Kurs-I-Niveau: reduzierte Textmenge, Leitfragen, vorstrukturierte Verfahren und alltagsnahe Transferaufgaben.</x:v>
      </x:c>
      <x:c r="F241" s="115" t="str">
        <x:v>Einen eigenen Schreibplan mit Teilzielen, Belegen und sprachlichen Mitteln entwickeln. Kurs-II-Niveau: komplexere Texte, selbstständige Verfahren, Fachbegriffe und vertiefte Deutung oder Bewertung.</x:v>
      </x:c>
      <x:c r="G241" s="115" t="str">
        <x:v>de_k7_st45_argumentieren_schreibplan</x:v>
      </x:c>
      <x:c r="H241" s="176" t="e">
        <x:f>HYPERLINK("schueler/de_k7_st45_argumentieren_schreibplan_app.html","Lernmodul öffnen")</x:f>
      </x:c>
      <x:c r="I241" s="177" t="e">
        <x:f>HYPERLINK("lehrer/de_k7_st45_argumentieren_schreibplan_orga.html","Vorbereitung öffnen")</x:f>
      </x:c>
    </x:row>
    <x:row r="242" ht="65" customHeight="1">
      <x:c r="A242" s="142" t="n">
        <x:v>7</x:v>
      </x:c>
      <x:c r="B242" s="115" t="str">
        <x:v>Schreiben</x:v>
      </x:c>
      <x:c r="C242" s="148" t="n">
        <x:v>46</x:v>
      </x:c>
      <x:c r="D242" s="115" t="str">
        <x:v>Argumentieren und Stellung nehmen: einen ersten Textentwurf verfassen</x:v>
      </x:c>
      <x:c r="E242" s="115" t="str">
        <x:v>Schriftliche stellungnahme mithilfe von Schreibrahmen, Satzanfängen und Wortbank verfassen. Kurs-I-Niveau: reduzierte Textmenge, Leitfragen, vorstrukturierte Verfahren und alltagsnahe Transferaufgaben.</x:v>
      </x:c>
      <x:c r="F242" s="115" t="str">
        <x:v>Schriftliche stellungnahme selbstständig, adressatenbezogen und sprachlich differenziert verfassen. Kurs-II-Niveau: komplexere Texte, selbstständige Verfahren, Fachbegriffe und vertiefte Deutung oder Bewertung.</x:v>
      </x:c>
      <x:c r="G242" s="115" t="str">
        <x:v>de_k7_st46_argumentieren_entwurf</x:v>
      </x:c>
      <x:c r="H242" s="176" t="e">
        <x:f>HYPERLINK("schueler/de_k7_st46_argumentieren_entwurf_app.html","Lernmodul öffnen")</x:f>
      </x:c>
      <x:c r="I242" s="177" t="e">
        <x:f>HYPERLINK("lehrer/de_k7_st46_argumentieren_entwurf_orga.html","Vorbereitung öffnen")</x:f>
      </x:c>
    </x:row>
    <x:row r="243" ht="65" customHeight="1">
      <x:c r="A243" s="142" t="n">
        <x:v>7</x:v>
      </x:c>
      <x:c r="B243" s="115" t="str">
        <x:v>Schreiben</x:v>
      </x:c>
      <x:c r="C243" s="148" t="n">
        <x:v>47</x:v>
      </x:c>
      <x:c r="D243" s="115" t="str">
        <x:v>Argumentieren und Stellung nehmen: Text kriteriengeleitet überarbeiten</x:v>
      </x:c>
      <x:c r="E243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243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243" s="115" t="str">
        <x:v>de_k7_st47_argumentieren_ueberarbeiten</x:v>
      </x:c>
      <x:c r="H243" s="176" t="e">
        <x:f>HYPERLINK("schueler/de_k7_st47_argumentieren_ueberarbeiten_app.html","Lernmodul öffnen")</x:f>
      </x:c>
      <x:c r="I243" s="177" t="e">
        <x:f>HYPERLINK("lehrer/de_k7_st47_argumentieren_ueberarbeiten_orga.html","Vorbereitung öffnen")</x:f>
      </x:c>
    </x:row>
    <x:row r="244" ht="65" customHeight="1">
      <x:c r="A244" s="142" t="n">
        <x:v>7</x:v>
      </x:c>
      <x:c r="B244" s="115" t="str">
        <x:v>Sprechen und Zuhören</x:v>
      </x:c>
      <x:c r="C244" s="148" t="n">
        <x:v>48</x:v>
      </x:c>
      <x:c r="D244" s="115" t="str">
        <x:v>Argumentieren und Stellung nehmen: Texte vorstellen und bewerten</x:v>
      </x:c>
      <x:c r="E244" s="115" t="str">
        <x:v>Ausgewählte Passage vorlesen oder erläutern; Rückmeldung mit einfachen Satzmustern geben. Kurs-I-Niveau: reduzierte Textmenge, Leitfragen, vorstrukturierte Verfahren und alltagsnahe Transferaufgaben.</x:v>
      </x:c>
      <x:c r="F244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244" s="115" t="str">
        <x:v>de_k7_st48_argumentieren_vorstellen</x:v>
      </x:c>
      <x:c r="H244" s="176" t="e">
        <x:f>HYPERLINK("schueler/de_k7_st48_argumentieren_vorstellen_app.html","Lernmodul öffnen")</x:f>
      </x:c>
      <x:c r="I244" s="177" t="e">
        <x:f>HYPERLINK("lehrer/de_k7_st48_argumentieren_vorstellen_orga.html","Vorbereitung öffnen")</x:f>
      </x:c>
    </x:row>
    <x:row r="245" ht="65" customHeight="1">
      <x:c r="A245" s="142" t="n">
        <x:v>7</x:v>
      </x:c>
      <x:c r="B245" s="115" t="str">
        <x:v>Sprechen und Zuhören</x:v>
      </x:c>
      <x:c r="C245" s="148" t="n">
        <x:v>49</x:v>
      </x:c>
      <x:c r="D245" s="115" t="str">
        <x:v>Jugendroman und Lebenswelt: Hör- oder Leseeinstieg gestalten</x:v>
      </x:c>
      <x:c r="E245" s="115" t="str">
        <x:v>Einstieg über Bild, Hörtext oder kurzen Auszug; Vorwissen zu Jugendroman als Ganzschrift sammeln und zentrale Wörter klären. Kurs-I-Niveau: reduzierte Textmenge, Leitfragen, vorstrukturierte Verfahren und alltagsnahe Transferaufgaben.</x:v>
      </x:c>
      <x:c r="F245" s="115" t="str">
        <x:v>Aus Titel, Kontext und Gestaltung Erwartungen an Jugendroman als Ganzschrift ableiten; erste Hypothesen formulieren und begründen. Kurs-II-Niveau: komplexere Texte, selbstständige Verfahren, Fachbegriffe und vertiefte Deutung oder Bewertung.</x:v>
      </x:c>
      <x:c r="G245" s="115" t="str">
        <x:v>de_k7_st49_roman_einstieg</x:v>
      </x:c>
      <x:c r="H245" s="176" t="e">
        <x:f>HYPERLINK("schueler/de_k7_st49_roman_einstieg_app.html","Lernmodul öffnen")</x:f>
      </x:c>
      <x:c r="I245" s="177" t="e">
        <x:f>HYPERLINK("lehrer/de_k7_st49_roman_einstieg_orga.html","Vorbereitung öffnen")</x:f>
      </x:c>
    </x:row>
    <x:row r="246" ht="65" customHeight="1">
      <x:c r="A246" s="142" t="n">
        <x:v>7</x:v>
      </x:c>
      <x:c r="B246" s="115" t="str">
        <x:v>Lesen/Umgang mit Texten</x:v>
      </x:c>
      <x:c r="C246" s="148" t="n">
        <x:v>50</x:v>
      </x:c>
      <x:c r="D246" s="115" t="str">
        <x:v>Jugendroman und Lebenswelt: den Text mit Lesestrategien erschließen</x:v>
      </x:c>
      <x:c r="E246" s="115" t="str">
        <x:v>Text abschnittsweise lesen; Schlüsselwörter markieren und den Inhalt mit Leitfragen sichern. Kurs-I-Niveau: reduzierte Textmenge, Leitfragen, vorstrukturierte Verfahren und alltagsnahe Transferaufgaben.</x:v>
      </x:c>
      <x:c r="F246" s="115" t="str">
        <x:v>Lesetechnik passend zum Ziel wählen; Sinnabschnitte, Schlüsselstellen und offene Fragen selbstständig festhalten. Kurs-II-Niveau: komplexere Texte, selbstständige Verfahren, Fachbegriffe und vertiefte Deutung oder Bewertung.</x:v>
      </x:c>
      <x:c r="G246" s="115" t="str">
        <x:v>de_k7_st50_roman_erschliessen</x:v>
      </x:c>
      <x:c r="H246" s="176" t="e">
        <x:f>HYPERLINK("schueler/de_k7_st50_roman_erschliessen_app.html","Lernmodul öffnen")</x:f>
      </x:c>
      <x:c r="I246" s="177" t="e">
        <x:f>HYPERLINK("lehrer/de_k7_st50_roman_erschliessen_orga.html","Vorbereitung öffnen")</x:f>
      </x:c>
    </x:row>
    <x:row r="247" ht="65" customHeight="1">
      <x:c r="A247" s="142" t="n">
        <x:v>7</x:v>
      </x:c>
      <x:c r="B247" s="115" t="str">
        <x:v>Lesen/Umgang mit Texten</x:v>
      </x:c>
      <x:c r="C247" s="148" t="n">
        <x:v>51</x:v>
      </x:c>
      <x:c r="D247" s="115" t="str">
        <x:v>Jugendroman und Lebenswelt: Gattungsmerkmale erkennen</x:v>
      </x:c>
      <x:c r="E247" s="115" t="str">
        <x:v>Merkmale wie Figuren, Beziehungen, Konflikte und Kapitelstruktur mithilfe einer Checkliste zuordnen und an Textstellen zeigen. Kurs-I-Niveau: reduzierte Textmenge, Leitfragen, vorstrukturierte Verfahren und alltagsnahe Transferaufgaben.</x:v>
      </x:c>
      <x:c r="F247" s="115" t="str">
        <x:v>Merkmale wie Figuren, Beziehungen, Konflikte und Kapitelstruktur textnah belegen und ihre Funktion für Aufbau und Wirkung erklären. Kurs-II-Niveau: komplexere Texte, selbstständige Verfahren, Fachbegriffe und vertiefte Deutung oder Bewertung.</x:v>
      </x:c>
      <x:c r="G247" s="115" t="str">
        <x:v>de_k7_st51_roman_merkmale</x:v>
      </x:c>
      <x:c r="H247" s="176" t="e">
        <x:f>HYPERLINK("schueler/de_k7_st51_roman_merkmale_app.html","Lernmodul öffnen")</x:f>
      </x:c>
      <x:c r="I247" s="177" t="e">
        <x:f>HYPERLINK("lehrer/de_k7_st51_roman_merkmale_orga.html","Vorbereitung öffnen")</x:f>
      </x:c>
    </x:row>
    <x:row r="248" ht="65" customHeight="1">
      <x:c r="A248" s="142" t="n">
        <x:v>7</x:v>
      </x:c>
      <x:c r="B248" s="115" t="str">
        <x:v>Lesen/Umgang mit Texten</x:v>
      </x:c>
      <x:c r="C248" s="148" t="n">
        <x:v>52</x:v>
      </x:c>
      <x:c r="D248" s="115" t="str">
        <x:v>Jugendroman und Lebenswelt: Figuren, Handlung und Konflikt untersuchen</x:v>
      </x:c>
      <x:c r="E248" s="115" t="str">
        <x:v>Motive, Werte, Entwicklung und Erzählweise mit Figurenkarten oder Handlungsstreifen ordnen; einfache Belege auswählen. Kurs-I-Niveau: reduzierte Textmenge, Leitfragen, vorstrukturierte Verfahren und alltagsnahe Transferaufgaben.</x:v>
      </x:c>
      <x:c r="F248" s="115" t="str">
        <x:v>Motive, Werte, Entwicklung und Erzählweise in ihrem Zusammenhang untersuchen; Schlussfolgerungen mit passenden Textbelegen absichern. Kurs-II-Niveau: komplexere Texte, selbstständige Verfahren, Fachbegriffe und vertiefte Deutung oder Bewertung.</x:v>
      </x:c>
      <x:c r="G248" s="115" t="str">
        <x:v>de_k7_st52_roman_figuren_handlung</x:v>
      </x:c>
      <x:c r="H248" s="176" t="e">
        <x:f>HYPERLINK("schueler/de_k7_st52_roman_figuren_handlung_app.html","Lernmodul öffnen")</x:f>
      </x:c>
      <x:c r="I248" s="177" t="e">
        <x:f>HYPERLINK("lehrer/de_k7_st52_roman_figuren_handlung_orga.html","Vorbereitung öffnen")</x:f>
      </x:c>
    </x:row>
    <x:row r="249" ht="65" customHeight="1">
      <x:c r="A249" s="142" t="n">
        <x:v>7</x:v>
      </x:c>
      <x:c r="B249" s="115" t="str">
        <x:v>Sprache untersuchen</x:v>
      </x:c>
      <x:c r="C249" s="148" t="n">
        <x:v>53</x:v>
      </x:c>
      <x:c r="D249" s="115" t="str">
        <x:v>Jugendroman und Lebenswelt: Sprache und Wirkung untersuchen</x:v>
      </x:c>
      <x:c r="E249" s="115" t="str">
        <x:v>Beispiele für Figurenrede, Perspektive, Zeitgestaltung markieren und ihre Wirkung mit vorgegebenen Begriffen beschreiben. Kurs-I-Niveau: reduzierte Textmenge, Leitfragen, vorstrukturierte Verfahren und alltagsnahe Transferaufgaben.</x:v>
      </x:c>
      <x:c r="F249" s="115" t="str">
        <x:v>Figurenrede, Perspektive, Zeitgestaltung fachsprachlich analysieren und auf Figurenzeichnung, Stimmung oder Aussage beziehen. Kurs-II-Niveau: komplexere Texte, selbstständige Verfahren, Fachbegriffe und vertiefte Deutung oder Bewertung.</x:v>
      </x:c>
      <x:c r="G249" s="115" t="str">
        <x:v>de_k7_st53_roman_sprache_wirkung</x:v>
      </x:c>
      <x:c r="H249" s="176" t="e">
        <x:f>HYPERLINK("schueler/de_k7_st53_roman_sprache_wirkung_app.html","Lernmodul öffnen")</x:f>
      </x:c>
      <x:c r="I249" s="177" t="e">
        <x:f>HYPERLINK("lehrer/de_k7_st53_roman_sprache_wirkung_orga.html","Vorbereitung öffnen")</x:f>
      </x:c>
    </x:row>
    <x:row r="250" ht="65" customHeight="1">
      <x:c r="A250" s="142" t="n">
        <x:v>7</x:v>
      </x:c>
      <x:c r="B250" s="115" t="str">
        <x:v>Schreiben</x:v>
      </x:c>
      <x:c r="C250" s="148" t="n">
        <x:v>54</x:v>
      </x:c>
      <x:c r="D250" s="115" t="str">
        <x:v>Jugendroman und Lebenswelt: eine Deutung oder Perspektive vorbereiten</x:v>
      </x:c>
      <x:c r="E250" s="115" t="str">
        <x:v>Eine zentrale Aussage mit Satzstartern formulieren; Beleg und Erklärung in einem Schreibrahmen verbinden. Kurs-I-Niveau: reduzierte Textmenge, Leitfragen, vorstrukturierte Verfahren und alltagsnahe Transferaufgaben.</x:v>
      </x:c>
      <x:c r="F250" s="115" t="str">
        <x:v>Eine schlüssige Deutungshypothese entwickeln; mehrere Belege auswählen, ordnen und gegeneinander abwägen. Kurs-II-Niveau: komplexere Texte, selbstständige Verfahren, Fachbegriffe und vertiefte Deutung oder Bewertung.</x:v>
      </x:c>
      <x:c r="G250" s="115" t="str">
        <x:v>de_k7_st54_roman_deutung_planen</x:v>
      </x:c>
      <x:c r="H250" s="176" t="e">
        <x:f>HYPERLINK("schueler/de_k7_st54_roman_deutung_planen_app.html","Lernmodul öffnen")</x:f>
      </x:c>
      <x:c r="I250" s="177" t="e">
        <x:f>HYPERLINK("lehrer/de_k7_st54_roman_deutung_planen_orga.html","Vorbereitung öffnen")</x:f>
      </x:c>
    </x:row>
    <x:row r="251" ht="65" customHeight="1">
      <x:c r="A251" s="142" t="n">
        <x:v>7</x:v>
      </x:c>
      <x:c r="B251" s="115" t="str">
        <x:v>Schreiben</x:v>
      </x:c>
      <x:c r="C251" s="148" t="n">
        <x:v>55</x:v>
      </x:c>
      <x:c r="D251" s="115" t="str">
        <x:v>Jugendroman und Lebenswelt: Lesetagebuch oder Podcast gestalten</x:v>
      </x:c>
      <x:c r="E251" s="115" t="str">
        <x:v>Lesetagebuch oder podcast nach klaren Vorgaben erstellen; Hilfekarten und Wortbank nutzen. Kurs-I-Niveau: reduzierte Textmenge, Leitfragen, vorstrukturierte Verfahren und alltagsnahe Transferaufgaben.</x:v>
      </x:c>
      <x:c r="F251" s="115" t="str">
        <x:v>Lesetagebuch oder podcast eigenständig, textnah und sprachlich variabel gestalten; Wirkung bewusst planen. Kurs-II-Niveau: komplexere Texte, selbstständige Verfahren, Fachbegriffe und vertiefte Deutung oder Bewertung.</x:v>
      </x:c>
      <x:c r="G251" s="115" t="str">
        <x:v>de_k7_st55_roman_produkt</x:v>
      </x:c>
      <x:c r="H251" s="176" t="e">
        <x:f>HYPERLINK("schueler/de_k7_st55_roman_produkt_app.html","Lernmodul öffnen")</x:f>
      </x:c>
      <x:c r="I251" s="177" t="e">
        <x:f>HYPERLINK("lehrer/de_k7_st55_roman_produkt_orga.html","Vorbereitung öffnen")</x:f>
      </x:c>
    </x:row>
    <x:row r="252" ht="65" customHeight="1">
      <x:c r="A252" s="142" t="n">
        <x:v>7</x:v>
      </x:c>
      <x:c r="B252" s="115" t="str">
        <x:v>Sprechen und Zuhören</x:v>
      </x:c>
      <x:c r="C252" s="148" t="n">
        <x:v>56</x:v>
      </x:c>
      <x:c r="D252" s="115" t="str">
        <x:v>Jugendroman und Lebenswelt: Ergebnisse präsentieren und reflektieren</x:v>
      </x:c>
      <x:c r="E252" s="115" t="str">
        <x:v>Ergebnis kurz vorstellen; zwei vereinbarte Kriterien für Rückmeldung anwenden. Kurs-I-Niveau: reduzierte Textmenge, Leitfragen, vorstrukturierte Verfahren und alltagsnahe Transferaufgaben.</x:v>
      </x:c>
      <x:c r="F252" s="115" t="str">
        <x:v>Ergebnis adressatenbezogen präsentieren; Rückmeldungen begründen und die eigene Deutung oder Gestaltung überarbeiten. Kurs-II-Niveau: komplexere Texte, selbstständige Verfahren, Fachbegriffe und vertiefte Deutung oder Bewertung.</x:v>
      </x:c>
      <x:c r="G252" s="115" t="str">
        <x:v>de_k7_st56_roman_praesentieren</x:v>
      </x:c>
      <x:c r="H252" s="176" t="e">
        <x:f>HYPERLINK("schueler/de_k7_st56_roman_praesentieren_app.html","Lernmodul öffnen")</x:f>
      </x:c>
      <x:c r="I252" s="177" t="e">
        <x:f>HYPERLINK("lehrer/de_k7_st56_roman_praesentieren_orga.html","Vorbereitung öffnen")</x:f>
      </x:c>
    </x:row>
    <x:row r="253" ht="65" customHeight="1">
      <x:c r="A253" s="142" t="n">
        <x:v>7</x:v>
      </x:c>
      <x:c r="B253" s="115" t="str">
        <x:v>Lesen/Umgang mit Texten</x:v>
      </x:c>
      <x:c r="C253" s="148" t="n">
        <x:v>57</x:v>
      </x:c>
      <x:c r="D253" s="115" t="str">
        <x:v>Reportage und lebendiger Bericht: Beispieltexte untersuchen</x:v>
      </x:c>
      <x:c r="E253" s="115" t="str">
        <x:v>Ein Beispiel für Bericht und Reportage lesen; Aufbau und typische Formulierungen farbig kennzeichnen. Kurs-I-Niveau: reduzierte Textmenge, Leitfragen, vorstrukturierte Verfahren und alltagsnahe Transferaufgaben.</x:v>
      </x:c>
      <x:c r="F253" s="115" t="str">
        <x:v>Mehrere Beispiele für Bericht und Reportage vergleichen; Funktion, Adressat und Qualitätsunterschiede herausarbeiten. Kurs-II-Niveau: komplexere Texte, selbstständige Verfahren, Fachbegriffe und vertiefte Deutung oder Bewertung.</x:v>
      </x:c>
      <x:c r="G253" s="115" t="str">
        <x:v>de_k7_st57_reportage_beispiel</x:v>
      </x:c>
      <x:c r="H253" s="176" t="e">
        <x:f>HYPERLINK("schueler/de_k7_st57_reportage_beispiel_app.html","Lernmodul öffnen")</x:f>
      </x:c>
      <x:c r="I253" s="177" t="e">
        <x:f>HYPERLINK("lehrer/de_k7_st57_reportage_beispiel_orga.html","Vorbereitung öffnen")</x:f>
      </x:c>
    </x:row>
    <x:row r="254" ht="65" customHeight="1">
      <x:c r="A254" s="142" t="n">
        <x:v>7</x:v>
      </x:c>
      <x:c r="B254" s="115" t="str">
        <x:v>Schreiben</x:v>
      </x:c>
      <x:c r="C254" s="148" t="n">
        <x:v>58</x:v>
      </x:c>
      <x:c r="D254" s="115" t="str">
        <x:v>Reportage und lebendiger Bericht: Schreibziel und Kriterien klären</x:v>
      </x:c>
      <x:c r="E254" s="115" t="str">
        <x:v>Schreibziel „Fakten korrekt und anschaulich darstellen“ verstehen; eine kurze Kriterienliste auf ein Beispiel anwenden. Kurs-I-Niveau: reduzierte Textmenge, Leitfragen, vorstrukturierte Verfahren und alltagsnahe Transferaufgaben.</x:v>
      </x:c>
      <x:c r="F254" s="115" t="str">
        <x:v>Schreibziel „Fakten korrekt und anschaulich darstellen“ präzisieren; Kriterien gewichten und auf unterschiedliche Schreibsituationen übertragen. Kurs-II-Niveau: komplexere Texte, selbstständige Verfahren, Fachbegriffe und vertiefte Deutung oder Bewertung.</x:v>
      </x:c>
      <x:c r="G254" s="115" t="str">
        <x:v>de_k7_st58_reportage_kriterien</x:v>
      </x:c>
      <x:c r="H254" s="176" t="e">
        <x:f>HYPERLINK("schueler/de_k7_st58_reportage_kriterien_app.html","Lernmodul öffnen")</x:f>
      </x:c>
      <x:c r="I254" s="177" t="e">
        <x:f>HYPERLINK("lehrer/de_k7_st58_reportage_kriterien_orga.html","Vorbereitung öffnen")</x:f>
      </x:c>
    </x:row>
    <x:row r="255" ht="65" customHeight="1">
      <x:c r="A255" s="142" t="n">
        <x:v>7</x:v>
      </x:c>
      <x:c r="B255" s="115" t="str">
        <x:v>Lesen/Umgang mit Texten</x:v>
      </x:c>
      <x:c r="C255" s="148" t="n">
        <x:v>59</x:v>
      </x:c>
      <x:c r="D255" s="115" t="str">
        <x:v>Reportage und lebendiger Bericht: Inhalte auswählen und ordnen</x:v>
      </x:c>
      <x:c r="E255" s="115" t="str">
        <x:v>Recherche, Aufbau und Perspektive mit Leitfragen sammeln und in einer vorgegebenen Reihenfolge ordnen. Kurs-I-Niveau: reduzierte Textmenge, Leitfragen, vorstrukturierte Verfahren und alltagsnahe Transferaufgaben.</x:v>
      </x:c>
      <x:c r="F255" s="115" t="str">
        <x:v>Recherche, Aufbau und Perspektive selbstständig auswählen, gewichten und in einer passenden Gliederung strukturieren. Kurs-II-Niveau: komplexere Texte, selbstständige Verfahren, Fachbegriffe und vertiefte Deutung oder Bewertung.</x:v>
      </x:c>
      <x:c r="G255" s="115" t="str">
        <x:v>de_k7_st59_reportage_inhalte_ordnen</x:v>
      </x:c>
      <x:c r="H255" s="176" t="e">
        <x:f>HYPERLINK("schueler/de_k7_st59_reportage_inhalte_ordnen_app.html","Lernmodul öffnen")</x:f>
      </x:c>
      <x:c r="I255" s="177" t="e">
        <x:f>HYPERLINK("lehrer/de_k7_st59_reportage_inhalte_ordnen_orga.html","Vorbereitung öffnen")</x:f>
      </x:c>
    </x:row>
    <x:row r="256" ht="65" customHeight="1">
      <x:c r="A256" s="142" t="n">
        <x:v>7</x:v>
      </x:c>
      <x:c r="B256" s="115" t="str">
        <x:v>Sprache untersuchen</x:v>
      </x:c>
      <x:c r="C256" s="148" t="n">
        <x:v>60</x:v>
      </x:c>
      <x:c r="D256" s="115" t="str">
        <x:v>Reportage und lebendiger Bericht: passende sprachliche Mittel verwenden</x:v>
      </x:c>
      <x:c r="E256" s="115" t="str">
        <x:v>szenischer Einstieg, Zitate, beschreibende Passagen in Übungen erkennen und nach Satzmustern anwenden. Kurs-I-Niveau: reduzierte Textmenge, Leitfragen, vorstrukturierte Verfahren und alltagsnahe Transferaufgaben.</x:v>
      </x:c>
      <x:c r="F256" s="115" t="str">
        <x:v>szenischer Einstieg, Zitate, beschreibende Passagen hinsichtlich Wirkung und Angemessenheit prüfen und gezielt variieren. Kurs-II-Niveau: komplexere Texte, selbstständige Verfahren, Fachbegriffe und vertiefte Deutung oder Bewertung.</x:v>
      </x:c>
      <x:c r="G256" s="115" t="str">
        <x:v>de_k7_st60_reportage_sprachmittel</x:v>
      </x:c>
      <x:c r="H256" s="176" t="e">
        <x:f>HYPERLINK("schueler/de_k7_st60_reportage_sprachmittel_app.html","Lernmodul öffnen")</x:f>
      </x:c>
      <x:c r="I256" s="177" t="e">
        <x:f>HYPERLINK("lehrer/de_k7_st60_reportage_sprachmittel_orga.html","Vorbereitung öffnen")</x:f>
      </x:c>
    </x:row>
    <x:row r="257" ht="65" customHeight="1">
      <x:c r="A257" s="142" t="n">
        <x:v>7</x:v>
      </x:c>
      <x:c r="B257" s="115" t="str">
        <x:v>Schreiben</x:v>
      </x:c>
      <x:c r="C257" s="148" t="n">
        <x:v>61</x:v>
      </x:c>
      <x:c r="D257" s="115" t="str">
        <x:v>Reportage und lebendiger Bericht: einen Schreibplan erstellen</x:v>
      </x:c>
      <x:c r="E257" s="115" t="str">
        <x:v>Einen vorstrukturierten Schreibplan ausfüllen; Einleitung, Hauptteil und Schluss festlegen. Kurs-I-Niveau: reduzierte Textmenge, Leitfragen, vorstrukturierte Verfahren und alltagsnahe Transferaufgaben.</x:v>
      </x:c>
      <x:c r="F257" s="115" t="str">
        <x:v>Einen eigenen Schreibplan mit Teilzielen, Belegen und sprachlichen Mitteln entwickeln. Kurs-II-Niveau: komplexere Texte, selbstständige Verfahren, Fachbegriffe und vertiefte Deutung oder Bewertung.</x:v>
      </x:c>
      <x:c r="G257" s="115" t="str">
        <x:v>de_k7_st61_reportage_schreibplan</x:v>
      </x:c>
      <x:c r="H257" s="176" t="e">
        <x:f>HYPERLINK("schueler/de_k7_st61_reportage_schreibplan_app.html","Lernmodul öffnen")</x:f>
      </x:c>
      <x:c r="I257" s="177" t="e">
        <x:f>HYPERLINK("lehrer/de_k7_st61_reportage_schreibplan_orga.html","Vorbereitung öffnen")</x:f>
      </x:c>
    </x:row>
    <x:row r="258" ht="65" customHeight="1">
      <x:c r="A258" s="142" t="n">
        <x:v>7</x:v>
      </x:c>
      <x:c r="B258" s="115" t="str">
        <x:v>Schreiben</x:v>
      </x:c>
      <x:c r="C258" s="148" t="n">
        <x:v>62</x:v>
      </x:c>
      <x:c r="D258" s="115" t="str">
        <x:v>Reportage und lebendiger Bericht: einen ersten Textentwurf verfassen</x:v>
      </x:c>
      <x:c r="E258" s="115" t="str">
        <x:v>Schulreportage mithilfe von Schreibrahmen, Satzanfängen und Wortbank verfassen. Kurs-I-Niveau: reduzierte Textmenge, Leitfragen, vorstrukturierte Verfahren und alltagsnahe Transferaufgaben.</x:v>
      </x:c>
      <x:c r="F258" s="115" t="str">
        <x:v>Schulreportage selbstständig, adressatenbezogen und sprachlich differenziert verfassen. Kurs-II-Niveau: komplexere Texte, selbstständige Verfahren, Fachbegriffe und vertiefte Deutung oder Bewertung.</x:v>
      </x:c>
      <x:c r="G258" s="115" t="str">
        <x:v>de_k7_st62_reportage_entwurf</x:v>
      </x:c>
      <x:c r="H258" s="176" t="e">
        <x:f>HYPERLINK("schueler/de_k7_st62_reportage_entwurf_app.html","Lernmodul öffnen")</x:f>
      </x:c>
      <x:c r="I258" s="177" t="e">
        <x:f>HYPERLINK("lehrer/de_k7_st62_reportage_entwurf_orga.html","Vorbereitung öffnen")</x:f>
      </x:c>
    </x:row>
    <x:row r="259" ht="65" customHeight="1">
      <x:c r="A259" s="142" t="n">
        <x:v>7</x:v>
      </x:c>
      <x:c r="B259" s="115" t="str">
        <x:v>Schreiben</x:v>
      </x:c>
      <x:c r="C259" s="148" t="n">
        <x:v>63</x:v>
      </x:c>
      <x:c r="D259" s="115" t="str">
        <x:v>Reportage und lebendiger Bericht: Text kriteriengeleitet überarbeiten</x:v>
      </x:c>
      <x:c r="E259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259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259" s="115" t="str">
        <x:v>de_k7_st63_reportage_ueberarbeiten</x:v>
      </x:c>
      <x:c r="H259" s="176" t="e">
        <x:f>HYPERLINK("schueler/de_k7_st63_reportage_ueberarbeiten_app.html","Lernmodul öffnen")</x:f>
      </x:c>
      <x:c r="I259" s="177" t="e">
        <x:f>HYPERLINK("lehrer/de_k7_st63_reportage_ueberarbeiten_orga.html","Vorbereitung öffnen")</x:f>
      </x:c>
    </x:row>
    <x:row r="260" ht="65" customHeight="1">
      <x:c r="A260" s="142" t="n">
        <x:v>7</x:v>
      </x:c>
      <x:c r="B260" s="115" t="str">
        <x:v>Sprechen und Zuhören</x:v>
      </x:c>
      <x:c r="C260" s="148" t="n">
        <x:v>64</x:v>
      </x:c>
      <x:c r="D260" s="115" t="str">
        <x:v>Reportage und lebendiger Bericht: Texte vorstellen und bewerten</x:v>
      </x:c>
      <x:c r="E260" s="115" t="str">
        <x:v>Ausgewählte Passage vorlesen oder erläutern; Rückmeldung mit einfachen Satzmustern geben. Kurs-I-Niveau: reduzierte Textmenge, Leitfragen, vorstrukturierte Verfahren und alltagsnahe Transferaufgaben.</x:v>
      </x:c>
      <x:c r="F260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260" s="115" t="str">
        <x:v>de_k7_st64_reportage_vorstellen</x:v>
      </x:c>
      <x:c r="H260" s="176" t="e">
        <x:f>HYPERLINK("schueler/de_k7_st64_reportage_vorstellen_app.html","Lernmodul öffnen")</x:f>
      </x:c>
      <x:c r="I260" s="177" t="e">
        <x:f>HYPERLINK("lehrer/de_k7_st64_reportage_vorstellen_orga.html","Vorbereitung öffnen")</x:f>
      </x:c>
    </x:row>
    <x:row r="261" ht="65" customHeight="1">
      <x:c r="A261" s="142" t="n">
        <x:v>7</x:v>
      </x:c>
      <x:c r="B261" s="115" t="str">
        <x:v>Sprechen und Zuhören</x:v>
      </x:c>
      <x:c r="C261" s="148" t="n">
        <x:v>65</x:v>
      </x:c>
      <x:c r="D261" s="115" t="str">
        <x:v>Werbung analysieren: Vorwissen und Positionen klären</x:v>
      </x:c>
      <x:c r="E261" s="115" t="str">
        <x:v>Eigene Erfahrungen zu Werbeanzeigen, Spots und Influencer-Werbung benennen; zentrale Begriffe mit Beispielen klären. Kurs-I-Niveau: reduzierte Textmenge, Leitfragen, vorstrukturierte Verfahren und alltagsnahe Transferaufgaben.</x:v>
      </x:c>
      <x:c r="F261" s="115" t="str">
        <x:v>Vorwissen zu Werbeanzeigen, Spots und Influencer-Werbung strukturieren; erste Positionen formulieren und mögliche Konflikte benennen. Kurs-II-Niveau: komplexere Texte, selbstständige Verfahren, Fachbegriffe und vertiefte Deutung oder Bewertung.</x:v>
      </x:c>
      <x:c r="G261" s="115" t="str">
        <x:v>de_k7_st65_werbung_einstieg</x:v>
      </x:c>
      <x:c r="H261" s="176" t="e">
        <x:f>HYPERLINK("schueler/de_k7_st65_werbung_einstieg_app.html","Lernmodul öffnen")</x:f>
      </x:c>
      <x:c r="I261" s="177" t="e">
        <x:f>HYPERLINK("lehrer/de_k7_st65_werbung_einstieg_orga.html","Vorbereitung öffnen")</x:f>
      </x:c>
    </x:row>
    <x:row r="262" ht="65" customHeight="1">
      <x:c r="A262" s="142" t="n">
        <x:v>7</x:v>
      </x:c>
      <x:c r="B262" s="115" t="str">
        <x:v>Lesen/Umgang mit Texten</x:v>
      </x:c>
      <x:c r="C262" s="148" t="n">
        <x:v>66</x:v>
      </x:c>
      <x:c r="D262" s="115" t="str">
        <x:v>Werbung analysieren: Quellen und Materialien erschließen</x:v>
      </x:c>
      <x:c r="E262" s="115" t="str">
        <x:v>Kurze Materialien lesen oder ansehen; Hauptaussagen mit Leitfragen festhalten. Kurs-I-Niveau: reduzierte Textmenge, Leitfragen, vorstrukturierte Verfahren und alltagsnahe Transferaufgaben.</x:v>
      </x:c>
      <x:c r="F262" s="115" t="str">
        <x:v>Unterschiedliche Materialien selbstständig erschließen; Aussage, Intention und Kontext bestimmen. Kurs-II-Niveau: komplexere Texte, selbstständige Verfahren, Fachbegriffe und vertiefte Deutung oder Bewertung.</x:v>
      </x:c>
      <x:c r="G262" s="115" t="str">
        <x:v>de_k7_st66_werbung_quellen</x:v>
      </x:c>
      <x:c r="H262" s="176" t="e">
        <x:f>HYPERLINK("schueler/de_k7_st66_werbung_quellen_app.html","Lernmodul öffnen")</x:f>
      </x:c>
      <x:c r="I262" s="177" t="e">
        <x:f>HYPERLINK("lehrer/de_k7_st66_werbung_quellen_orga.html","Vorbereitung öffnen")</x:f>
      </x:c>
    </x:row>
    <x:row r="263" ht="65" customHeight="1">
      <x:c r="A263" s="142" t="n">
        <x:v>7</x:v>
      </x:c>
      <x:c r="B263" s="115" t="str">
        <x:v>Lesen/Umgang mit Texten</x:v>
      </x:c>
      <x:c r="C263" s="148" t="n">
        <x:v>67</x:v>
      </x:c>
      <x:c r="D263" s="115" t="str">
        <x:v>Werbung analysieren: Qualitätskriterien anwenden</x:v>
      </x:c>
      <x:c r="E263" s="115" t="str">
        <x:v>Produkt, Zielgruppe, Botschaft und Kennzeichnung in einer Checkliste anwenden und Auffälligkeiten markieren. Kurs-I-Niveau: reduzierte Textmenge, Leitfragen, vorstrukturierte Verfahren und alltagsnahe Transferaufgaben.</x:v>
      </x:c>
      <x:c r="F263" s="115" t="str">
        <x:v>Produkt, Zielgruppe, Botschaft und Kennzeichnung gewichten, auf Grenzfälle anwenden und begründete Qualitätsurteile formulieren. Kurs-II-Niveau: komplexere Texte, selbstständige Verfahren, Fachbegriffe und vertiefte Deutung oder Bewertung.</x:v>
      </x:c>
      <x:c r="G263" s="115" t="str">
        <x:v>de_k7_st67_werbung_kriterien</x:v>
      </x:c>
      <x:c r="H263" s="176" t="e">
        <x:f>HYPERLINK("schueler/de_k7_st67_werbung_kriterien_app.html","Lernmodul öffnen")</x:f>
      </x:c>
      <x:c r="I263" s="177" t="e">
        <x:f>HYPERLINK("lehrer/de_k7_st67_werbung_kriterien_orga.html","Vorbereitung öffnen")</x:f>
      </x:c>
    </x:row>
    <x:row r="264" ht="65" customHeight="1">
      <x:c r="A264" s="142" t="n">
        <x:v>7</x:v>
      </x:c>
      <x:c r="B264" s="115" t="str">
        <x:v>Lesen/Umgang mit Texten</x:v>
      </x:c>
      <x:c r="C264" s="148" t="n">
        <x:v>68</x:v>
      </x:c>
      <x:c r="D264" s="115" t="str">
        <x:v>Werbung analysieren: Darstellungen vergleichen</x:v>
      </x:c>
      <x:c r="E264" s="115" t="str">
        <x:v>Printanzeige, video und social-media-beitrag nach vorgegebenen Merkmalen vergleichen. Kurs-I-Niveau: reduzierte Textmenge, Leitfragen, vorstrukturierte Verfahren und alltagsnahe Transferaufgaben.</x:v>
      </x:c>
      <x:c r="F264" s="115" t="str">
        <x:v>Printanzeige, video und social-media-beitrag hinsichtlich Informationsauswahl, Gestaltung, Wirkung und Interessen vergleichen. Kurs-II-Niveau: komplexere Texte, selbstständige Verfahren, Fachbegriffe und vertiefte Deutung oder Bewertung.</x:v>
      </x:c>
      <x:c r="G264" s="115" t="str">
        <x:v>de_k7_st68_werbung_vergleichen</x:v>
      </x:c>
      <x:c r="H264" s="176" t="e">
        <x:f>HYPERLINK("schueler/de_k7_st68_werbung_vergleichen_app.html","Lernmodul öffnen")</x:f>
      </x:c>
      <x:c r="I264" s="177" t="e">
        <x:f>HYPERLINK("lehrer/de_k7_st68_werbung_vergleichen_orga.html","Vorbereitung öffnen")</x:f>
      </x:c>
    </x:row>
    <x:row r="265" ht="65" customHeight="1">
      <x:c r="A265" s="142" t="n">
        <x:v>7</x:v>
      </x:c>
      <x:c r="B265" s="115" t="str">
        <x:v>Schreiben</x:v>
      </x:c>
      <x:c r="C265" s="148" t="n">
        <x:v>69</x:v>
      </x:c>
      <x:c r="D265" s="115" t="str">
        <x:v>Werbung analysieren: Informationen prüfen und ordnen</x:v>
      </x:c>
      <x:c r="E265" s="115" t="str">
        <x:v>Informationen aus vorgegebenen Quellen auswählen; Fundstellen notieren und geordnet ablegen. Kurs-I-Niveau: reduzierte Textmenge, Leitfragen, vorstrukturierte Verfahren und alltagsnahe Transferaufgaben.</x:v>
      </x:c>
      <x:c r="F265" s="115" t="str">
        <x:v>Recherchefrage entwickeln; Quellen prüfen, Informationen abgleichen und korrekt dokumentieren. Kurs-II-Niveau: komplexere Texte, selbstständige Verfahren, Fachbegriffe und vertiefte Deutung oder Bewertung.</x:v>
      </x:c>
      <x:c r="G265" s="115" t="str">
        <x:v>de_k7_st69_werbung_recherche</x:v>
      </x:c>
      <x:c r="H265" s="176" t="e">
        <x:f>HYPERLINK("schueler/de_k7_st69_werbung_recherche_app.html","Lernmodul öffnen")</x:f>
      </x:c>
      <x:c r="I265" s="177" t="e">
        <x:f>HYPERLINK("lehrer/de_k7_st69_werbung_recherche_orga.html","Vorbereitung öffnen")</x:f>
      </x:c>
    </x:row>
    <x:row r="266" ht="65" customHeight="1">
      <x:c r="A266" s="142" t="n">
        <x:v>7</x:v>
      </x:c>
      <x:c r="B266" s="115" t="str">
        <x:v>Schreiben</x:v>
      </x:c>
      <x:c r="C266" s="148" t="n">
        <x:v>70</x:v>
      </x:c>
      <x:c r="D266" s="115" t="str">
        <x:v>Werbung analysieren: Produkt planen</x:v>
      </x:c>
      <x:c r="E266" s="115" t="str">
        <x:v>Für Werbeanalyse einen vorgegebenen Arbeitsplan ergänzen; Aufgaben verteilen. Kurs-I-Niveau: reduzierte Textmenge, Leitfragen, vorstrukturierte Verfahren und alltagsnahe Transferaufgaben.</x:v>
      </x:c>
      <x:c r="F266" s="115" t="str">
        <x:v>Für Werbeanalyse Zielgruppe, Aufbau, Medienwahl, Zeitplan und Qualitätskontrolle selbstständig festlegen. Kurs-II-Niveau: komplexere Texte, selbstständige Verfahren, Fachbegriffe und vertiefte Deutung oder Bewertung.</x:v>
      </x:c>
      <x:c r="G266" s="115" t="str">
        <x:v>de_k7_st70_werbung_planen</x:v>
      </x:c>
      <x:c r="H266" s="176" t="e">
        <x:f>HYPERLINK("schueler/de_k7_st70_werbung_planen_app.html","Lernmodul öffnen")</x:f>
      </x:c>
      <x:c r="I266" s="177" t="e">
        <x:f>HYPERLINK("lehrer/de_k7_st70_werbung_planen_orga.html","Vorbereitung öffnen")</x:f>
      </x:c>
    </x:row>
    <x:row r="267" ht="65" customHeight="1">
      <x:c r="A267" s="142" t="n">
        <x:v>7</x:v>
      </x:c>
      <x:c r="B267" s="115" t="str">
        <x:v>Schreiben</x:v>
      </x:c>
      <x:c r="C267" s="148" t="n">
        <x:v>71</x:v>
      </x:c>
      <x:c r="D267" s="115" t="str">
        <x:v>Werbung analysieren: Produkt erstellen</x:v>
      </x:c>
      <x:c r="E267" s="115" t="str">
        <x:v>Werbeanalyse mit Vorlage und klaren Teilaufträgen erstellen. Kurs-I-Niveau: reduzierte Textmenge, Leitfragen, vorstrukturierte Verfahren und alltagsnahe Transferaufgaben.</x:v>
      </x:c>
      <x:c r="F267" s="115" t="str">
        <x:v>Werbeanalyse selbstständig, adressatengerecht und quellenbewusst erstellen. Kurs-II-Niveau: komplexere Texte, selbstständige Verfahren, Fachbegriffe und vertiefte Deutung oder Bewertung.</x:v>
      </x:c>
      <x:c r="G267" s="115" t="str">
        <x:v>de_k7_st71_werbung_erstellen</x:v>
      </x:c>
      <x:c r="H267" s="176" t="e">
        <x:f>HYPERLINK("schueler/de_k7_st71_werbung_erstellen_app.html","Lernmodul öffnen")</x:f>
      </x:c>
      <x:c r="I267" s="177" t="e">
        <x:f>HYPERLINK("lehrer/de_k7_st71_werbung_erstellen_orga.html","Vorbereitung öffnen")</x:f>
      </x:c>
    </x:row>
    <x:row r="268" ht="65" customHeight="1">
      <x:c r="A268" s="142" t="n">
        <x:v>7</x:v>
      </x:c>
      <x:c r="B268" s="115" t="str">
        <x:v>Sprechen und Zuhören</x:v>
      </x:c>
      <x:c r="C268" s="148" t="n">
        <x:v>72</x:v>
      </x:c>
      <x:c r="D268" s="115" t="str">
        <x:v>Werbung analysieren: präsentieren und reflektieren</x:v>
      </x:c>
      <x:c r="E268" s="115" t="str">
        <x:v>Produkt kurz vorstellen; Rückmeldung anhand weniger Kriterien geben und annehmen. Kurs-I-Niveau: reduzierte Textmenge, Leitfragen, vorstrukturierte Verfahren und alltagsnahe Transferaufgaben.</x:v>
      </x:c>
      <x:c r="F268" s="115" t="str">
        <x:v>Produkt überzeugend präsentieren; Arbeitsprozess, Quellenwahl und Wirkung kritisch reflektieren. Kurs-II-Niveau: komplexere Texte, selbstständige Verfahren, Fachbegriffe und vertiefte Deutung oder Bewertung.</x:v>
      </x:c>
      <x:c r="G268" s="115" t="str">
        <x:v>de_k7_st72_werbung_reflexion</x:v>
      </x:c>
      <x:c r="H268" s="176" t="e">
        <x:f>HYPERLINK("schueler/de_k7_st72_werbung_reflexion_app.html","Lernmodul öffnen")</x:f>
      </x:c>
      <x:c r="I268" s="177" t="e">
        <x:f>HYPERLINK("lehrer/de_k7_st72_werbung_reflexion_orga.html","Vorbereitung öffnen")</x:f>
      </x:c>
    </x:row>
    <x:row r="269" ht="65" customHeight="1">
      <x:c r="A269" s="142" t="n">
        <x:v>7</x:v>
      </x:c>
      <x:c r="B269" s="115" t="str">
        <x:v>Sprache untersuchen</x:v>
      </x:c>
      <x:c r="C269" s="148" t="n">
        <x:v>73</x:v>
      </x:c>
      <x:c r="D269" s="115" t="str">
        <x:v>Zeichensetzung und Fremdwörter: Lernstand feststellen</x:v>
      </x:c>
      <x:c r="E269" s="115" t="str">
        <x:v>Kurze Diagnose zu Komma, direkte Rede und Fremdwortschreibung bearbeiten; eigene Unsicherheiten markieren. Kurs-I-Niveau: reduzierte Textmenge, Leitfragen, vorstrukturierte Verfahren und alltagsnahe Transferaufgaben.</x:v>
      </x:c>
      <x:c r="F269" s="115" t="str">
        <x:v>Diagnose zu Komma, direkte Rede und Fremdwortschreibung auswerten; Fehlermuster benennen und persönliche Lernziele ableiten. Kurs-II-Niveau: komplexere Texte, selbstständige Verfahren, Fachbegriffe und vertiefte Deutung oder Bewertung.</x:v>
      </x:c>
      <x:c r="G269" s="115" t="str">
        <x:v>de_k7_st73_zeichensetzung_diagnose</x:v>
      </x:c>
      <x:c r="H269" s="176" t="e">
        <x:f>HYPERLINK("schueler/de_k7_st73_zeichensetzung_diagnose_app.html","Lernmodul öffnen")</x:f>
      </x:c>
      <x:c r="I269" s="177" t="e">
        <x:f>HYPERLINK("lehrer/de_k7_st73_zeichensetzung_diagnose_orga.html","Vorbereitung öffnen")</x:f>
      </x:c>
    </x:row>
    <x:row r="270" ht="65" customHeight="1">
      <x:c r="A270" s="142" t="n">
        <x:v>7</x:v>
      </x:c>
      <x:c r="B270" s="115" t="str">
        <x:v>Sprache untersuchen</x:v>
      </x:c>
      <x:c r="C270" s="148" t="n">
        <x:v>74</x:v>
      </x:c>
      <x:c r="D270" s="115" t="str">
        <x:v>Zeichensetzung und Fremdwörter: Grundbegriffe sichern</x:v>
      </x:c>
      <x:c r="E270" s="115" t="str">
        <x:v>Satzgrenzen, Aufzählungen, Anrede und Wortbausteine an einfachen Beispielen erkennen und mit Merkkarten sichern. Kurs-I-Niveau: reduzierte Textmenge, Leitfragen, vorstrukturierte Verfahren und alltagsnahe Transferaufgaben.</x:v>
      </x:c>
      <x:c r="F270" s="115" t="str">
        <x:v>Satzgrenzen, Aufzählungen, Anrede und Wortbausteine fachsprachlich erklären, voneinander abgrenzen und in komplexeren Beispielen bestimmen. Kurs-II-Niveau: komplexere Texte, selbstständige Verfahren, Fachbegriffe und vertiefte Deutung oder Bewertung.</x:v>
      </x:c>
      <x:c r="G270" s="115" t="str">
        <x:v>de_k7_st74_zeichensetzung_grundbegriffe</x:v>
      </x:c>
      <x:c r="H270" s="176" t="e">
        <x:f>HYPERLINK("schueler/de_k7_st74_zeichensetzung_grundbegriffe_app.html","Lernmodul öffnen")</x:f>
      </x:c>
      <x:c r="I270" s="177" t="e">
        <x:f>HYPERLINK("lehrer/de_k7_st74_zeichensetzung_grundbegriffe_orga.html","Vorbereitung öffnen")</x:f>
      </x:c>
    </x:row>
    <x:row r="271" ht="65" customHeight="1">
      <x:c r="A271" s="142" t="n">
        <x:v>7</x:v>
      </x:c>
      <x:c r="B271" s="115" t="str">
        <x:v>Sprache untersuchen</x:v>
      </x:c>
      <x:c r="C271" s="148" t="n">
        <x:v>75</x:v>
      </x:c>
      <x:c r="D271" s="115" t="str">
        <x:v>Zeichensetzung und Fremdwörter: Verfahren anwenden</x:v>
      </x:c>
      <x:c r="E271" s="115" t="str">
        <x:v>grammatische Proben Schritt für Schritt anwenden; Entscheidungen mündlich begründen. Kurs-I-Niveau: reduzierte Textmenge, Leitfragen, vorstrukturierte Verfahren und alltagsnahe Transferaufgaben.</x:v>
      </x:c>
      <x:c r="F271" s="115" t="str">
        <x:v>grammatische Proben selbstständig auswählen, kombinieren und auf Zweifelsfälle übertragen. Kurs-II-Niveau: komplexere Texte, selbstständige Verfahren, Fachbegriffe und vertiefte Deutung oder Bewertung.</x:v>
      </x:c>
      <x:c r="G271" s="115" t="str">
        <x:v>de_k7_st75_zeichensetzung_verfahren</x:v>
      </x:c>
      <x:c r="H271" s="176" t="e">
        <x:f>HYPERLINK("schueler/de_k7_st75_zeichensetzung_verfahren_app.html","Lernmodul öffnen")</x:f>
      </x:c>
      <x:c r="I271" s="177" t="e">
        <x:f>HYPERLINK("lehrer/de_k7_st75_zeichensetzung_verfahren_orga.html","Vorbereitung öffnen")</x:f>
      </x:c>
    </x:row>
    <x:row r="272" ht="65" customHeight="1">
      <x:c r="A272" s="142" t="n">
        <x:v>7</x:v>
      </x:c>
      <x:c r="B272" s="115" t="str">
        <x:v>Sprache untersuchen</x:v>
      </x:c>
      <x:c r="C272" s="148" t="n">
        <x:v>76</x:v>
      </x:c>
      <x:c r="D272" s="115" t="str">
        <x:v>Zeichensetzung und Fremdwörter: Formen und Funktionen untersuchen</x:v>
      </x:c>
      <x:c r="E272" s="115" t="str">
        <x:v>Formen bilden und ihre Aufgabe im Satz mit Leitfragen beschreiben. Kurs-I-Niveau: reduzierte Textmenge, Leitfragen, vorstrukturierte Verfahren und alltagsnahe Transferaufgaben.</x:v>
      </x:c>
      <x:c r="F272" s="115" t="str">
        <x:v>Form, Funktion und Wirkung im Satz oder Text untersuchen; alternative Formulierungen vergleichen. Kurs-II-Niveau: komplexere Texte, selbstständige Verfahren, Fachbegriffe und vertiefte Deutung oder Bewertung.</x:v>
      </x:c>
      <x:c r="G272" s="115" t="str">
        <x:v>de_k7_st76_zeichensetzung_funktion</x:v>
      </x:c>
      <x:c r="H272" s="176" t="e">
        <x:f>HYPERLINK("schueler/de_k7_st76_zeichensetzung_funktion_app.html","Lernmodul öffnen")</x:f>
      </x:c>
      <x:c r="I272" s="177" t="e">
        <x:f>HYPERLINK("lehrer/de_k7_st76_zeichensetzung_funktion_orga.html","Vorbereitung öffnen")</x:f>
      </x:c>
    </x:row>
    <x:row r="273" ht="65" customHeight="1">
      <x:c r="A273" s="142" t="n">
        <x:v>7</x:v>
      </x:c>
      <x:c r="B273" s="115" t="str">
        <x:v>Schreiben</x:v>
      </x:c>
      <x:c r="C273" s="148" t="n">
        <x:v>77</x:v>
      </x:c>
      <x:c r="D273" s="115" t="str">
        <x:v>Zeichensetzung und Fremdwörter: Wissen im eigenen Text nutzen</x:v>
      </x:c>
      <x:c r="E273" s="115" t="str">
        <x:v>Eigene texte und fehlerschwerpunkte nach Vorgabe verfassen und die geübten Strukturen farbig markieren. Kurs-I-Niveau: reduzierte Textmenge, Leitfragen, vorstrukturierte Verfahren und alltagsnahe Transferaufgaben.</x:v>
      </x:c>
      <x:c r="F273" s="115" t="str">
        <x:v>Eigene texte und fehlerschwerpunkte bewusst gestalten und sprachliche Entscheidungen kommentieren. Kurs-II-Niveau: komplexere Texte, selbstständige Verfahren, Fachbegriffe und vertiefte Deutung oder Bewertung.</x:v>
      </x:c>
      <x:c r="G273" s="115" t="str">
        <x:v>de_k7_st77_zeichensetzung_anwenden</x:v>
      </x:c>
      <x:c r="H273" s="176" t="e">
        <x:f>HYPERLINK("schueler/de_k7_st77_zeichensetzung_anwenden_app.html","Lernmodul öffnen")</x:f>
      </x:c>
      <x:c r="I273" s="177" t="e">
        <x:f>HYPERLINK("lehrer/de_k7_st77_zeichensetzung_anwenden_orga.html","Vorbereitung öffnen")</x:f>
      </x:c>
    </x:row>
    <x:row r="274" ht="65" customHeight="1">
      <x:c r="A274" s="142" t="n">
        <x:v>7</x:v>
      </x:c>
      <x:c r="B274" s="115" t="str">
        <x:v>Sprache untersuchen</x:v>
      </x:c>
      <x:c r="C274" s="148" t="n">
        <x:v>78</x:v>
      </x:c>
      <x:c r="D274" s="115" t="str">
        <x:v>Zeichensetzung und Fremdwörter: Fehler finden und korrigieren</x:v>
      </x:c>
      <x:c r="E274" s="115" t="str">
        <x:v>Typische Fehler in kurzen Sätzen finden; passende Regelkarte auswählen und korrigieren. Kurs-I-Niveau: reduzierte Textmenge, Leitfragen, vorstrukturierte Verfahren und alltagsnahe Transferaufgaben.</x:v>
      </x:c>
      <x:c r="F274" s="115" t="str">
        <x:v>Fehler systematisch diagnostizieren, Regelbezug herstellen und mehrere Korrekturmöglichkeiten bewerten. Kurs-II-Niveau: komplexere Texte, selbstständige Verfahren, Fachbegriffe und vertiefte Deutung oder Bewertung.</x:v>
      </x:c>
      <x:c r="G274" s="115" t="str">
        <x:v>de_k7_st78_zeichensetzung_fehler</x:v>
      </x:c>
      <x:c r="H274" s="176" t="e">
        <x:f>HYPERLINK("schueler/de_k7_st78_zeichensetzung_fehler_app.html","Lernmodul öffnen")</x:f>
      </x:c>
      <x:c r="I274" s="177" t="e">
        <x:f>HYPERLINK("lehrer/de_k7_st78_zeichensetzung_fehler_orga.html","Vorbereitung öffnen")</x:f>
      </x:c>
    </x:row>
    <x:row r="275" ht="65" customHeight="1">
      <x:c r="A275" s="142" t="n">
        <x:v>7</x:v>
      </x:c>
      <x:c r="B275" s="115" t="str">
        <x:v>Sprache untersuchen</x:v>
      </x:c>
      <x:c r="C275" s="148" t="n">
        <x:v>79</x:v>
      </x:c>
      <x:c r="D275" s="115" t="str">
        <x:v>Zeichensetzung und Fremdwörter: Transfer auf unbekannte Beispiele</x:v>
      </x:c>
      <x:c r="E275" s="115" t="str">
        <x:v>Neue Beispiele mit Hilfekarte bearbeiten und Lösungen vergleichen. Kurs-I-Niveau: reduzierte Textmenge, Leitfragen, vorstrukturierte Verfahren und alltagsnahe Transferaufgaben.</x:v>
      </x:c>
      <x:c r="F275" s="115" t="str">
        <x:v>Unbekannte und mehrdeutige Beispiele selbstständig analysieren; Grenzfälle begründet diskutieren. Kurs-II-Niveau: komplexere Texte, selbstständige Verfahren, Fachbegriffe und vertiefte Deutung oder Bewertung.</x:v>
      </x:c>
      <x:c r="G275" s="115" t="str">
        <x:v>de_k7_st79_zeichensetzung_transfer</x:v>
      </x:c>
      <x:c r="H275" s="176" t="e">
        <x:f>HYPERLINK("schueler/de_k7_st79_zeichensetzung_transfer_app.html","Lernmodul öffnen")</x:f>
      </x:c>
      <x:c r="I275" s="177" t="e">
        <x:f>HYPERLINK("lehrer/de_k7_st79_zeichensetzung_transfer_orga.html","Vorbereitung öffnen")</x:f>
      </x:c>
    </x:row>
    <x:row r="276" ht="65" customHeight="1">
      <x:c r="A276" s="142" t="n">
        <x:v>7</x:v>
      </x:c>
      <x:c r="B276" s="115" t="str">
        <x:v>Schreiben</x:v>
      </x:c>
      <x:c r="C276" s="148" t="n">
        <x:v>80</x:v>
      </x:c>
      <x:c r="D276" s="115" t="str">
        <x:v>Zeichensetzung und Fremdwörter: Lernprodukt und Kompetenzcheck</x:v>
      </x:c>
      <x:c r="E276" s="115" t="str">
        <x:v>Merkblatt oder Übungstext erstellen; Grundregeln in einem kurzen Kompetenzcheck anwenden. Kurs-I-Niveau: reduzierte Textmenge, Leitfragen, vorstrukturierte Verfahren und alltagsnahe Transferaufgaben.</x:v>
      </x:c>
      <x:c r="F276" s="115" t="str">
        <x:v>Erklärprodukt mit eigenen Beispielen erstellen; Regeln in einem anspruchsvollen Kompetenzcheck sicher anwenden. Kurs-II-Niveau: komplexere Texte, selbstständige Verfahren, Fachbegriffe und vertiefte Deutung oder Bewertung.</x:v>
      </x:c>
      <x:c r="G276" s="115" t="str">
        <x:v>de_k7_st80_zeichensetzung_kompetenzcheck</x:v>
      </x:c>
      <x:c r="H276" s="176" t="e">
        <x:f>HYPERLINK("schueler/de_k7_st80_zeichensetzung_kompetenzcheck_app.html","Lernmodul öffnen")</x:f>
      </x:c>
      <x:c r="I276" s="177" t="e">
        <x:f>HYPERLINK("lehrer/de_k7_st80_zeichensetzung_kompetenzcheck_orga.html","Vorbereitung öffnen")</x:f>
      </x:c>
    </x:row>
    <x:row r="277" ht="65" customHeight="1">
      <x:c r="A277" s="142" t="n">
        <x:v>7</x:v>
      </x:c>
      <x:c r="B277" s="115" t="str">
        <x:v>Lesen/Umgang mit Texten</x:v>
      </x:c>
      <x:c r="C277" s="148" t="n">
        <x:v>81</x:v>
      </x:c>
      <x:c r="D277" s="115" t="str">
        <x:v>Offizielle Briefe und Reklamationen: Beispieltexte untersuchen</x:v>
      </x:c>
      <x:c r="E277" s="115" t="str">
        <x:v>Ein Beispiel für Anfrage, Beschwerde und Reklamation lesen; Aufbau und typische Formulierungen farbig kennzeichnen. Kurs-I-Niveau: reduzierte Textmenge, Leitfragen, vorstrukturierte Verfahren und alltagsnahe Transferaufgaben.</x:v>
      </x:c>
      <x:c r="F277" s="115" t="str">
        <x:v>Mehrere Beispiele für Anfrage, Beschwerde und Reklamation vergleichen; Funktion, Adressat und Qualitätsunterschiede herausarbeiten. Kurs-II-Niveau: komplexere Texte, selbstständige Verfahren, Fachbegriffe und vertiefte Deutung oder Bewertung.</x:v>
      </x:c>
      <x:c r="G277" s="115" t="str">
        <x:v>de_k7_st81_offizieller_brief_beispiel</x:v>
      </x:c>
      <x:c r="H277" s="176" t="e">
        <x:f>HYPERLINK("schueler/de_k7_st81_offizieller_brief_beispiel_app.html","Lernmodul öffnen")</x:f>
      </x:c>
      <x:c r="I277" s="177" t="e">
        <x:f>HYPERLINK("lehrer/de_k7_st81_offizieller_brief_beispiel_orga.html","Vorbereitung öffnen")</x:f>
      </x:c>
    </x:row>
    <x:row r="278" ht="65" customHeight="1">
      <x:c r="A278" s="142" t="n">
        <x:v>7</x:v>
      </x:c>
      <x:c r="B278" s="115" t="str">
        <x:v>Schreiben</x:v>
      </x:c>
      <x:c r="C278" s="148" t="n">
        <x:v>82</x:v>
      </x:c>
      <x:c r="D278" s="115" t="str">
        <x:v>Offizielle Briefe und Reklamationen: Schreibziel und Kriterien klären</x:v>
      </x:c>
      <x:c r="E278" s="115" t="str">
        <x:v>Schreibziel „ein Anliegen höflich, klar und vollständig formulieren“ verstehen; eine kurze Kriterienliste auf ein Beispiel anwenden. Kurs-I-Niveau: reduzierte Textmenge, Leitfragen, vorstrukturierte Verfahren und alltagsnahe Transferaufgaben.</x:v>
      </x:c>
      <x:c r="F278" s="115" t="str">
        <x:v>Schreibziel „ein Anliegen höflich, klar und vollständig formulieren“ präzisieren; Kriterien gewichten und auf unterschiedliche Schreibsituationen übertragen. Kurs-II-Niveau: komplexere Texte, selbstständige Verfahren, Fachbegriffe und vertiefte Deutung oder Bewertung.</x:v>
      </x:c>
      <x:c r="G278" s="115" t="str">
        <x:v>de_k7_st82_offizieller_brief_kriterien</x:v>
      </x:c>
      <x:c r="H278" s="176" t="e">
        <x:f>HYPERLINK("schueler/de_k7_st82_offizieller_brief_kriterien_app.html","Lernmodul öffnen")</x:f>
      </x:c>
      <x:c r="I278" s="177" t="e">
        <x:f>HYPERLINK("lehrer/de_k7_st82_offizieller_brief_kriterien_orga.html","Vorbereitung öffnen")</x:f>
      </x:c>
    </x:row>
    <x:row r="279" ht="65" customHeight="1">
      <x:c r="A279" s="142" t="n">
        <x:v>7</x:v>
      </x:c>
      <x:c r="B279" s="115" t="str">
        <x:v>Lesen/Umgang mit Texten</x:v>
      </x:c>
      <x:c r="C279" s="148" t="n">
        <x:v>83</x:v>
      </x:c>
      <x:c r="D279" s="115" t="str">
        <x:v>Offizielle Briefe und Reklamationen: Inhalte auswählen und ordnen</x:v>
      </x:c>
      <x:c r="E279" s="115" t="str">
        <x:v>Anlass, Forderung, Begründung, Nachweis mit Leitfragen sammeln und in einer vorgegebenen Reihenfolge ordnen. Kurs-I-Niveau: reduzierte Textmenge, Leitfragen, vorstrukturierte Verfahren und alltagsnahe Transferaufgaben.</x:v>
      </x:c>
      <x:c r="F279" s="115" t="str">
        <x:v>Anlass, Forderung, Begründung, Nachweis selbstständig auswählen, gewichten und in einer passenden Gliederung strukturieren. Kurs-II-Niveau: komplexere Texte, selbstständige Verfahren, Fachbegriffe und vertiefte Deutung oder Bewertung.</x:v>
      </x:c>
      <x:c r="G279" s="115" t="str">
        <x:v>de_k7_st83_offizieller_brief_inhalte_ordnen</x:v>
      </x:c>
      <x:c r="H279" s="176" t="e">
        <x:f>HYPERLINK("schueler/de_k7_st83_offizieller_brief_inhalte_ordnen_app.html","Lernmodul öffnen")</x:f>
      </x:c>
      <x:c r="I279" s="177" t="e">
        <x:f>HYPERLINK("lehrer/de_k7_st83_offizieller_brief_inhalte_ordnen_orga.html","Vorbereitung öffnen")</x:f>
      </x:c>
    </x:row>
    <x:row r="280" ht="65" customHeight="1">
      <x:c r="A280" s="142" t="n">
        <x:v>7</x:v>
      </x:c>
      <x:c r="B280" s="115" t="str">
        <x:v>Sprache untersuchen</x:v>
      </x:c>
      <x:c r="C280" s="148" t="n">
        <x:v>84</x:v>
      </x:c>
      <x:c r="D280" s="115" t="str">
        <x:v>Offizielle Briefe und Reklamationen: passende sprachliche Mittel verwenden</x:v>
      </x:c>
      <x:c r="E280" s="115" t="str">
        <x:v>formelle Anrede, sachlicher Ton, klare Absätze in Übungen erkennen und nach Satzmustern anwenden. Kurs-I-Niveau: reduzierte Textmenge, Leitfragen, vorstrukturierte Verfahren und alltagsnahe Transferaufgaben.</x:v>
      </x:c>
      <x:c r="F280" s="115" t="str">
        <x:v>formelle Anrede, sachlicher Ton, klare Absätze hinsichtlich Wirkung und Angemessenheit prüfen und gezielt variieren. Kurs-II-Niveau: komplexere Texte, selbstständige Verfahren, Fachbegriffe und vertiefte Deutung oder Bewertung.</x:v>
      </x:c>
      <x:c r="G280" s="115" t="str">
        <x:v>de_k7_st84_offizieller_brief_sprachmittel</x:v>
      </x:c>
      <x:c r="H280" s="176" t="e">
        <x:f>HYPERLINK("schueler/de_k7_st84_offizieller_brief_sprachmittel_app.html","Lernmodul öffnen")</x:f>
      </x:c>
      <x:c r="I280" s="177" t="e">
        <x:f>HYPERLINK("lehrer/de_k7_st84_offizieller_brief_sprachmittel_orga.html","Vorbereitung öffnen")</x:f>
      </x:c>
    </x:row>
    <x:row r="281" ht="65" customHeight="1">
      <x:c r="A281" s="142" t="n">
        <x:v>7</x:v>
      </x:c>
      <x:c r="B281" s="115" t="str">
        <x:v>Schreiben</x:v>
      </x:c>
      <x:c r="C281" s="148" t="n">
        <x:v>85</x:v>
      </x:c>
      <x:c r="D281" s="115" t="str">
        <x:v>Offizielle Briefe und Reklamationen: einen Schreibplan erstellen</x:v>
      </x:c>
      <x:c r="E281" s="115" t="str">
        <x:v>Einen vorstrukturierten Schreibplan ausfüllen; Einleitung, Hauptteil und Schluss festlegen. Kurs-I-Niveau: reduzierte Textmenge, Leitfragen, vorstrukturierte Verfahren und alltagsnahe Transferaufgaben.</x:v>
      </x:c>
      <x:c r="F281" s="115" t="str">
        <x:v>Einen eigenen Schreibplan mit Teilzielen, Belegen und sprachlichen Mitteln entwickeln. Kurs-II-Niveau: komplexere Texte, selbstständige Verfahren, Fachbegriffe und vertiefte Deutung oder Bewertung.</x:v>
      </x:c>
      <x:c r="G281" s="115" t="str">
        <x:v>de_k7_st85_offizieller_brief_schreibplan</x:v>
      </x:c>
      <x:c r="H281" s="176" t="e">
        <x:f>HYPERLINK("schueler/de_k7_st85_offizieller_brief_schreibplan_app.html","Lernmodul öffnen")</x:f>
      </x:c>
      <x:c r="I281" s="177" t="e">
        <x:f>HYPERLINK("lehrer/de_k7_st85_offizieller_brief_schreibplan_orga.html","Vorbereitung öffnen")</x:f>
      </x:c>
    </x:row>
    <x:row r="282" ht="65" customHeight="1">
      <x:c r="A282" s="142" t="n">
        <x:v>7</x:v>
      </x:c>
      <x:c r="B282" s="115" t="str">
        <x:v>Schreiben</x:v>
      </x:c>
      <x:c r="C282" s="148" t="n">
        <x:v>86</x:v>
      </x:c>
      <x:c r="D282" s="115" t="str">
        <x:v>Offizielle Briefe und Reklamationen: einen ersten Textentwurf verfassen</x:v>
      </x:c>
      <x:c r="E282" s="115" t="str">
        <x:v>Offizieller brief mithilfe von Schreibrahmen, Satzanfängen und Wortbank verfassen. Kurs-I-Niveau: reduzierte Textmenge, Leitfragen, vorstrukturierte Verfahren und alltagsnahe Transferaufgaben.</x:v>
      </x:c>
      <x:c r="F282" s="115" t="str">
        <x:v>Offizieller brief selbstständig, adressatenbezogen und sprachlich differenziert verfassen. Kurs-II-Niveau: komplexere Texte, selbstständige Verfahren, Fachbegriffe und vertiefte Deutung oder Bewertung.</x:v>
      </x:c>
      <x:c r="G282" s="115" t="str">
        <x:v>de_k7_st86_offizieller_brief_entwurf</x:v>
      </x:c>
      <x:c r="H282" s="176" t="e">
        <x:f>HYPERLINK("schueler/de_k7_st86_offizieller_brief_entwurf_app.html","Lernmodul öffnen")</x:f>
      </x:c>
      <x:c r="I282" s="177" t="e">
        <x:f>HYPERLINK("lehrer/de_k7_st86_offizieller_brief_entwurf_orga.html","Vorbereitung öffnen")</x:f>
      </x:c>
    </x:row>
    <x:row r="283" ht="65" customHeight="1">
      <x:c r="A283" s="142" t="n">
        <x:v>7</x:v>
      </x:c>
      <x:c r="B283" s="115" t="str">
        <x:v>Schreiben</x:v>
      </x:c>
      <x:c r="C283" s="148" t="n">
        <x:v>87</x:v>
      </x:c>
      <x:c r="D283" s="115" t="str">
        <x:v>Offizielle Briefe und Reklamationen: Text kriteriengeleitet überarbeiten</x:v>
      </x:c>
      <x:c r="E283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283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283" s="115" t="str">
        <x:v>de_k7_st87_offizieller_brief_ueberarbeiten</x:v>
      </x:c>
      <x:c r="H283" s="176" t="e">
        <x:f>HYPERLINK("schueler/de_k7_st87_offizieller_brief_ueberarbeiten_app.html","Lernmodul öffnen")</x:f>
      </x:c>
      <x:c r="I283" s="177" t="e">
        <x:f>HYPERLINK("lehrer/de_k7_st87_offizieller_brief_ueberarbeiten_orga.html","Vorbereitung öffnen")</x:f>
      </x:c>
    </x:row>
    <x:row r="284" ht="65" customHeight="1">
      <x:c r="A284" s="142" t="n">
        <x:v>7</x:v>
      </x:c>
      <x:c r="B284" s="115" t="str">
        <x:v>Sprechen und Zuhören</x:v>
      </x:c>
      <x:c r="C284" s="148" t="n">
        <x:v>88</x:v>
      </x:c>
      <x:c r="D284" s="115" t="str">
        <x:v>Offizielle Briefe und Reklamationen: Texte vorstellen und bewerten</x:v>
      </x:c>
      <x:c r="E284" s="115" t="str">
        <x:v>Ausgewählte Passage vorlesen oder erläutern; Rückmeldung mit einfachen Satzmustern geben. Kurs-I-Niveau: reduzierte Textmenge, Leitfragen, vorstrukturierte Verfahren und alltagsnahe Transferaufgaben.</x:v>
      </x:c>
      <x:c r="F284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284" s="115" t="str">
        <x:v>de_k7_st88_offizieller_brief_vorstellen</x:v>
      </x:c>
      <x:c r="H284" s="176" t="e">
        <x:f>HYPERLINK("schueler/de_k7_st88_offizieller_brief_vorstellen_app.html","Lernmodul öffnen")</x:f>
      </x:c>
      <x:c r="I284" s="177" t="e">
        <x:f>HYPERLINK("lehrer/de_k7_st88_offizieller_brief_vorstellen_orga.html","Vorbereitung öffnen")</x:f>
      </x:c>
    </x:row>
    <x:row r="285" ht="65" customHeight="1">
      <x:c r="A285" s="142" t="n">
        <x:v>7</x:v>
      </x:c>
      <x:c r="B285" s="115" t="str">
        <x:v>Sprechen und Zuhören</x:v>
      </x:c>
      <x:c r="C285" s="148" t="n">
        <x:v>89</x:v>
      </x:c>
      <x:c r="D285" s="115" t="str">
        <x:v>Präsentieren und ein Medienprodukt erstellen: Vorwissen und Positionen klären</x:v>
      </x:c>
      <x:c r="E285" s="115" t="str">
        <x:v>Eigene Erfahrungen zu Themenrecherche und Präsentation benennen; zentrale Begriffe mit Beispielen klären. Kurs-I-Niveau: reduzierte Textmenge, Leitfragen, vorstrukturierte Verfahren und alltagsnahe Transferaufgaben.</x:v>
      </x:c>
      <x:c r="F285" s="115" t="str">
        <x:v>Vorwissen zu Themenrecherche und Präsentation strukturieren; erste Positionen formulieren und mögliche Konflikte benennen. Kurs-II-Niveau: komplexere Texte, selbstständige Verfahren, Fachbegriffe und vertiefte Deutung oder Bewertung.</x:v>
      </x:c>
      <x:c r="G285" s="115" t="str">
        <x:v>de_k7_st89_projekt_einstieg</x:v>
      </x:c>
      <x:c r="H285" s="176" t="e">
        <x:f>HYPERLINK("schueler/de_k7_st89_projekt_einstieg_app.html","Lernmodul öffnen")</x:f>
      </x:c>
      <x:c r="I285" s="177" t="e">
        <x:f>HYPERLINK("lehrer/de_k7_st89_projekt_einstieg_orga.html","Vorbereitung öffnen")</x:f>
      </x:c>
    </x:row>
    <x:row r="286" ht="65" customHeight="1">
      <x:c r="A286" s="142" t="n">
        <x:v>7</x:v>
      </x:c>
      <x:c r="B286" s="115" t="str">
        <x:v>Lesen/Umgang mit Texten</x:v>
      </x:c>
      <x:c r="C286" s="148" t="n">
        <x:v>90</x:v>
      </x:c>
      <x:c r="D286" s="115" t="str">
        <x:v>Präsentieren und ein Medienprodukt erstellen: Quellen und Materialien erschließen</x:v>
      </x:c>
      <x:c r="E286" s="115" t="str">
        <x:v>Kurze Materialien lesen oder ansehen; Hauptaussagen mit Leitfragen festhalten. Kurs-I-Niveau: reduzierte Textmenge, Leitfragen, vorstrukturierte Verfahren und alltagsnahe Transferaufgaben.</x:v>
      </x:c>
      <x:c r="F286" s="115" t="str">
        <x:v>Unterschiedliche Materialien selbstständig erschließen; Aussage, Intention und Kontext bestimmen. Kurs-II-Niveau: komplexere Texte, selbstständige Verfahren, Fachbegriffe und vertiefte Deutung oder Bewertung.</x:v>
      </x:c>
      <x:c r="G286" s="115" t="str">
        <x:v>de_k7_st90_projekt_quellen</x:v>
      </x:c>
      <x:c r="H286" s="176" t="e">
        <x:f>HYPERLINK("schueler/de_k7_st90_projekt_quellen_app.html","Lernmodul öffnen")</x:f>
      </x:c>
      <x:c r="I286" s="177" t="e">
        <x:f>HYPERLINK("lehrer/de_k7_st90_projekt_quellen_orga.html","Vorbereitung öffnen")</x:f>
      </x:c>
    </x:row>
    <x:row r="287" ht="65" customHeight="1">
      <x:c r="A287" s="142" t="n">
        <x:v>7</x:v>
      </x:c>
      <x:c r="B287" s="115" t="str">
        <x:v>Lesen/Umgang mit Texten</x:v>
      </x:c>
      <x:c r="C287" s="148" t="n">
        <x:v>91</x:v>
      </x:c>
      <x:c r="D287" s="115" t="str">
        <x:v>Präsentieren und ein Medienprodukt erstellen: Qualitätskriterien anwenden</x:v>
      </x:c>
      <x:c r="E287" s="115" t="str">
        <x:v>Gliederung, Quellen, Visualisierung und Redezeit in einer Checkliste anwenden und Auffälligkeiten markieren. Kurs-I-Niveau: reduzierte Textmenge, Leitfragen, vorstrukturierte Verfahren und alltagsnahe Transferaufgaben.</x:v>
      </x:c>
      <x:c r="F287" s="115" t="str">
        <x:v>Gliederung, Quellen, Visualisierung und Redezeit gewichten, auf Grenzfälle anwenden und begründete Qualitätsurteile formulieren. Kurs-II-Niveau: komplexere Texte, selbstständige Verfahren, Fachbegriffe und vertiefte Deutung oder Bewertung.</x:v>
      </x:c>
      <x:c r="G287" s="115" t="str">
        <x:v>de_k7_st91_projekt_kriterien</x:v>
      </x:c>
      <x:c r="H287" s="176" t="e">
        <x:f>HYPERLINK("schueler/de_k7_st91_projekt_kriterien_app.html","Lernmodul öffnen")</x:f>
      </x:c>
      <x:c r="I287" s="177" t="e">
        <x:f>HYPERLINK("lehrer/de_k7_st91_projekt_kriterien_orga.html","Vorbereitung öffnen")</x:f>
      </x:c>
    </x:row>
    <x:row r="288" ht="65" customHeight="1">
      <x:c r="A288" s="142" t="n">
        <x:v>7</x:v>
      </x:c>
      <x:c r="B288" s="115" t="str">
        <x:v>Lesen/Umgang mit Texten</x:v>
      </x:c>
      <x:c r="C288" s="148" t="n">
        <x:v>92</x:v>
      </x:c>
      <x:c r="D288" s="115" t="str">
        <x:v>Präsentieren und ein Medienprodukt erstellen: Darstellungen vergleichen</x:v>
      </x:c>
      <x:c r="E288" s="115" t="str">
        <x:v>Vortrag, erklärvideo und infografik nach vorgegebenen Merkmalen vergleichen. Kurs-I-Niveau: reduzierte Textmenge, Leitfragen, vorstrukturierte Verfahren und alltagsnahe Transferaufgaben.</x:v>
      </x:c>
      <x:c r="F288" s="115" t="str">
        <x:v>Vortrag, erklärvideo und infografik hinsichtlich Informationsauswahl, Gestaltung, Wirkung und Interessen vergleichen. Kurs-II-Niveau: komplexere Texte, selbstständige Verfahren, Fachbegriffe und vertiefte Deutung oder Bewertung.</x:v>
      </x:c>
      <x:c r="G288" s="115" t="str">
        <x:v>de_k7_st92_projekt_vergleichen</x:v>
      </x:c>
      <x:c r="H288" s="176" t="e">
        <x:f>HYPERLINK("schueler/de_k7_st92_projekt_vergleichen_app.html","Lernmodul öffnen")</x:f>
      </x:c>
      <x:c r="I288" s="177" t="e">
        <x:f>HYPERLINK("lehrer/de_k7_st92_projekt_vergleichen_orga.html","Vorbereitung öffnen")</x:f>
      </x:c>
    </x:row>
    <x:row r="289" ht="65" customHeight="1">
      <x:c r="A289" s="142" t="n">
        <x:v>7</x:v>
      </x:c>
      <x:c r="B289" s="115" t="str">
        <x:v>Schreiben</x:v>
      </x:c>
      <x:c r="C289" s="148" t="n">
        <x:v>93</x:v>
      </x:c>
      <x:c r="D289" s="115" t="str">
        <x:v>Präsentieren und ein Medienprodukt erstellen: Informationen prüfen und ordnen</x:v>
      </x:c>
      <x:c r="E289" s="115" t="str">
        <x:v>Informationen aus vorgegebenen Quellen auswählen; Fundstellen notieren und geordnet ablegen. Kurs-I-Niveau: reduzierte Textmenge, Leitfragen, vorstrukturierte Verfahren und alltagsnahe Transferaufgaben.</x:v>
      </x:c>
      <x:c r="F289" s="115" t="str">
        <x:v>Recherchefrage entwickeln; Quellen prüfen, Informationen abgleichen und korrekt dokumentieren. Kurs-II-Niveau: komplexere Texte, selbstständige Verfahren, Fachbegriffe und vertiefte Deutung oder Bewertung.</x:v>
      </x:c>
      <x:c r="G289" s="115" t="str">
        <x:v>de_k7_st93_projekt_recherche</x:v>
      </x:c>
      <x:c r="H289" s="176" t="e">
        <x:f>HYPERLINK("schueler/de_k7_st93_projekt_recherche_app.html","Lernmodul öffnen")</x:f>
      </x:c>
      <x:c r="I289" s="177" t="e">
        <x:f>HYPERLINK("lehrer/de_k7_st93_projekt_recherche_orga.html","Vorbereitung öffnen")</x:f>
      </x:c>
    </x:row>
    <x:row r="290" ht="65" customHeight="1">
      <x:c r="A290" s="142" t="n">
        <x:v>7</x:v>
      </x:c>
      <x:c r="B290" s="115" t="str">
        <x:v>Schreiben</x:v>
      </x:c>
      <x:c r="C290" s="148" t="n">
        <x:v>94</x:v>
      </x:c>
      <x:c r="D290" s="115" t="str">
        <x:v>Präsentieren und ein Medienprodukt erstellen: Produkt planen</x:v>
      </x:c>
      <x:c r="E290" s="115" t="str">
        <x:v>Für Medienpräsentation einen vorgegebenen Arbeitsplan ergänzen; Aufgaben verteilen. Kurs-I-Niveau: reduzierte Textmenge, Leitfragen, vorstrukturierte Verfahren und alltagsnahe Transferaufgaben.</x:v>
      </x:c>
      <x:c r="F290" s="115" t="str">
        <x:v>Für Medienpräsentation Zielgruppe, Aufbau, Medienwahl, Zeitplan und Qualitätskontrolle selbstständig festlegen. Kurs-II-Niveau: komplexere Texte, selbstständige Verfahren, Fachbegriffe und vertiefte Deutung oder Bewertung.</x:v>
      </x:c>
      <x:c r="G290" s="115" t="str">
        <x:v>de_k7_st94_projekt_planen</x:v>
      </x:c>
      <x:c r="H290" s="176" t="e">
        <x:f>HYPERLINK("schueler/de_k7_st94_projekt_planen_app.html","Lernmodul öffnen")</x:f>
      </x:c>
      <x:c r="I290" s="177" t="e">
        <x:f>HYPERLINK("lehrer/de_k7_st94_projekt_planen_orga.html","Vorbereitung öffnen")</x:f>
      </x:c>
    </x:row>
    <x:row r="291" ht="65" customHeight="1">
      <x:c r="A291" s="142" t="n">
        <x:v>7</x:v>
      </x:c>
      <x:c r="B291" s="115" t="str">
        <x:v>Schreiben</x:v>
      </x:c>
      <x:c r="C291" s="148" t="n">
        <x:v>95</x:v>
      </x:c>
      <x:c r="D291" s="115" t="str">
        <x:v>Präsentieren und ein Medienprodukt erstellen: Produkt erstellen</x:v>
      </x:c>
      <x:c r="E291" s="115" t="str">
        <x:v>Medienpräsentation mit Vorlage und klaren Teilaufträgen erstellen. Kurs-I-Niveau: reduzierte Textmenge, Leitfragen, vorstrukturierte Verfahren und alltagsnahe Transferaufgaben.</x:v>
      </x:c>
      <x:c r="F291" s="115" t="str">
        <x:v>Medienpräsentation selbstständig, adressatengerecht und quellenbewusst erstellen. Kurs-II-Niveau: komplexere Texte, selbstständige Verfahren, Fachbegriffe und vertiefte Deutung oder Bewertung.</x:v>
      </x:c>
      <x:c r="G291" s="115" t="str">
        <x:v>de_k7_st95_projekt_erstellen</x:v>
      </x:c>
      <x:c r="H291" s="176" t="e">
        <x:f>HYPERLINK("schueler/de_k7_st95_projekt_erstellen_app.html","Lernmodul öffnen")</x:f>
      </x:c>
      <x:c r="I291" s="177" t="e">
        <x:f>HYPERLINK("lehrer/de_k7_st95_projekt_erstellen_orga.html","Vorbereitung öffnen")</x:f>
      </x:c>
    </x:row>
    <x:row r="292" ht="65" customHeight="1">
      <x:c r="A292" s="142" t="n">
        <x:v>7</x:v>
      </x:c>
      <x:c r="B292" s="115" t="str">
        <x:v>Sprechen und Zuhören</x:v>
      </x:c>
      <x:c r="C292" s="148" t="n">
        <x:v>96</x:v>
      </x:c>
      <x:c r="D292" s="115" t="str">
        <x:v>Präsentieren und ein Medienprodukt erstellen: präsentieren und reflektieren</x:v>
      </x:c>
      <x:c r="E292" s="115" t="str">
        <x:v>Produkt kurz vorstellen; Rückmeldung anhand weniger Kriterien geben und annehmen. Kurs-I-Niveau: reduzierte Textmenge, Leitfragen, vorstrukturierte Verfahren und alltagsnahe Transferaufgaben.</x:v>
      </x:c>
      <x:c r="F292" s="115" t="str">
        <x:v>Produkt überzeugend präsentieren; Arbeitsprozess, Quellenwahl und Wirkung kritisch reflektieren. Kurs-II-Niveau: komplexere Texte, selbstständige Verfahren, Fachbegriffe und vertiefte Deutung oder Bewertung.</x:v>
      </x:c>
      <x:c r="G292" s="115" t="str">
        <x:v>de_k7_st96_projekt_reflexion</x:v>
      </x:c>
      <x:c r="H292" s="176" t="e">
        <x:f>HYPERLINK("schueler/de_k7_st96_projekt_reflexion_app.html","Lernmodul öffnen")</x:f>
      </x:c>
      <x:c r="I292" s="177" t="e">
        <x:f>HYPERLINK("lehrer/de_k7_st96_projekt_reflexion_orga.html","Vorbereitung öffnen")</x:f>
      </x:c>
    </x:row>
    <x:row r="293" ht="65" customHeight="1">
      <x:c r="A293" s="142" t="n">
        <x:v>8</x:v>
      </x:c>
      <x:c r="B293" s="115" t="str">
        <x:v>Sprechen und Zuhören</x:v>
      </x:c>
      <x:c r="C293" s="148" t="n">
        <x:v>1</x:v>
      </x:c>
      <x:c r="D293" s="115" t="str">
        <x:v>Lesen und Medien vergleichen: Vorwissen und Positionen klären</x:v>
      </x:c>
      <x:c r="E293" s="115" t="str">
        <x:v>Eigene Erfahrungen zu Text, Hörbeitrag, Video und Infografik benennen; zentrale Begriffe mit Beispielen klären. Kurs-I-Niveau: reduzierte Textmenge, Leitfragen, vorstrukturierte Verfahren und alltagsnahe Transferaufgaben.</x:v>
      </x:c>
      <x:c r="F293" s="115" t="str">
        <x:v>Vorwissen zu Text, Hörbeitrag, Video und Infografik strukturieren; erste Positionen formulieren und mögliche Konflikte benennen. Kurs-II-Niveau: komplexere Texte, selbstständige Verfahren, Fachbegriffe und vertiefte Deutung oder Bewertung.</x:v>
      </x:c>
      <x:c r="G293" s="115" t="str">
        <x:v>de_k8_st01_medienvergleich_einstieg</x:v>
      </x:c>
      <x:c r="H293" s="176" t="e">
        <x:f>HYPERLINK("schueler/de_k8_st01_medienvergleich_einstieg_app.html","Lernmodul öffnen")</x:f>
      </x:c>
      <x:c r="I293" s="177" t="e">
        <x:f>HYPERLINK("lehrer/de_k8_st01_medienvergleich_einstieg_orga.html","Vorbereitung öffnen")</x:f>
      </x:c>
    </x:row>
    <x:row r="294" ht="65" customHeight="1">
      <x:c r="A294" s="142" t="n">
        <x:v>8</x:v>
      </x:c>
      <x:c r="B294" s="115" t="str">
        <x:v>Lesen/Umgang mit Texten</x:v>
      </x:c>
      <x:c r="C294" s="148" t="n">
        <x:v>2</x:v>
      </x:c>
      <x:c r="D294" s="115" t="str">
        <x:v>Lesen und Medien vergleichen: Quellen und Materialien erschließen</x:v>
      </x:c>
      <x:c r="E294" s="115" t="str">
        <x:v>Kurze Materialien lesen oder ansehen; Hauptaussagen mit Leitfragen festhalten. Kurs-I-Niveau: reduzierte Textmenge, Leitfragen, vorstrukturierte Verfahren und alltagsnahe Transferaufgaben.</x:v>
      </x:c>
      <x:c r="F294" s="115" t="str">
        <x:v>Unterschiedliche Materialien selbstständig erschließen; Aussage, Intention und Kontext bestimmen. Kurs-II-Niveau: komplexere Texte, selbstständige Verfahren, Fachbegriffe und vertiefte Deutung oder Bewertung.</x:v>
      </x:c>
      <x:c r="G294" s="115" t="str">
        <x:v>de_k8_st02_medienvergleich_quellen</x:v>
      </x:c>
      <x:c r="H294" s="176" t="e">
        <x:f>HYPERLINK("schueler/de_k8_st02_medienvergleich_quellen_app.html","Lernmodul öffnen")</x:f>
      </x:c>
      <x:c r="I294" s="177" t="e">
        <x:f>HYPERLINK("lehrer/de_k8_st02_medienvergleich_quellen_orga.html","Vorbereitung öffnen")</x:f>
      </x:c>
    </x:row>
    <x:row r="295" ht="65" customHeight="1">
      <x:c r="A295" s="142" t="n">
        <x:v>8</x:v>
      </x:c>
      <x:c r="B295" s="115" t="str">
        <x:v>Lesen/Umgang mit Texten</x:v>
      </x:c>
      <x:c r="C295" s="148" t="n">
        <x:v>3</x:v>
      </x:c>
      <x:c r="D295" s="115" t="str">
        <x:v>Lesen und Medien vergleichen: Qualitätskriterien anwenden</x:v>
      </x:c>
      <x:c r="E295" s="115" t="str">
        <x:v>Kernaussage, Quelle, Gestaltung und Zielgruppe in einer Checkliste anwenden und Auffälligkeiten markieren. Kurs-I-Niveau: reduzierte Textmenge, Leitfragen, vorstrukturierte Verfahren und alltagsnahe Transferaufgaben.</x:v>
      </x:c>
      <x:c r="F295" s="115" t="str">
        <x:v>Kernaussage, Quelle, Gestaltung und Zielgruppe gewichten, auf Grenzfälle anwenden und begründete Qualitätsurteile formulieren. Kurs-II-Niveau: komplexere Texte, selbstständige Verfahren, Fachbegriffe und vertiefte Deutung oder Bewertung.</x:v>
      </x:c>
      <x:c r="G295" s="115" t="str">
        <x:v>de_k8_st03_medienvergleich_kriterien</x:v>
      </x:c>
      <x:c r="H295" s="176" t="e">
        <x:f>HYPERLINK("schueler/de_k8_st03_medienvergleich_kriterien_app.html","Lernmodul öffnen")</x:f>
      </x:c>
      <x:c r="I295" s="177" t="e">
        <x:f>HYPERLINK("lehrer/de_k8_st03_medienvergleich_kriterien_orga.html","Vorbereitung öffnen")</x:f>
      </x:c>
    </x:row>
    <x:row r="296" ht="65" customHeight="1">
      <x:c r="A296" s="142" t="n">
        <x:v>8</x:v>
      </x:c>
      <x:c r="B296" s="115" t="str">
        <x:v>Lesen/Umgang mit Texten</x:v>
      </x:c>
      <x:c r="C296" s="148" t="n">
        <x:v>4</x:v>
      </x:c>
      <x:c r="D296" s="115" t="str">
        <x:v>Lesen und Medien vergleichen: Darstellungen vergleichen</x:v>
      </x:c>
      <x:c r="E296" s="115" t="str">
        <x:v>Informationsgehalt und wirkung verschiedener medien nach vorgegebenen Merkmalen vergleichen. Kurs-I-Niveau: reduzierte Textmenge, Leitfragen, vorstrukturierte Verfahren und alltagsnahe Transferaufgaben.</x:v>
      </x:c>
      <x:c r="F296" s="115" t="str">
        <x:v>Informationsgehalt und wirkung verschiedener medien hinsichtlich Informationsauswahl, Gestaltung, Wirkung und Interessen vergleichen. Kurs-II-Niveau: komplexere Texte, selbstständige Verfahren, Fachbegriffe und vertiefte Deutung oder Bewertung.</x:v>
      </x:c>
      <x:c r="G296" s="115" t="str">
        <x:v>de_k8_st04_medienvergleich_vergleichen</x:v>
      </x:c>
      <x:c r="H296" s="176" t="e">
        <x:f>HYPERLINK("schueler/de_k8_st04_medienvergleich_vergleichen_app.html","Lernmodul öffnen")</x:f>
      </x:c>
      <x:c r="I296" s="177" t="e">
        <x:f>HYPERLINK("lehrer/de_k8_st04_medienvergleich_vergleichen_orga.html","Vorbereitung öffnen")</x:f>
      </x:c>
    </x:row>
    <x:row r="297" ht="65" customHeight="1">
      <x:c r="A297" s="142" t="n">
        <x:v>8</x:v>
      </x:c>
      <x:c r="B297" s="115" t="str">
        <x:v>Schreiben</x:v>
      </x:c>
      <x:c r="C297" s="148" t="n">
        <x:v>5</x:v>
      </x:c>
      <x:c r="D297" s="115" t="str">
        <x:v>Lesen und Medien vergleichen: Informationen prüfen und ordnen</x:v>
      </x:c>
      <x:c r="E297" s="115" t="str">
        <x:v>Informationen aus vorgegebenen Quellen auswählen; Fundstellen notieren und geordnet ablegen. Kurs-I-Niveau: reduzierte Textmenge, Leitfragen, vorstrukturierte Verfahren und alltagsnahe Transferaufgaben.</x:v>
      </x:c>
      <x:c r="F297" s="115" t="str">
        <x:v>Recherchefrage entwickeln; Quellen prüfen, Informationen abgleichen und korrekt dokumentieren. Kurs-II-Niveau: komplexere Texte, selbstständige Verfahren, Fachbegriffe und vertiefte Deutung oder Bewertung.</x:v>
      </x:c>
      <x:c r="G297" s="115" t="str">
        <x:v>de_k8_st05_medienvergleich_recherche</x:v>
      </x:c>
      <x:c r="H297" s="176" t="e">
        <x:f>HYPERLINK("schueler/de_k8_st05_medienvergleich_recherche_app.html","Lernmodul öffnen")</x:f>
      </x:c>
      <x:c r="I297" s="177" t="e">
        <x:f>HYPERLINK("lehrer/de_k8_st05_medienvergleich_recherche_orga.html","Vorbereitung öffnen")</x:f>
      </x:c>
    </x:row>
    <x:row r="298" ht="65" customHeight="1">
      <x:c r="A298" s="142" t="n">
        <x:v>8</x:v>
      </x:c>
      <x:c r="B298" s="115" t="str">
        <x:v>Schreiben</x:v>
      </x:c>
      <x:c r="C298" s="148" t="n">
        <x:v>6</x:v>
      </x:c>
      <x:c r="D298" s="115" t="str">
        <x:v>Lesen und Medien vergleichen: Produkt planen</x:v>
      </x:c>
      <x:c r="E298" s="115" t="str">
        <x:v>Für Medienvergleich einen vorgegebenen Arbeitsplan ergänzen; Aufgaben verteilen. Kurs-I-Niveau: reduzierte Textmenge, Leitfragen, vorstrukturierte Verfahren und alltagsnahe Transferaufgaben.</x:v>
      </x:c>
      <x:c r="F298" s="115" t="str">
        <x:v>Für Medienvergleich Zielgruppe, Aufbau, Medienwahl, Zeitplan und Qualitätskontrolle selbstständig festlegen. Kurs-II-Niveau: komplexere Texte, selbstständige Verfahren, Fachbegriffe und vertiefte Deutung oder Bewertung.</x:v>
      </x:c>
      <x:c r="G298" s="115" t="str">
        <x:v>de_k8_st06_medienvergleich_planen</x:v>
      </x:c>
      <x:c r="H298" s="176" t="e">
        <x:f>HYPERLINK("schueler/de_k8_st06_medienvergleich_planen_app.html","Lernmodul öffnen")</x:f>
      </x:c>
      <x:c r="I298" s="177" t="e">
        <x:f>HYPERLINK("lehrer/de_k8_st06_medienvergleich_planen_orga.html","Vorbereitung öffnen")</x:f>
      </x:c>
    </x:row>
    <x:row r="299" ht="65" customHeight="1">
      <x:c r="A299" s="142" t="n">
        <x:v>8</x:v>
      </x:c>
      <x:c r="B299" s="115" t="str">
        <x:v>Schreiben</x:v>
      </x:c>
      <x:c r="C299" s="148" t="n">
        <x:v>7</x:v>
      </x:c>
      <x:c r="D299" s="115" t="str">
        <x:v>Lesen und Medien vergleichen: Produkt erstellen</x:v>
      </x:c>
      <x:c r="E299" s="115" t="str">
        <x:v>Medienvergleich mit Vorlage und klaren Teilaufträgen erstellen. Kurs-I-Niveau: reduzierte Textmenge, Leitfragen, vorstrukturierte Verfahren und alltagsnahe Transferaufgaben.</x:v>
      </x:c>
      <x:c r="F299" s="115" t="str">
        <x:v>Medienvergleich selbstständig, adressatengerecht und quellenbewusst erstellen. Kurs-II-Niveau: komplexere Texte, selbstständige Verfahren, Fachbegriffe und vertiefte Deutung oder Bewertung.</x:v>
      </x:c>
      <x:c r="G299" s="115" t="str">
        <x:v>de_k8_st07_medienvergleich_erstellen</x:v>
      </x:c>
      <x:c r="H299" s="176" t="e">
        <x:f>HYPERLINK("schueler/de_k8_st07_medienvergleich_erstellen_app.html","Lernmodul öffnen")</x:f>
      </x:c>
      <x:c r="I299" s="177" t="e">
        <x:f>HYPERLINK("lehrer/de_k8_st07_medienvergleich_erstellen_orga.html","Vorbereitung öffnen")</x:f>
      </x:c>
    </x:row>
    <x:row r="300" ht="65" customHeight="1">
      <x:c r="A300" s="142" t="n">
        <x:v>8</x:v>
      </x:c>
      <x:c r="B300" s="115" t="str">
        <x:v>Sprechen und Zuhören</x:v>
      </x:c>
      <x:c r="C300" s="148" t="n">
        <x:v>8</x:v>
      </x:c>
      <x:c r="D300" s="115" t="str">
        <x:v>Lesen und Medien vergleichen: präsentieren und reflektieren</x:v>
      </x:c>
      <x:c r="E300" s="115" t="str">
        <x:v>Produkt kurz vorstellen; Rückmeldung anhand weniger Kriterien geben und annehmen. Kurs-I-Niveau: reduzierte Textmenge, Leitfragen, vorstrukturierte Verfahren und alltagsnahe Transferaufgaben.</x:v>
      </x:c>
      <x:c r="F300" s="115" t="str">
        <x:v>Produkt überzeugend präsentieren; Arbeitsprozess, Quellenwahl und Wirkung kritisch reflektieren. Kurs-II-Niveau: komplexere Texte, selbstständige Verfahren, Fachbegriffe und vertiefte Deutung oder Bewertung.</x:v>
      </x:c>
      <x:c r="G300" s="115" t="str">
        <x:v>de_k8_st08_medienvergleich_reflexion</x:v>
      </x:c>
      <x:c r="H300" s="176" t="e">
        <x:f>HYPERLINK("schueler/de_k8_st08_medienvergleich_reflexion_app.html","Lernmodul öffnen")</x:f>
      </x:c>
      <x:c r="I300" s="177" t="e">
        <x:f>HYPERLINK("lehrer/de_k8_st08_medienvergleich_reflexion_orga.html","Vorbereitung öffnen")</x:f>
      </x:c>
    </x:row>
    <x:row r="301" ht="65" customHeight="1">
      <x:c r="A301" s="142" t="n">
        <x:v>8</x:v>
      </x:c>
      <x:c r="B301" s="115" t="str">
        <x:v>Sprechen und Zuhören</x:v>
      </x:c>
      <x:c r="C301" s="148" t="n">
        <x:v>9</x:v>
      </x:c>
      <x:c r="D301" s="115" t="str">
        <x:v>Kurzgeschichten vertieft deuten: Hör- oder Leseeinstieg gestalten</x:v>
      </x:c>
      <x:c r="E301" s="115" t="str">
        <x:v>Einstieg über Bild, Hörtext oder kurzen Auszug; Vorwissen zu Kurzgeschichten mit gesellschaftlichem Konflikt sammeln und zentrale Wörter klären. Kurs-I-Niveau: reduzierte Textmenge, Leitfragen, vorstrukturierte Verfahren und alltagsnahe Transferaufgaben.</x:v>
      </x:c>
      <x:c r="F301" s="115" t="str">
        <x:v>Aus Titel, Kontext und Gestaltung Erwartungen an Kurzgeschichten mit gesellschaftlichem Konflikt ableiten; erste Hypothesen formulieren und begründen. Kurs-II-Niveau: komplexere Texte, selbstständige Verfahren, Fachbegriffe und vertiefte Deutung oder Bewertung.</x:v>
      </x:c>
      <x:c r="G301" s="115" t="str">
        <x:v>de_k8_st09_kurzgeschichte_vertieft_einstieg</x:v>
      </x:c>
      <x:c r="H301" s="176" t="e">
        <x:f>HYPERLINK("schueler/de_k8_st09_kurzgeschichte_vertieft_einstieg_app.html","Lernmodul öffnen")</x:f>
      </x:c>
      <x:c r="I301" s="177" t="e">
        <x:f>HYPERLINK("lehrer/de_k8_st09_kurzgeschichte_vertieft_einstieg_orga.html","Vorbereitung öffnen")</x:f>
      </x:c>
    </x:row>
    <x:row r="302" ht="65" customHeight="1">
      <x:c r="A302" s="142" t="n">
        <x:v>8</x:v>
      </x:c>
      <x:c r="B302" s="115" t="str">
        <x:v>Lesen/Umgang mit Texten</x:v>
      </x:c>
      <x:c r="C302" s="148" t="n">
        <x:v>10</x:v>
      </x:c>
      <x:c r="D302" s="115" t="str">
        <x:v>Kurzgeschichten vertieft deuten: den Text mit Lesestrategien erschließen</x:v>
      </x:c>
      <x:c r="E302" s="115" t="str">
        <x:v>Text abschnittsweise lesen; Schlüsselwörter markieren und den Inhalt mit Leitfragen sichern. Kurs-I-Niveau: reduzierte Textmenge, Leitfragen, vorstrukturierte Verfahren und alltagsnahe Transferaufgaben.</x:v>
      </x:c>
      <x:c r="F302" s="115" t="str">
        <x:v>Lesetechnik passend zum Ziel wählen; Sinnabschnitte, Schlüsselstellen und offene Fragen selbstständig festhalten. Kurs-II-Niveau: komplexere Texte, selbstständige Verfahren, Fachbegriffe und vertiefte Deutung oder Bewertung.</x:v>
      </x:c>
      <x:c r="G302" s="115" t="str">
        <x:v>de_k8_st10_kurzgeschichte_vertieft_erschliessen</x:v>
      </x:c>
      <x:c r="H302" s="176" t="e">
        <x:f>HYPERLINK("schueler/de_k8_st10_kurzgeschichte_vertieft_erschliessen_app.html","Lernmodul öffnen")</x:f>
      </x:c>
      <x:c r="I302" s="177" t="e">
        <x:f>HYPERLINK("lehrer/de_k8_st10_kurzgeschichte_vertieft_erschliessen_orga.html","Vorbereitung öffnen")</x:f>
      </x:c>
    </x:row>
    <x:row r="303" ht="65" customHeight="1">
      <x:c r="A303" s="142" t="n">
        <x:v>8</x:v>
      </x:c>
      <x:c r="B303" s="115" t="str">
        <x:v>Lesen/Umgang mit Texten</x:v>
      </x:c>
      <x:c r="C303" s="148" t="n">
        <x:v>11</x:v>
      </x:c>
      <x:c r="D303" s="115" t="str">
        <x:v>Kurzgeschichten vertieft deuten: Gattungsmerkmale erkennen</x:v>
      </x:c>
      <x:c r="E303" s="115" t="str">
        <x:v>Merkmale wie Erzählform, Figuren, Konflikt, offener Schluss mithilfe einer Checkliste zuordnen und an Textstellen zeigen. Kurs-I-Niveau: reduzierte Textmenge, Leitfragen, vorstrukturierte Verfahren und alltagsnahe Transferaufgaben.</x:v>
      </x:c>
      <x:c r="F303" s="115" t="str">
        <x:v>Merkmale wie Erzählform, Figuren, Konflikt, offener Schluss textnah belegen und ihre Funktion für Aufbau und Wirkung erklären. Kurs-II-Niveau: komplexere Texte, selbstständige Verfahren, Fachbegriffe und vertiefte Deutung oder Bewertung.</x:v>
      </x:c>
      <x:c r="G303" s="115" t="str">
        <x:v>de_k8_st11_kurzgeschichte_vertieft_merkmale</x:v>
      </x:c>
      <x:c r="H303" s="176" t="e">
        <x:f>HYPERLINK("schueler/de_k8_st11_kurzgeschichte_vertieft_merkmale_app.html","Lernmodul öffnen")</x:f>
      </x:c>
      <x:c r="I303" s="177" t="e">
        <x:f>HYPERLINK("lehrer/de_k8_st11_kurzgeschichte_vertieft_merkmale_orga.html","Vorbereitung öffnen")</x:f>
      </x:c>
    </x:row>
    <x:row r="304" ht="65" customHeight="1">
      <x:c r="A304" s="142" t="n">
        <x:v>8</x:v>
      </x:c>
      <x:c r="B304" s="115" t="str">
        <x:v>Lesen/Umgang mit Texten</x:v>
      </x:c>
      <x:c r="C304" s="148" t="n">
        <x:v>12</x:v>
      </x:c>
      <x:c r="D304" s="115" t="str">
        <x:v>Kurzgeschichten vertieft deuten: Figuren, Handlung und Konflikt untersuchen</x:v>
      </x:c>
      <x:c r="E304" s="115" t="str">
        <x:v>Leerstellen, Symbolik und Deutungsansatz mit Figurenkarten oder Handlungsstreifen ordnen; einfache Belege auswählen. Kurs-I-Niveau: reduzierte Textmenge, Leitfragen, vorstrukturierte Verfahren und alltagsnahe Transferaufgaben.</x:v>
      </x:c>
      <x:c r="F304" s="115" t="str">
        <x:v>Leerstellen, Symbolik und Deutungsansatz in ihrem Zusammenhang untersuchen; Schlussfolgerungen mit passenden Textbelegen absichern. Kurs-II-Niveau: komplexere Texte, selbstständige Verfahren, Fachbegriffe und vertiefte Deutung oder Bewertung.</x:v>
      </x:c>
      <x:c r="G304" s="115" t="str">
        <x:v>de_k8_st12_kurzgeschichte_vertieft_figuren_handlung</x:v>
      </x:c>
      <x:c r="H304" s="176" t="e">
        <x:f>HYPERLINK("schueler/de_k8_st12_kurzgeschichte_vertieft_figuren_handlung_app.html","Lernmodul öffnen")</x:f>
      </x:c>
      <x:c r="I304" s="177" t="e">
        <x:f>HYPERLINK("lehrer/de_k8_st12_kurzgeschichte_vertieft_figuren_handlung_orga.html","Vorbereitung öffnen")</x:f>
      </x:c>
    </x:row>
    <x:row r="305" ht="65" customHeight="1">
      <x:c r="A305" s="142" t="n">
        <x:v>8</x:v>
      </x:c>
      <x:c r="B305" s="115" t="str">
        <x:v>Sprache untersuchen</x:v>
      </x:c>
      <x:c r="C305" s="148" t="n">
        <x:v>13</x:v>
      </x:c>
      <x:c r="D305" s="115" t="str">
        <x:v>Kurzgeschichten vertieft deuten: Sprache und Wirkung untersuchen</x:v>
      </x:c>
      <x:c r="E305" s="115" t="str">
        <x:v>Beispiele für Zeitgestaltung, innerer Monolog, knappe Dialoge markieren und ihre Wirkung mit vorgegebenen Begriffen beschreiben. Kurs-I-Niveau: reduzierte Textmenge, Leitfragen, vorstrukturierte Verfahren und alltagsnahe Transferaufgaben.</x:v>
      </x:c>
      <x:c r="F305" s="115" t="str">
        <x:v>Zeitgestaltung, innerer Monolog, knappe Dialoge fachsprachlich analysieren und auf Figurenzeichnung, Stimmung oder Aussage beziehen. Kurs-II-Niveau: komplexere Texte, selbstständige Verfahren, Fachbegriffe und vertiefte Deutung oder Bewertung.</x:v>
      </x:c>
      <x:c r="G305" s="115" t="str">
        <x:v>de_k8_st13_kurzgeschichte_vertieft_sprache_wirkung</x:v>
      </x:c>
      <x:c r="H305" s="176" t="e">
        <x:f>HYPERLINK("schueler/de_k8_st13_kurzgeschichte_vertieft_sprache_wirkung_app.html","Lernmodul öffnen")</x:f>
      </x:c>
      <x:c r="I305" s="177" t="e">
        <x:f>HYPERLINK("lehrer/de_k8_st13_kurzgeschichte_vertieft_sprache_wirkung_orga.html","Vorbereitung öffnen")</x:f>
      </x:c>
    </x:row>
    <x:row r="306" ht="65" customHeight="1">
      <x:c r="A306" s="142" t="n">
        <x:v>8</x:v>
      </x:c>
      <x:c r="B306" s="115" t="str">
        <x:v>Schreiben</x:v>
      </x:c>
      <x:c r="C306" s="148" t="n">
        <x:v>14</x:v>
      </x:c>
      <x:c r="D306" s="115" t="str">
        <x:v>Kurzgeschichten vertieft deuten: eine Deutung oder Perspektive vorbereiten</x:v>
      </x:c>
      <x:c r="E306" s="115" t="str">
        <x:v>Eine zentrale Aussage mit Satzstartern formulieren; Beleg und Erklärung in einem Schreibrahmen verbinden. Kurs-I-Niveau: reduzierte Textmenge, Leitfragen, vorstrukturierte Verfahren und alltagsnahe Transferaufgaben.</x:v>
      </x:c>
      <x:c r="F306" s="115" t="str">
        <x:v>Eine schlüssige Deutungshypothese entwickeln; mehrere Belege auswählen, ordnen und gegeneinander abwägen. Kurs-II-Niveau: komplexere Texte, selbstständige Verfahren, Fachbegriffe und vertiefte Deutung oder Bewertung.</x:v>
      </x:c>
      <x:c r="G306" s="115" t="str">
        <x:v>de_k8_st14_kurzgeschichte_vertieft_deutung_planen</x:v>
      </x:c>
      <x:c r="H306" s="176" t="e">
        <x:f>HYPERLINK("schueler/de_k8_st14_kurzgeschichte_vertieft_deutung_planen_app.html","Lernmodul öffnen")</x:f>
      </x:c>
      <x:c r="I306" s="177" t="e">
        <x:f>HYPERLINK("lehrer/de_k8_st14_kurzgeschichte_vertieft_deutung_planen_orga.html","Vorbereitung öffnen")</x:f>
      </x:c>
    </x:row>
    <x:row r="307" ht="65" customHeight="1">
      <x:c r="A307" s="142" t="n">
        <x:v>8</x:v>
      </x:c>
      <x:c r="B307" s="115" t="str">
        <x:v>Schreiben</x:v>
      </x:c>
      <x:c r="C307" s="148" t="n">
        <x:v>15</x:v>
      </x:c>
      <x:c r="D307" s="115" t="str">
        <x:v>Kurzgeschichten vertieft deuten: Interpretationsskizze gestalten</x:v>
      </x:c>
      <x:c r="E307" s="115" t="str">
        <x:v>Interpretationsskizze nach klaren Vorgaben erstellen; Hilfekarten und Wortbank nutzen. Kurs-I-Niveau: reduzierte Textmenge, Leitfragen, vorstrukturierte Verfahren und alltagsnahe Transferaufgaben.</x:v>
      </x:c>
      <x:c r="F307" s="115" t="str">
        <x:v>Interpretationsskizze eigenständig, textnah und sprachlich variabel gestalten; Wirkung bewusst planen. Kurs-II-Niveau: komplexere Texte, selbstständige Verfahren, Fachbegriffe und vertiefte Deutung oder Bewertung.</x:v>
      </x:c>
      <x:c r="G307" s="115" t="str">
        <x:v>de_k8_st15_kurzgeschichte_vertieft_produkt</x:v>
      </x:c>
      <x:c r="H307" s="176" t="e">
        <x:f>HYPERLINK("schueler/de_k8_st15_kurzgeschichte_vertieft_produkt_app.html","Lernmodul öffnen")</x:f>
      </x:c>
      <x:c r="I307" s="177" t="e">
        <x:f>HYPERLINK("lehrer/de_k8_st15_kurzgeschichte_vertieft_produkt_orga.html","Vorbereitung öffnen")</x:f>
      </x:c>
    </x:row>
    <x:row r="308" ht="65" customHeight="1">
      <x:c r="A308" s="142" t="n">
        <x:v>8</x:v>
      </x:c>
      <x:c r="B308" s="115" t="str">
        <x:v>Sprechen und Zuhören</x:v>
      </x:c>
      <x:c r="C308" s="148" t="n">
        <x:v>16</x:v>
      </x:c>
      <x:c r="D308" s="115" t="str">
        <x:v>Kurzgeschichten vertieft deuten: Ergebnisse präsentieren und reflektieren</x:v>
      </x:c>
      <x:c r="E308" s="115" t="str">
        <x:v>Ergebnis kurz vorstellen; zwei vereinbarte Kriterien für Rückmeldung anwenden. Kurs-I-Niveau: reduzierte Textmenge, Leitfragen, vorstrukturierte Verfahren und alltagsnahe Transferaufgaben.</x:v>
      </x:c>
      <x:c r="F308" s="115" t="str">
        <x:v>Ergebnis adressatenbezogen präsentieren; Rückmeldungen begründen und die eigene Deutung oder Gestaltung überarbeiten. Kurs-II-Niveau: komplexere Texte, selbstständige Verfahren, Fachbegriffe und vertiefte Deutung oder Bewertung.</x:v>
      </x:c>
      <x:c r="G308" s="115" t="str">
        <x:v>de_k8_st16_kurzgeschichte_vertieft_praesentieren</x:v>
      </x:c>
      <x:c r="H308" s="176" t="e">
        <x:f>HYPERLINK("schueler/de_k8_st16_kurzgeschichte_vertieft_praesentieren_app.html","Lernmodul öffnen")</x:f>
      </x:c>
      <x:c r="I308" s="177" t="e">
        <x:f>HYPERLINK("lehrer/de_k8_st16_kurzgeschichte_vertieft_praesentieren_orga.html","Vorbereitung öffnen")</x:f>
      </x:c>
    </x:row>
    <x:row r="309" ht="65" customHeight="1">
      <x:c r="A309" s="142" t="n">
        <x:v>8</x:v>
      </x:c>
      <x:c r="B309" s="115" t="str">
        <x:v>Sprechen und Zuhören</x:v>
      </x:c>
      <x:c r="C309" s="148" t="n">
        <x:v>17</x:v>
      </x:c>
      <x:c r="D309" s="115" t="str">
        <x:v>Balladen und Erlebnislyrik: Hör- oder Leseeinstieg gestalten</x:v>
      </x:c>
      <x:c r="E309" s="115" t="str">
        <x:v>Einstieg über Bild, Hörtext oder kurzen Auszug; Vorwissen zu Balladen und themenverwandte Gedichte sammeln und zentrale Wörter klären. Kurs-I-Niveau: reduzierte Textmenge, Leitfragen, vorstrukturierte Verfahren und alltagsnahe Transferaufgaben.</x:v>
      </x:c>
      <x:c r="F309" s="115" t="str">
        <x:v>Aus Titel, Kontext und Gestaltung Erwartungen an Balladen und themenverwandte Gedichte ableiten; erste Hypothesen formulieren und begründen. Kurs-II-Niveau: komplexere Texte, selbstständige Verfahren, Fachbegriffe und vertiefte Deutung oder Bewertung.</x:v>
      </x:c>
      <x:c r="G309" s="115" t="str">
        <x:v>de_k8_st17_lyrik_einstieg</x:v>
      </x:c>
      <x:c r="H309" s="176" t="e">
        <x:f>HYPERLINK("schueler/de_k8_st17_lyrik_einstieg_app.html","Lernmodul öffnen")</x:f>
      </x:c>
      <x:c r="I309" s="177" t="e">
        <x:f>HYPERLINK("lehrer/de_k8_st17_lyrik_einstieg_orga.html","Vorbereitung öffnen")</x:f>
      </x:c>
    </x:row>
    <x:row r="310" ht="65" customHeight="1">
      <x:c r="A310" s="142" t="n">
        <x:v>8</x:v>
      </x:c>
      <x:c r="B310" s="115" t="str">
        <x:v>Lesen/Umgang mit Texten</x:v>
      </x:c>
      <x:c r="C310" s="148" t="n">
        <x:v>18</x:v>
      </x:c>
      <x:c r="D310" s="115" t="str">
        <x:v>Balladen und Erlebnislyrik: den Text mit Lesestrategien erschließen</x:v>
      </x:c>
      <x:c r="E310" s="115" t="str">
        <x:v>Text abschnittsweise lesen; Schlüsselwörter markieren und den Inhalt mit Leitfragen sichern. Kurs-I-Niveau: reduzierte Textmenge, Leitfragen, vorstrukturierte Verfahren und alltagsnahe Transferaufgaben.</x:v>
      </x:c>
      <x:c r="F310" s="115" t="str">
        <x:v>Lesetechnik passend zum Ziel wählen; Sinnabschnitte, Schlüsselstellen und offene Fragen selbstständig festhalten. Kurs-II-Niveau: komplexere Texte, selbstständige Verfahren, Fachbegriffe und vertiefte Deutung oder Bewertung.</x:v>
      </x:c>
      <x:c r="G310" s="115" t="str">
        <x:v>de_k8_st18_lyrik_erschliessen</x:v>
      </x:c>
      <x:c r="H310" s="176" t="e">
        <x:f>HYPERLINK("schueler/de_k8_st18_lyrik_erschliessen_app.html","Lernmodul öffnen")</x:f>
      </x:c>
      <x:c r="I310" s="177" t="e">
        <x:f>HYPERLINK("lehrer/de_k8_st18_lyrik_erschliessen_orga.html","Vorbereitung öffnen")</x:f>
      </x:c>
    </x:row>
    <x:row r="311" ht="65" customHeight="1">
      <x:c r="A311" s="142" t="n">
        <x:v>8</x:v>
      </x:c>
      <x:c r="B311" s="115" t="str">
        <x:v>Lesen/Umgang mit Texten</x:v>
      </x:c>
      <x:c r="C311" s="148" t="n">
        <x:v>19</x:v>
      </x:c>
      <x:c r="D311" s="115" t="str">
        <x:v>Balladen und Erlebnislyrik: Gattungsmerkmale erkennen</x:v>
      </x:c>
      <x:c r="E311" s="115" t="str">
        <x:v>Merkmale wie Form, Handlung, Sprecher, Stimmung mithilfe einer Checkliste zuordnen und an Textstellen zeigen. Kurs-I-Niveau: reduzierte Textmenge, Leitfragen, vorstrukturierte Verfahren und alltagsnahe Transferaufgaben.</x:v>
      </x:c>
      <x:c r="F311" s="115" t="str">
        <x:v>Merkmale wie Form, Handlung, Sprecher, Stimmung textnah belegen und ihre Funktion für Aufbau und Wirkung erklären. Kurs-II-Niveau: komplexere Texte, selbstständige Verfahren, Fachbegriffe und vertiefte Deutung oder Bewertung.</x:v>
      </x:c>
      <x:c r="G311" s="115" t="str">
        <x:v>de_k8_st19_lyrik_merkmale</x:v>
      </x:c>
      <x:c r="H311" s="176" t="e">
        <x:f>HYPERLINK("schueler/de_k8_st19_lyrik_merkmale_app.html","Lernmodul öffnen")</x:f>
      </x:c>
      <x:c r="I311" s="177" t="e">
        <x:f>HYPERLINK("lehrer/de_k8_st19_lyrik_merkmale_orga.html","Vorbereitung öffnen")</x:f>
      </x:c>
    </x:row>
    <x:row r="312" ht="65" customHeight="1">
      <x:c r="A312" s="142" t="n">
        <x:v>8</x:v>
      </x:c>
      <x:c r="B312" s="115" t="str">
        <x:v>Lesen/Umgang mit Texten</x:v>
      </x:c>
      <x:c r="C312" s="148" t="n">
        <x:v>20</x:v>
      </x:c>
      <x:c r="D312" s="115" t="str">
        <x:v>Balladen und Erlebnislyrik: Figuren, Handlung und Konflikt untersuchen</x:v>
      </x:c>
      <x:c r="E312" s="115" t="str">
        <x:v>Motivvergleich und historische Bezüge mit Figurenkarten oder Handlungsstreifen ordnen; einfache Belege auswählen. Kurs-I-Niveau: reduzierte Textmenge, Leitfragen, vorstrukturierte Verfahren und alltagsnahe Transferaufgaben.</x:v>
      </x:c>
      <x:c r="F312" s="115" t="str">
        <x:v>Motivvergleich und historische Bezüge in ihrem Zusammenhang untersuchen; Schlussfolgerungen mit passenden Textbelegen absichern. Kurs-II-Niveau: komplexere Texte, selbstständige Verfahren, Fachbegriffe und vertiefte Deutung oder Bewertung.</x:v>
      </x:c>
      <x:c r="G312" s="115" t="str">
        <x:v>de_k8_st20_lyrik_figuren_handlung</x:v>
      </x:c>
      <x:c r="H312" s="176" t="e">
        <x:f>HYPERLINK("schueler/de_k8_st20_lyrik_figuren_handlung_app.html","Lernmodul öffnen")</x:f>
      </x:c>
      <x:c r="I312" s="177" t="e">
        <x:f>HYPERLINK("lehrer/de_k8_st20_lyrik_figuren_handlung_orga.html","Vorbereitung öffnen")</x:f>
      </x:c>
    </x:row>
    <x:row r="313" ht="65" customHeight="1">
      <x:c r="A313" s="142" t="n">
        <x:v>8</x:v>
      </x:c>
      <x:c r="B313" s="115" t="str">
        <x:v>Sprache untersuchen</x:v>
      </x:c>
      <x:c r="C313" s="148" t="n">
        <x:v>21</x:v>
      </x:c>
      <x:c r="D313" s="115" t="str">
        <x:v>Balladen und Erlebnislyrik: Sprache und Wirkung untersuchen</x:v>
      </x:c>
      <x:c r="E313" s="115" t="str">
        <x:v>Beispiele für Metrum, Reim, Bildlichkeit, Klang markieren und ihre Wirkung mit vorgegebenen Begriffen beschreiben. Kurs-I-Niveau: reduzierte Textmenge, Leitfragen, vorstrukturierte Verfahren und alltagsnahe Transferaufgaben.</x:v>
      </x:c>
      <x:c r="F313" s="115" t="str">
        <x:v>Metrum, Reim, Bildlichkeit, Klang fachsprachlich analysieren und auf Figurenzeichnung, Stimmung oder Aussage beziehen. Kurs-II-Niveau: komplexere Texte, selbstständige Verfahren, Fachbegriffe und vertiefte Deutung oder Bewertung.</x:v>
      </x:c>
      <x:c r="G313" s="115" t="str">
        <x:v>de_k8_st21_lyrik_sprache_wirkung</x:v>
      </x:c>
      <x:c r="H313" s="176" t="e">
        <x:f>HYPERLINK("schueler/de_k8_st21_lyrik_sprache_wirkung_app.html","Lernmodul öffnen")</x:f>
      </x:c>
      <x:c r="I313" s="177" t="e">
        <x:f>HYPERLINK("lehrer/de_k8_st21_lyrik_sprache_wirkung_orga.html","Vorbereitung öffnen")</x:f>
      </x:c>
    </x:row>
    <x:row r="314" ht="65" customHeight="1">
      <x:c r="A314" s="142" t="n">
        <x:v>8</x:v>
      </x:c>
      <x:c r="B314" s="115" t="str">
        <x:v>Schreiben</x:v>
      </x:c>
      <x:c r="C314" s="148" t="n">
        <x:v>22</x:v>
      </x:c>
      <x:c r="D314" s="115" t="str">
        <x:v>Balladen und Erlebnislyrik: eine Deutung oder Perspektive vorbereiten</x:v>
      </x:c>
      <x:c r="E314" s="115" t="str">
        <x:v>Eine zentrale Aussage mit Satzstartern formulieren; Beleg und Erklärung in einem Schreibrahmen verbinden. Kurs-I-Niveau: reduzierte Textmenge, Leitfragen, vorstrukturierte Verfahren und alltagsnahe Transferaufgaben.</x:v>
      </x:c>
      <x:c r="F314" s="115" t="str">
        <x:v>Eine schlüssige Deutungshypothese entwickeln; mehrere Belege auswählen, ordnen und gegeneinander abwägen. Kurs-II-Niveau: komplexere Texte, selbstständige Verfahren, Fachbegriffe und vertiefte Deutung oder Bewertung.</x:v>
      </x:c>
      <x:c r="G314" s="115" t="str">
        <x:v>de_k8_st22_lyrik_deutung_planen</x:v>
      </x:c>
      <x:c r="H314" s="176" t="e">
        <x:f>HYPERLINK("schueler/de_k8_st22_lyrik_deutung_planen_app.html","Lernmodul öffnen")</x:f>
      </x:c>
      <x:c r="I314" s="177" t="e">
        <x:f>HYPERLINK("lehrer/de_k8_st22_lyrik_deutung_planen_orga.html","Vorbereitung öffnen")</x:f>
      </x:c>
    </x:row>
    <x:row r="315" ht="65" customHeight="1">
      <x:c r="A315" s="142" t="n">
        <x:v>8</x:v>
      </x:c>
      <x:c r="B315" s="115" t="str">
        <x:v>Schreiben</x:v>
      </x:c>
      <x:c r="C315" s="148" t="n">
        <x:v>23</x:v>
      </x:c>
      <x:c r="D315" s="115" t="str">
        <x:v>Balladen und Erlebnislyrik: Gedichtvergleich oder Vortrag gestalten</x:v>
      </x:c>
      <x:c r="E315" s="115" t="str">
        <x:v>Gedichtvergleich oder vortrag nach klaren Vorgaben erstellen; Hilfekarten und Wortbank nutzen. Kurs-I-Niveau: reduzierte Textmenge, Leitfragen, vorstrukturierte Verfahren und alltagsnahe Transferaufgaben.</x:v>
      </x:c>
      <x:c r="F315" s="115" t="str">
        <x:v>Gedichtvergleich oder vortrag eigenständig, textnah und sprachlich variabel gestalten; Wirkung bewusst planen. Kurs-II-Niveau: komplexere Texte, selbstständige Verfahren, Fachbegriffe und vertiefte Deutung oder Bewertung.</x:v>
      </x:c>
      <x:c r="G315" s="115" t="str">
        <x:v>de_k8_st23_lyrik_produkt</x:v>
      </x:c>
      <x:c r="H315" s="176" t="e">
        <x:f>HYPERLINK("schueler/de_k8_st23_lyrik_produkt_app.html","Lernmodul öffnen")</x:f>
      </x:c>
      <x:c r="I315" s="177" t="e">
        <x:f>HYPERLINK("lehrer/de_k8_st23_lyrik_produkt_orga.html","Vorbereitung öffnen")</x:f>
      </x:c>
    </x:row>
    <x:row r="316" ht="65" customHeight="1">
      <x:c r="A316" s="142" t="n">
        <x:v>8</x:v>
      </x:c>
      <x:c r="B316" s="115" t="str">
        <x:v>Sprechen und Zuhören</x:v>
      </x:c>
      <x:c r="C316" s="148" t="n">
        <x:v>24</x:v>
      </x:c>
      <x:c r="D316" s="115" t="str">
        <x:v>Balladen und Erlebnislyrik: Ergebnisse präsentieren und reflektieren</x:v>
      </x:c>
      <x:c r="E316" s="115" t="str">
        <x:v>Ergebnis kurz vorstellen; zwei vereinbarte Kriterien für Rückmeldung anwenden. Kurs-I-Niveau: reduzierte Textmenge, Leitfragen, vorstrukturierte Verfahren und alltagsnahe Transferaufgaben.</x:v>
      </x:c>
      <x:c r="F316" s="115" t="str">
        <x:v>Ergebnis adressatenbezogen präsentieren; Rückmeldungen begründen und die eigene Deutung oder Gestaltung überarbeiten. Kurs-II-Niveau: komplexere Texte, selbstständige Verfahren, Fachbegriffe und vertiefte Deutung oder Bewertung.</x:v>
      </x:c>
      <x:c r="G316" s="115" t="str">
        <x:v>de_k8_st24_lyrik_praesentieren</x:v>
      </x:c>
      <x:c r="H316" s="176" t="e">
        <x:f>HYPERLINK("schueler/de_k8_st24_lyrik_praesentieren_app.html","Lernmodul öffnen")</x:f>
      </x:c>
      <x:c r="I316" s="177" t="e">
        <x:f>HYPERLINK("lehrer/de_k8_st24_lyrik_praesentieren_orga.html","Vorbereitung öffnen")</x:f>
      </x:c>
    </x:row>
    <x:row r="317" ht="65" customHeight="1">
      <x:c r="A317" s="142" t="n">
        <x:v>8</x:v>
      </x:c>
      <x:c r="B317" s="115" t="str">
        <x:v>Lesen/Umgang mit Texten</x:v>
      </x:c>
      <x:c r="C317" s="148" t="n">
        <x:v>25</x:v>
      </x:c>
      <x:c r="D317" s="115" t="str">
        <x:v>Personen und literarische Figuren charakterisieren: Beispieltexte untersuchen</x:v>
      </x:c>
      <x:c r="E317" s="115" t="str">
        <x:v>Ein Beispiel für Personencharakteristik lesen; Aufbau und typische Formulierungen farbig kennzeichnen. Kurs-I-Niveau: reduzierte Textmenge, Leitfragen, vorstrukturierte Verfahren und alltagsnahe Transferaufgaben.</x:v>
      </x:c>
      <x:c r="F317" s="115" t="str">
        <x:v>Mehrere Beispiele für Personencharakteristik vergleichen; Funktion, Adressat und Qualitätsunterschiede herausarbeiten. Kurs-II-Niveau: komplexere Texte, selbstständige Verfahren, Fachbegriffe und vertiefte Deutung oder Bewertung.</x:v>
      </x:c>
      <x:c r="G317" s="115" t="str">
        <x:v>de_k8_st25_charakteristik_beispiel</x:v>
      </x:c>
      <x:c r="H317" s="176" t="e">
        <x:f>HYPERLINK("schueler/de_k8_st25_charakteristik_beispiel_app.html","Lernmodul öffnen")</x:f>
      </x:c>
      <x:c r="I317" s="177" t="e">
        <x:f>HYPERLINK("lehrer/de_k8_st25_charakteristik_beispiel_orga.html","Vorbereitung öffnen")</x:f>
      </x:c>
    </x:row>
    <x:row r="318" ht="65" customHeight="1">
      <x:c r="A318" s="142" t="n">
        <x:v>8</x:v>
      </x:c>
      <x:c r="B318" s="115" t="str">
        <x:v>Schreiben</x:v>
      </x:c>
      <x:c r="C318" s="148" t="n">
        <x:v>26</x:v>
      </x:c>
      <x:c r="D318" s="115" t="str">
        <x:v>Personen und literarische Figuren charakterisieren: Schreibziel und Kriterien klären</x:v>
      </x:c>
      <x:c r="E318" s="115" t="str">
        <x:v>Schreibziel „eine Figur anhand von Verhalten, Sprache und Beziehungen beschreiben“ verstehen; eine kurze Kriterienliste auf ein Beispiel anwenden. Kurs-I-Niveau: reduzierte Textmenge, Leitfragen, vorstrukturierte Verfahren und alltagsnahe Transferaufgaben.</x:v>
      </x:c>
      <x:c r="F318" s="115" t="str">
        <x:v>Schreibziel „eine Figur anhand von Verhalten, Sprache und Beziehungen beschreiben“ präzisieren; Kriterien gewichten und auf unterschiedliche Schreibsituationen übertragen. Kurs-II-Niveau: komplexere Texte, selbstständige Verfahren, Fachbegriffe und vertiefte Deutung oder Bewertung.</x:v>
      </x:c>
      <x:c r="G318" s="115" t="str">
        <x:v>de_k8_st26_charakteristik_kriterien</x:v>
      </x:c>
      <x:c r="H318" s="176" t="e">
        <x:f>HYPERLINK("schueler/de_k8_st26_charakteristik_kriterien_app.html","Lernmodul öffnen")</x:f>
      </x:c>
      <x:c r="I318" s="177" t="e">
        <x:f>HYPERLINK("lehrer/de_k8_st26_charakteristik_kriterien_orga.html","Vorbereitung öffnen")</x:f>
      </x:c>
    </x:row>
    <x:row r="319" ht="65" customHeight="1">
      <x:c r="A319" s="142" t="n">
        <x:v>8</x:v>
      </x:c>
      <x:c r="B319" s="115" t="str">
        <x:v>Lesen/Umgang mit Texten</x:v>
      </x:c>
      <x:c r="C319" s="148" t="n">
        <x:v>27</x:v>
      </x:c>
      <x:c r="D319" s="115" t="str">
        <x:v>Personen und literarische Figuren charakterisieren: Inhalte auswählen und ordnen</x:v>
      </x:c>
      <x:c r="E319" s="115" t="str">
        <x:v>äußere und innere Merkmale, Entwicklung, Belege mit Leitfragen sammeln und in einer vorgegebenen Reihenfolge ordnen. Kurs-I-Niveau: reduzierte Textmenge, Leitfragen, vorstrukturierte Verfahren und alltagsnahe Transferaufgaben.</x:v>
      </x:c>
      <x:c r="F319" s="115" t="str">
        <x:v>äußere und innere Merkmale, Entwicklung, Belege selbstständig auswählen, gewichten und in einer passenden Gliederung strukturieren. Kurs-II-Niveau: komplexere Texte, selbstständige Verfahren, Fachbegriffe und vertiefte Deutung oder Bewertung.</x:v>
      </x:c>
      <x:c r="G319" s="115" t="str">
        <x:v>de_k8_st27_charakteristik_inhalte_ordnen</x:v>
      </x:c>
      <x:c r="H319" s="176" t="e">
        <x:f>HYPERLINK("schueler/de_k8_st27_charakteristik_inhalte_ordnen_app.html","Lernmodul öffnen")</x:f>
      </x:c>
      <x:c r="I319" s="177" t="e">
        <x:f>HYPERLINK("lehrer/de_k8_st27_charakteristik_inhalte_ordnen_orga.html","Vorbereitung öffnen")</x:f>
      </x:c>
    </x:row>
    <x:row r="320" ht="65" customHeight="1">
      <x:c r="A320" s="142" t="n">
        <x:v>8</x:v>
      </x:c>
      <x:c r="B320" s="115" t="str">
        <x:v>Sprache untersuchen</x:v>
      </x:c>
      <x:c r="C320" s="148" t="n">
        <x:v>28</x:v>
      </x:c>
      <x:c r="D320" s="115" t="str">
        <x:v>Personen und literarische Figuren charakterisieren: passende sprachliche Mittel verwenden</x:v>
      </x:c>
      <x:c r="E320" s="115" t="str">
        <x:v>charakterisierende Adjektive, Zitate, Schlussfolgerungen in Übungen erkennen und nach Satzmustern anwenden. Kurs-I-Niveau: reduzierte Textmenge, Leitfragen, vorstrukturierte Verfahren und alltagsnahe Transferaufgaben.</x:v>
      </x:c>
      <x:c r="F320" s="115" t="str">
        <x:v>charakterisierende Adjektive, Zitate, Schlussfolgerungen hinsichtlich Wirkung und Angemessenheit prüfen und gezielt variieren. Kurs-II-Niveau: komplexere Texte, selbstständige Verfahren, Fachbegriffe und vertiefte Deutung oder Bewertung.</x:v>
      </x:c>
      <x:c r="G320" s="115" t="str">
        <x:v>de_k8_st28_charakteristik_sprachmittel</x:v>
      </x:c>
      <x:c r="H320" s="176" t="e">
        <x:f>HYPERLINK("schueler/de_k8_st28_charakteristik_sprachmittel_app.html","Lernmodul öffnen")</x:f>
      </x:c>
      <x:c r="I320" s="177" t="e">
        <x:f>HYPERLINK("lehrer/de_k8_st28_charakteristik_sprachmittel_orga.html","Vorbereitung öffnen")</x:f>
      </x:c>
    </x:row>
    <x:row r="321" ht="65" customHeight="1">
      <x:c r="A321" s="142" t="n">
        <x:v>8</x:v>
      </x:c>
      <x:c r="B321" s="115" t="str">
        <x:v>Schreiben</x:v>
      </x:c>
      <x:c r="C321" s="148" t="n">
        <x:v>29</x:v>
      </x:c>
      <x:c r="D321" s="115" t="str">
        <x:v>Personen und literarische Figuren charakterisieren: einen Schreibplan erstellen</x:v>
      </x:c>
      <x:c r="E321" s="115" t="str">
        <x:v>Einen vorstrukturierten Schreibplan ausfüllen; Einleitung, Hauptteil und Schluss festlegen. Kurs-I-Niveau: reduzierte Textmenge, Leitfragen, vorstrukturierte Verfahren und alltagsnahe Transferaufgaben.</x:v>
      </x:c>
      <x:c r="F321" s="115" t="str">
        <x:v>Einen eigenen Schreibplan mit Teilzielen, Belegen und sprachlichen Mitteln entwickeln. Kurs-II-Niveau: komplexere Texte, selbstständige Verfahren, Fachbegriffe und vertiefte Deutung oder Bewertung.</x:v>
      </x:c>
      <x:c r="G321" s="115" t="str">
        <x:v>de_k8_st29_charakteristik_schreibplan</x:v>
      </x:c>
      <x:c r="H321" s="176" t="e">
        <x:f>HYPERLINK("schueler/de_k8_st29_charakteristik_schreibplan_app.html","Lernmodul öffnen")</x:f>
      </x:c>
      <x:c r="I321" s="177" t="e">
        <x:f>HYPERLINK("lehrer/de_k8_st29_charakteristik_schreibplan_orga.html","Vorbereitung öffnen")</x:f>
      </x:c>
    </x:row>
    <x:row r="322" ht="65" customHeight="1">
      <x:c r="A322" s="142" t="n">
        <x:v>8</x:v>
      </x:c>
      <x:c r="B322" s="115" t="str">
        <x:v>Schreiben</x:v>
      </x:c>
      <x:c r="C322" s="148" t="n">
        <x:v>30</x:v>
      </x:c>
      <x:c r="D322" s="115" t="str">
        <x:v>Personen und literarische Figuren charakterisieren: einen ersten Textentwurf verfassen</x:v>
      </x:c>
      <x:c r="E322" s="115" t="str">
        <x:v>Literarische charakteristik mithilfe von Schreibrahmen, Satzanfängen und Wortbank verfassen. Kurs-I-Niveau: reduzierte Textmenge, Leitfragen, vorstrukturierte Verfahren und alltagsnahe Transferaufgaben.</x:v>
      </x:c>
      <x:c r="F322" s="115" t="str">
        <x:v>Literarische charakteristik selbstständig, adressatenbezogen und sprachlich differenziert verfassen. Kurs-II-Niveau: komplexere Texte, selbstständige Verfahren, Fachbegriffe und vertiefte Deutung oder Bewertung.</x:v>
      </x:c>
      <x:c r="G322" s="115" t="str">
        <x:v>de_k8_st30_charakteristik_entwurf</x:v>
      </x:c>
      <x:c r="H322" s="176" t="e">
        <x:f>HYPERLINK("schueler/de_k8_st30_charakteristik_entwurf_app.html","Lernmodul öffnen")</x:f>
      </x:c>
      <x:c r="I322" s="177" t="e">
        <x:f>HYPERLINK("lehrer/de_k8_st30_charakteristik_entwurf_orga.html","Vorbereitung öffnen")</x:f>
      </x:c>
    </x:row>
    <x:row r="323" ht="65" customHeight="1">
      <x:c r="A323" s="142" t="n">
        <x:v>8</x:v>
      </x:c>
      <x:c r="B323" s="115" t="str">
        <x:v>Schreiben</x:v>
      </x:c>
      <x:c r="C323" s="148" t="n">
        <x:v>31</x:v>
      </x:c>
      <x:c r="D323" s="115" t="str">
        <x:v>Personen und literarische Figuren charakterisieren: Text kriteriengeleitet überarbeiten</x:v>
      </x:c>
      <x:c r="E323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323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323" s="115" t="str">
        <x:v>de_k8_st31_charakteristik_ueberarbeiten</x:v>
      </x:c>
      <x:c r="H323" s="176" t="e">
        <x:f>HYPERLINK("schueler/de_k8_st31_charakteristik_ueberarbeiten_app.html","Lernmodul öffnen")</x:f>
      </x:c>
      <x:c r="I323" s="177" t="e">
        <x:f>HYPERLINK("lehrer/de_k8_st31_charakteristik_ueberarbeiten_orga.html","Vorbereitung öffnen")</x:f>
      </x:c>
    </x:row>
    <x:row r="324" ht="65" customHeight="1">
      <x:c r="A324" s="142" t="n">
        <x:v>8</x:v>
      </x:c>
      <x:c r="B324" s="115" t="str">
        <x:v>Sprechen und Zuhören</x:v>
      </x:c>
      <x:c r="C324" s="148" t="n">
        <x:v>32</x:v>
      </x:c>
      <x:c r="D324" s="115" t="str">
        <x:v>Personen und literarische Figuren charakterisieren: Texte vorstellen und bewerten</x:v>
      </x:c>
      <x:c r="E324" s="115" t="str">
        <x:v>Ausgewählte Passage vorlesen oder erläutern; Rückmeldung mit einfachen Satzmustern geben. Kurs-I-Niveau: reduzierte Textmenge, Leitfragen, vorstrukturierte Verfahren und alltagsnahe Transferaufgaben.</x:v>
      </x:c>
      <x:c r="F324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324" s="115" t="str">
        <x:v>de_k8_st32_charakteristik_vorstellen</x:v>
      </x:c>
      <x:c r="H324" s="176" t="e">
        <x:f>HYPERLINK("schueler/de_k8_st32_charakteristik_vorstellen_app.html","Lernmodul öffnen")</x:f>
      </x:c>
      <x:c r="I324" s="177" t="e">
        <x:f>HYPERLINK("lehrer/de_k8_st32_charakteristik_vorstellen_orga.html","Vorbereitung öffnen")</x:f>
      </x:c>
    </x:row>
    <x:row r="325" ht="65" customHeight="1">
      <x:c r="A325" s="142" t="n">
        <x:v>8</x:v>
      </x:c>
      <x:c r="B325" s="115" t="str">
        <x:v>Lesen/Umgang mit Texten</x:v>
      </x:c>
      <x:c r="C325" s="148" t="n">
        <x:v>33</x:v>
      </x:c>
      <x:c r="D325" s="115" t="str">
        <x:v>Eine lineare Erörterung entwickeln: Beispieltexte untersuchen</x:v>
      </x:c>
      <x:c r="E325" s="115" t="str">
        <x:v>Ein Beispiel für lineare Erörterung lesen; Aufbau und typische Formulierungen farbig kennzeichnen. Kurs-I-Niveau: reduzierte Textmenge, Leitfragen, vorstrukturierte Verfahren und alltagsnahe Transferaufgaben.</x:v>
      </x:c>
      <x:c r="F325" s="115" t="str">
        <x:v>Mehrere Beispiele für lineare Erörterung vergleichen; Funktion, Adressat und Qualitätsunterschiede herausarbeiten. Kurs-II-Niveau: komplexere Texte, selbstständige Verfahren, Fachbegriffe und vertiefte Deutung oder Bewertung.</x:v>
      </x:c>
      <x:c r="G325" s="115" t="str">
        <x:v>de_k8_st33_eroerterung_linear_beispiel</x:v>
      </x:c>
      <x:c r="H325" s="176" t="e">
        <x:f>HYPERLINK("schueler/de_k8_st33_eroerterung_linear_beispiel_app.html","Lernmodul öffnen")</x:f>
      </x:c>
      <x:c r="I325" s="177" t="e">
        <x:f>HYPERLINK("lehrer/de_k8_st33_eroerterung_linear_beispiel_orga.html","Vorbereitung öffnen")</x:f>
      </x:c>
    </x:row>
    <x:row r="326" ht="65" customHeight="1">
      <x:c r="A326" s="142" t="n">
        <x:v>8</x:v>
      </x:c>
      <x:c r="B326" s="115" t="str">
        <x:v>Schreiben</x:v>
      </x:c>
      <x:c r="C326" s="148" t="n">
        <x:v>34</x:v>
      </x:c>
      <x:c r="D326" s="115" t="str">
        <x:v>Eine lineare Erörterung entwickeln: Schreibziel und Kriterien klären</x:v>
      </x:c>
      <x:c r="E326" s="115" t="str">
        <x:v>Schreibziel „eine Streitfrage geordnet und überzeugend beantworten“ verstehen; eine kurze Kriterienliste auf ein Beispiel anwenden. Kurs-I-Niveau: reduzierte Textmenge, Leitfragen, vorstrukturierte Verfahren und alltagsnahe Transferaufgaben.</x:v>
      </x:c>
      <x:c r="F326" s="115" t="str">
        <x:v>Schreibziel „eine Streitfrage geordnet und überzeugend beantworten“ präzisieren; Kriterien gewichten und auf unterschiedliche Schreibsituationen übertragen. Kurs-II-Niveau: komplexere Texte, selbstständige Verfahren, Fachbegriffe und vertiefte Deutung oder Bewertung.</x:v>
      </x:c>
      <x:c r="G326" s="115" t="str">
        <x:v>de_k8_st34_eroerterung_linear_kriterien</x:v>
      </x:c>
      <x:c r="H326" s="176" t="e">
        <x:f>HYPERLINK("schueler/de_k8_st34_eroerterung_linear_kriterien_app.html","Lernmodul öffnen")</x:f>
      </x:c>
      <x:c r="I326" s="177" t="e">
        <x:f>HYPERLINK("lehrer/de_k8_st34_eroerterung_linear_kriterien_orga.html","Vorbereitung öffnen")</x:f>
      </x:c>
    </x:row>
    <x:row r="327" ht="65" customHeight="1">
      <x:c r="A327" s="142" t="n">
        <x:v>8</x:v>
      </x:c>
      <x:c r="B327" s="115" t="str">
        <x:v>Lesen/Umgang mit Texten</x:v>
      </x:c>
      <x:c r="C327" s="148" t="n">
        <x:v>35</x:v>
      </x:c>
      <x:c r="D327" s="115" t="str">
        <x:v>Eine lineare Erörterung entwickeln: Inhalte auswählen und ordnen</x:v>
      </x:c>
      <x:c r="E327" s="115" t="str">
        <x:v>These, Argumentfolge, Beispiele, Schluss mit Leitfragen sammeln und in einer vorgegebenen Reihenfolge ordnen. Kurs-I-Niveau: reduzierte Textmenge, Leitfragen, vorstrukturierte Verfahren und alltagsnahe Transferaufgaben.</x:v>
      </x:c>
      <x:c r="F327" s="115" t="str">
        <x:v>These, Argumentfolge, Beispiele, Schluss selbstständig auswählen, gewichten und in einer passenden Gliederung strukturieren. Kurs-II-Niveau: komplexere Texte, selbstständige Verfahren, Fachbegriffe und vertiefte Deutung oder Bewertung.</x:v>
      </x:c>
      <x:c r="G327" s="115" t="str">
        <x:v>de_k8_st35_eroerterung_linear_inhalte_ordnen</x:v>
      </x:c>
      <x:c r="H327" s="176" t="e">
        <x:f>HYPERLINK("schueler/de_k8_st35_eroerterung_linear_inhalte_ordnen_app.html","Lernmodul öffnen")</x:f>
      </x:c>
      <x:c r="I327" s="177" t="e">
        <x:f>HYPERLINK("lehrer/de_k8_st35_eroerterung_linear_inhalte_ordnen_orga.html","Vorbereitung öffnen")</x:f>
      </x:c>
    </x:row>
    <x:row r="328" ht="65" customHeight="1">
      <x:c r="A328" s="142" t="n">
        <x:v>8</x:v>
      </x:c>
      <x:c r="B328" s="115" t="str">
        <x:v>Sprache untersuchen</x:v>
      </x:c>
      <x:c r="C328" s="148" t="n">
        <x:v>36</x:v>
      </x:c>
      <x:c r="D328" s="115" t="str">
        <x:v>Eine lineare Erörterung entwickeln: passende sprachliche Mittel verwenden</x:v>
      </x:c>
      <x:c r="E328" s="115" t="str">
        <x:v>Verknüpfungen, sachlicher Stil, Gewichtung in Übungen erkennen und nach Satzmustern anwenden. Kurs-I-Niveau: reduzierte Textmenge, Leitfragen, vorstrukturierte Verfahren und alltagsnahe Transferaufgaben.</x:v>
      </x:c>
      <x:c r="F328" s="115" t="str">
        <x:v>Verknüpfungen, sachlicher Stil, Gewichtung hinsichtlich Wirkung und Angemessenheit prüfen und gezielt variieren. Kurs-II-Niveau: komplexere Texte, selbstständige Verfahren, Fachbegriffe und vertiefte Deutung oder Bewertung.</x:v>
      </x:c>
      <x:c r="G328" s="115" t="str">
        <x:v>de_k8_st36_eroerterung_linear_sprachmittel</x:v>
      </x:c>
      <x:c r="H328" s="176" t="e">
        <x:f>HYPERLINK("schueler/de_k8_st36_eroerterung_linear_sprachmittel_app.html","Lernmodul öffnen")</x:f>
      </x:c>
      <x:c r="I328" s="177" t="e">
        <x:f>HYPERLINK("lehrer/de_k8_st36_eroerterung_linear_sprachmittel_orga.html","Vorbereitung öffnen")</x:f>
      </x:c>
    </x:row>
    <x:row r="329" ht="65" customHeight="1">
      <x:c r="A329" s="142" t="n">
        <x:v>8</x:v>
      </x:c>
      <x:c r="B329" s="115" t="str">
        <x:v>Schreiben</x:v>
      </x:c>
      <x:c r="C329" s="148" t="n">
        <x:v>37</x:v>
      </x:c>
      <x:c r="D329" s="115" t="str">
        <x:v>Eine lineare Erörterung entwickeln: einen Schreibplan erstellen</x:v>
      </x:c>
      <x:c r="E329" s="115" t="str">
        <x:v>Einen vorstrukturierten Schreibplan ausfüllen; Einleitung, Hauptteil und Schluss festlegen. Kurs-I-Niveau: reduzierte Textmenge, Leitfragen, vorstrukturierte Verfahren und alltagsnahe Transferaufgaben.</x:v>
      </x:c>
      <x:c r="F329" s="115" t="str">
        <x:v>Einen eigenen Schreibplan mit Teilzielen, Belegen und sprachlichen Mitteln entwickeln. Kurs-II-Niveau: komplexere Texte, selbstständige Verfahren, Fachbegriffe und vertiefte Deutung oder Bewertung.</x:v>
      </x:c>
      <x:c r="G329" s="115" t="str">
        <x:v>de_k8_st37_eroerterung_linear_schreibplan</x:v>
      </x:c>
      <x:c r="H329" s="176" t="e">
        <x:f>HYPERLINK("schueler/de_k8_st37_eroerterung_linear_schreibplan_app.html","Lernmodul öffnen")</x:f>
      </x:c>
      <x:c r="I329" s="177" t="e">
        <x:f>HYPERLINK("lehrer/de_k8_st37_eroerterung_linear_schreibplan_orga.html","Vorbereitung öffnen")</x:f>
      </x:c>
    </x:row>
    <x:row r="330" ht="65" customHeight="1">
      <x:c r="A330" s="142" t="n">
        <x:v>8</x:v>
      </x:c>
      <x:c r="B330" s="115" t="str">
        <x:v>Schreiben</x:v>
      </x:c>
      <x:c r="C330" s="148" t="n">
        <x:v>38</x:v>
      </x:c>
      <x:c r="D330" s="115" t="str">
        <x:v>Eine lineare Erörterung entwickeln: einen ersten Textentwurf verfassen</x:v>
      </x:c>
      <x:c r="E330" s="115" t="str">
        <x:v>Lineare erörterung mithilfe von Schreibrahmen, Satzanfängen und Wortbank verfassen. Kurs-I-Niveau: reduzierte Textmenge, Leitfragen, vorstrukturierte Verfahren und alltagsnahe Transferaufgaben.</x:v>
      </x:c>
      <x:c r="F330" s="115" t="str">
        <x:v>Lineare erörterung selbstständig, adressatenbezogen und sprachlich differenziert verfassen. Kurs-II-Niveau: komplexere Texte, selbstständige Verfahren, Fachbegriffe und vertiefte Deutung oder Bewertung.</x:v>
      </x:c>
      <x:c r="G330" s="115" t="str">
        <x:v>de_k8_st38_eroerterung_linear_entwurf</x:v>
      </x:c>
      <x:c r="H330" s="176" t="e">
        <x:f>HYPERLINK("schueler/de_k8_st38_eroerterung_linear_entwurf_app.html","Lernmodul öffnen")</x:f>
      </x:c>
      <x:c r="I330" s="177" t="e">
        <x:f>HYPERLINK("lehrer/de_k8_st38_eroerterung_linear_entwurf_orga.html","Vorbereitung öffnen")</x:f>
      </x:c>
    </x:row>
    <x:row r="331" ht="65" customHeight="1">
      <x:c r="A331" s="142" t="n">
        <x:v>8</x:v>
      </x:c>
      <x:c r="B331" s="115" t="str">
        <x:v>Schreiben</x:v>
      </x:c>
      <x:c r="C331" s="148" t="n">
        <x:v>39</x:v>
      </x:c>
      <x:c r="D331" s="115" t="str">
        <x:v>Eine lineare Erörterung entwickeln: Text kriteriengeleitet überarbeiten</x:v>
      </x:c>
      <x:c r="E331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331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331" s="115" t="str">
        <x:v>de_k8_st39_eroerterung_linear_ueberarbeiten</x:v>
      </x:c>
      <x:c r="H331" s="176" t="e">
        <x:f>HYPERLINK("schueler/de_k8_st39_eroerterung_linear_ueberarbeiten_app.html","Lernmodul öffnen")</x:f>
      </x:c>
      <x:c r="I331" s="177" t="e">
        <x:f>HYPERLINK("lehrer/de_k8_st39_eroerterung_linear_ueberarbeiten_orga.html","Vorbereitung öffnen")</x:f>
      </x:c>
    </x:row>
    <x:row r="332" ht="65" customHeight="1">
      <x:c r="A332" s="142" t="n">
        <x:v>8</x:v>
      </x:c>
      <x:c r="B332" s="115" t="str">
        <x:v>Sprechen und Zuhören</x:v>
      </x:c>
      <x:c r="C332" s="148" t="n">
        <x:v>40</x:v>
      </x:c>
      <x:c r="D332" s="115" t="str">
        <x:v>Eine lineare Erörterung entwickeln: Texte vorstellen und bewerten</x:v>
      </x:c>
      <x:c r="E332" s="115" t="str">
        <x:v>Ausgewählte Passage vorlesen oder erläutern; Rückmeldung mit einfachen Satzmustern geben. Kurs-I-Niveau: reduzierte Textmenge, Leitfragen, vorstrukturierte Verfahren und alltagsnahe Transferaufgaben.</x:v>
      </x:c>
      <x:c r="F332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332" s="115" t="str">
        <x:v>de_k8_st40_eroerterung_linear_vorstellen</x:v>
      </x:c>
      <x:c r="H332" s="176" t="e">
        <x:f>HYPERLINK("schueler/de_k8_st40_eroerterung_linear_vorstellen_app.html","Lernmodul öffnen")</x:f>
      </x:c>
      <x:c r="I332" s="177" t="e">
        <x:f>HYPERLINK("lehrer/de_k8_st40_eroerterung_linear_vorstellen_orga.html","Vorbereitung öffnen")</x:f>
      </x:c>
    </x:row>
    <x:row r="333" ht="65" customHeight="1">
      <x:c r="A333" s="142" t="n">
        <x:v>8</x:v>
      </x:c>
      <x:c r="B333" s="115" t="str">
        <x:v>Sprache untersuchen</x:v>
      </x:c>
      <x:c r="C333" s="148" t="n">
        <x:v>41</x:v>
      </x:c>
      <x:c r="D333" s="115" t="str">
        <x:v>Satzgefüge und Kommasetzung: Lernstand feststellen</x:v>
      </x:c>
      <x:c r="E333" s="115" t="str">
        <x:v>Kurze Diagnose zu Haupt- und Nebensätze bearbeiten; eigene Unsicherheiten markieren. Kurs-I-Niveau: reduzierte Textmenge, Leitfragen, vorstrukturierte Verfahren und alltagsnahe Transferaufgaben.</x:v>
      </x:c>
      <x:c r="F333" s="115" t="str">
        <x:v>Diagnose zu Haupt- und Nebensätze auswerten; Fehlermuster benennen und persönliche Lernziele ableiten. Kurs-II-Niveau: komplexere Texte, selbstständige Verfahren, Fachbegriffe und vertiefte Deutung oder Bewertung.</x:v>
      </x:c>
      <x:c r="G333" s="115" t="str">
        <x:v>de_k8_st41_satzgefuege_diagnose</x:v>
      </x:c>
      <x:c r="H333" s="176" t="e">
        <x:f>HYPERLINK("schueler/de_k8_st41_satzgefuege_diagnose_app.html","Lernmodul öffnen")</x:f>
      </x:c>
      <x:c r="I333" s="177" t="e">
        <x:f>HYPERLINK("lehrer/de_k8_st41_satzgefuege_diagnose_orga.html","Vorbereitung öffnen")</x:f>
      </x:c>
    </x:row>
    <x:row r="334" ht="65" customHeight="1">
      <x:c r="A334" s="142" t="n">
        <x:v>8</x:v>
      </x:c>
      <x:c r="B334" s="115" t="str">
        <x:v>Sprache untersuchen</x:v>
      </x:c>
      <x:c r="C334" s="148" t="n">
        <x:v>42</x:v>
      </x:c>
      <x:c r="D334" s="115" t="str">
        <x:v>Satzgefüge und Kommasetzung: Grundbegriffe sichern</x:v>
      </x:c>
      <x:c r="E334" s="115" t="str">
        <x:v>Konjunktionen, Relativsätze, Infinitivgruppen und Kommas an einfachen Beispielen erkennen und mit Merkkarten sichern. Kurs-I-Niveau: reduzierte Textmenge, Leitfragen, vorstrukturierte Verfahren und alltagsnahe Transferaufgaben.</x:v>
      </x:c>
      <x:c r="F334" s="115" t="str">
        <x:v>Konjunktionen, Relativsätze, Infinitivgruppen und Kommas fachsprachlich erklären, voneinander abgrenzen und in komplexeren Beispielen bestimmen. Kurs-II-Niveau: komplexere Texte, selbstständige Verfahren, Fachbegriffe und vertiefte Deutung oder Bewertung.</x:v>
      </x:c>
      <x:c r="G334" s="115" t="str">
        <x:v>de_k8_st42_satzgefuege_grundbegriffe</x:v>
      </x:c>
      <x:c r="H334" s="176" t="e">
        <x:f>HYPERLINK("schueler/de_k8_st42_satzgefuege_grundbegriffe_app.html","Lernmodul öffnen")</x:f>
      </x:c>
      <x:c r="I334" s="177" t="e">
        <x:f>HYPERLINK("lehrer/de_k8_st42_satzgefuege_grundbegriffe_orga.html","Vorbereitung öffnen")</x:f>
      </x:c>
    </x:row>
    <x:row r="335" ht="65" customHeight="1">
      <x:c r="A335" s="142" t="n">
        <x:v>8</x:v>
      </x:c>
      <x:c r="B335" s="115" t="str">
        <x:v>Sprache untersuchen</x:v>
      </x:c>
      <x:c r="C335" s="148" t="n">
        <x:v>43</x:v>
      </x:c>
      <x:c r="D335" s="115" t="str">
        <x:v>Satzgefüge und Kommasetzung: Verfahren anwenden</x:v>
      </x:c>
      <x:c r="E335" s="115" t="str">
        <x:v>Felddiagnose und Satzbauproben Schritt für Schritt anwenden; Entscheidungen mündlich begründen. Kurs-I-Niveau: reduzierte Textmenge, Leitfragen, vorstrukturierte Verfahren und alltagsnahe Transferaufgaben.</x:v>
      </x:c>
      <x:c r="F335" s="115" t="str">
        <x:v>Felddiagnose und Satzbauproben selbstständig auswählen, kombinieren und auf Zweifelsfälle übertragen. Kurs-II-Niveau: komplexere Texte, selbstständige Verfahren, Fachbegriffe und vertiefte Deutung oder Bewertung.</x:v>
      </x:c>
      <x:c r="G335" s="115" t="str">
        <x:v>de_k8_st43_satzgefuege_verfahren</x:v>
      </x:c>
      <x:c r="H335" s="176" t="e">
        <x:f>HYPERLINK("schueler/de_k8_st43_satzgefuege_verfahren_app.html","Lernmodul öffnen")</x:f>
      </x:c>
      <x:c r="I335" s="177" t="e">
        <x:f>HYPERLINK("lehrer/de_k8_st43_satzgefuege_verfahren_orga.html","Vorbereitung öffnen")</x:f>
      </x:c>
    </x:row>
    <x:row r="336" ht="65" customHeight="1">
      <x:c r="A336" s="142" t="n">
        <x:v>8</x:v>
      </x:c>
      <x:c r="B336" s="115" t="str">
        <x:v>Sprache untersuchen</x:v>
      </x:c>
      <x:c r="C336" s="148" t="n">
        <x:v>44</x:v>
      </x:c>
      <x:c r="D336" s="115" t="str">
        <x:v>Satzgefüge und Kommasetzung: Formen und Funktionen untersuchen</x:v>
      </x:c>
      <x:c r="E336" s="115" t="str">
        <x:v>Formen bilden und ihre Aufgabe im Satz mit Leitfragen beschreiben. Kurs-I-Niveau: reduzierte Textmenge, Leitfragen, vorstrukturierte Verfahren und alltagsnahe Transferaufgaben.</x:v>
      </x:c>
      <x:c r="F336" s="115" t="str">
        <x:v>Form, Funktion und Wirkung im Satz oder Text untersuchen; alternative Formulierungen vergleichen. Kurs-II-Niveau: komplexere Texte, selbstständige Verfahren, Fachbegriffe und vertiefte Deutung oder Bewertung.</x:v>
      </x:c>
      <x:c r="G336" s="115" t="str">
        <x:v>de_k8_st44_satzgefuege_funktion</x:v>
      </x:c>
      <x:c r="H336" s="176" t="e">
        <x:f>HYPERLINK("schueler/de_k8_st44_satzgefuege_funktion_app.html","Lernmodul öffnen")</x:f>
      </x:c>
      <x:c r="I336" s="177" t="e">
        <x:f>HYPERLINK("lehrer/de_k8_st44_satzgefuege_funktion_orga.html","Vorbereitung öffnen")</x:f>
      </x:c>
    </x:row>
    <x:row r="337" ht="65" customHeight="1">
      <x:c r="A337" s="142" t="n">
        <x:v>8</x:v>
      </x:c>
      <x:c r="B337" s="115" t="str">
        <x:v>Schreiben</x:v>
      </x:c>
      <x:c r="C337" s="148" t="n">
        <x:v>45</x:v>
      </x:c>
      <x:c r="D337" s="115" t="str">
        <x:v>Satzgefüge und Kommasetzung: Wissen im eigenen Text nutzen</x:v>
      </x:c>
      <x:c r="E337" s="115" t="str">
        <x:v>Argumentationen und charakteristiken nach Vorgabe verfassen und die geübten Strukturen farbig markieren. Kurs-I-Niveau: reduzierte Textmenge, Leitfragen, vorstrukturierte Verfahren und alltagsnahe Transferaufgaben.</x:v>
      </x:c>
      <x:c r="F337" s="115" t="str">
        <x:v>Argumentationen und charakteristiken bewusst gestalten und sprachliche Entscheidungen kommentieren. Kurs-II-Niveau: komplexere Texte, selbstständige Verfahren, Fachbegriffe und vertiefte Deutung oder Bewertung.</x:v>
      </x:c>
      <x:c r="G337" s="115" t="str">
        <x:v>de_k8_st45_satzgefuege_anwenden</x:v>
      </x:c>
      <x:c r="H337" s="176" t="e">
        <x:f>HYPERLINK("schueler/de_k8_st45_satzgefuege_anwenden_app.html","Lernmodul öffnen")</x:f>
      </x:c>
      <x:c r="I337" s="177" t="e">
        <x:f>HYPERLINK("lehrer/de_k8_st45_satzgefuege_anwenden_orga.html","Vorbereitung öffnen")</x:f>
      </x:c>
    </x:row>
    <x:row r="338" ht="65" customHeight="1">
      <x:c r="A338" s="142" t="n">
        <x:v>8</x:v>
      </x:c>
      <x:c r="B338" s="115" t="str">
        <x:v>Sprache untersuchen</x:v>
      </x:c>
      <x:c r="C338" s="148" t="n">
        <x:v>46</x:v>
      </x:c>
      <x:c r="D338" s="115" t="str">
        <x:v>Satzgefüge und Kommasetzung: Fehler finden und korrigieren</x:v>
      </x:c>
      <x:c r="E338" s="115" t="str">
        <x:v>Typische Fehler in kurzen Sätzen finden; passende Regelkarte auswählen und korrigieren. Kurs-I-Niveau: reduzierte Textmenge, Leitfragen, vorstrukturierte Verfahren und alltagsnahe Transferaufgaben.</x:v>
      </x:c>
      <x:c r="F338" s="115" t="str">
        <x:v>Fehler systematisch diagnostizieren, Regelbezug herstellen und mehrere Korrekturmöglichkeiten bewerten. Kurs-II-Niveau: komplexere Texte, selbstständige Verfahren, Fachbegriffe und vertiefte Deutung oder Bewertung.</x:v>
      </x:c>
      <x:c r="G338" s="115" t="str">
        <x:v>de_k8_st46_satzgefuege_fehler</x:v>
      </x:c>
      <x:c r="H338" s="176" t="e">
        <x:f>HYPERLINK("schueler/de_k8_st46_satzgefuege_fehler_app.html","Lernmodul öffnen")</x:f>
      </x:c>
      <x:c r="I338" s="177" t="e">
        <x:f>HYPERLINK("lehrer/de_k8_st46_satzgefuege_fehler_orga.html","Vorbereitung öffnen")</x:f>
      </x:c>
    </x:row>
    <x:row r="339" ht="65" customHeight="1">
      <x:c r="A339" s="142" t="n">
        <x:v>8</x:v>
      </x:c>
      <x:c r="B339" s="115" t="str">
        <x:v>Sprache untersuchen</x:v>
      </x:c>
      <x:c r="C339" s="148" t="n">
        <x:v>47</x:v>
      </x:c>
      <x:c r="D339" s="115" t="str">
        <x:v>Satzgefüge und Kommasetzung: Transfer auf unbekannte Beispiele</x:v>
      </x:c>
      <x:c r="E339" s="115" t="str">
        <x:v>Neue Beispiele mit Hilfekarte bearbeiten und Lösungen vergleichen. Kurs-I-Niveau: reduzierte Textmenge, Leitfragen, vorstrukturierte Verfahren und alltagsnahe Transferaufgaben.</x:v>
      </x:c>
      <x:c r="F339" s="115" t="str">
        <x:v>Unbekannte und mehrdeutige Beispiele selbstständig analysieren; Grenzfälle begründet diskutieren. Kurs-II-Niveau: komplexere Texte, selbstständige Verfahren, Fachbegriffe und vertiefte Deutung oder Bewertung.</x:v>
      </x:c>
      <x:c r="G339" s="115" t="str">
        <x:v>de_k8_st47_satzgefuege_transfer</x:v>
      </x:c>
      <x:c r="H339" s="176" t="e">
        <x:f>HYPERLINK("schueler/de_k8_st47_satzgefuege_transfer_app.html","Lernmodul öffnen")</x:f>
      </x:c>
      <x:c r="I339" s="177" t="e">
        <x:f>HYPERLINK("lehrer/de_k8_st47_satzgefuege_transfer_orga.html","Vorbereitung öffnen")</x:f>
      </x:c>
    </x:row>
    <x:row r="340" ht="65" customHeight="1">
      <x:c r="A340" s="142" t="n">
        <x:v>8</x:v>
      </x:c>
      <x:c r="B340" s="115" t="str">
        <x:v>Schreiben</x:v>
      </x:c>
      <x:c r="C340" s="148" t="n">
        <x:v>48</x:v>
      </x:c>
      <x:c r="D340" s="115" t="str">
        <x:v>Satzgefüge und Kommasetzung: Lernprodukt und Kompetenzcheck</x:v>
      </x:c>
      <x:c r="E340" s="115" t="str">
        <x:v>Merkblatt oder Übungstext erstellen; Grundregeln in einem kurzen Kompetenzcheck anwenden. Kurs-I-Niveau: reduzierte Textmenge, Leitfragen, vorstrukturierte Verfahren und alltagsnahe Transferaufgaben.</x:v>
      </x:c>
      <x:c r="F340" s="115" t="str">
        <x:v>Erklärprodukt mit eigenen Beispielen erstellen; Regeln in einem anspruchsvollen Kompetenzcheck sicher anwenden. Kurs-II-Niveau: komplexere Texte, selbstständige Verfahren, Fachbegriffe und vertiefte Deutung oder Bewertung.</x:v>
      </x:c>
      <x:c r="G340" s="115" t="str">
        <x:v>de_k8_st48_satzgefuege_kompetenzcheck</x:v>
      </x:c>
      <x:c r="H340" s="176" t="e">
        <x:f>HYPERLINK("schueler/de_k8_st48_satzgefuege_kompetenzcheck_app.html","Lernmodul öffnen")</x:f>
      </x:c>
      <x:c r="I340" s="177" t="e">
        <x:f>HYPERLINK("lehrer/de_k8_st48_satzgefuege_kompetenzcheck_orga.html","Vorbereitung öffnen")</x:f>
      </x:c>
    </x:row>
    <x:row r="341" ht="65" customHeight="1">
      <x:c r="A341" s="142" t="n">
        <x:v>8</x:v>
      </x:c>
      <x:c r="B341" s="115" t="str">
        <x:v>Sprechen und Zuhören</x:v>
      </x:c>
      <x:c r="C341" s="148" t="n">
        <x:v>49</x:v>
      </x:c>
      <x:c r="D341" s="115" t="str">
        <x:v>Novelle oder Jugendroman: Hör- oder Leseeinstieg gestalten</x:v>
      </x:c>
      <x:c r="E341" s="115" t="str">
        <x:v>Einstieg über Bild, Hörtext oder kurzen Auszug; Vorwissen zu längere epische Ganzschrift sammeln und zentrale Wörter klären. Kurs-I-Niveau: reduzierte Textmenge, Leitfragen, vorstrukturierte Verfahren und alltagsnahe Transferaufgaben.</x:v>
      </x:c>
      <x:c r="F341" s="115" t="str">
        <x:v>Aus Titel, Kontext und Gestaltung Erwartungen an längere epische Ganzschrift ableiten; erste Hypothesen formulieren und begründen. Kurs-II-Niveau: komplexere Texte, selbstständige Verfahren, Fachbegriffe und vertiefte Deutung oder Bewertung.</x:v>
      </x:c>
      <x:c r="G341" s="115" t="str">
        <x:v>de_k8_st49_novelle_einstieg</x:v>
      </x:c>
      <x:c r="H341" s="176" t="e">
        <x:f>HYPERLINK("schueler/de_k8_st49_novelle_einstieg_app.html","Lernmodul öffnen")</x:f>
      </x:c>
      <x:c r="I341" s="177" t="e">
        <x:f>HYPERLINK("lehrer/de_k8_st49_novelle_einstieg_orga.html","Vorbereitung öffnen")</x:f>
      </x:c>
    </x:row>
    <x:row r="342" ht="65" customHeight="1">
      <x:c r="A342" s="142" t="n">
        <x:v>8</x:v>
      </x:c>
      <x:c r="B342" s="115" t="str">
        <x:v>Lesen/Umgang mit Texten</x:v>
      </x:c>
      <x:c r="C342" s="148" t="n">
        <x:v>50</x:v>
      </x:c>
      <x:c r="D342" s="115" t="str">
        <x:v>Novelle oder Jugendroman: den Text mit Lesestrategien erschließen</x:v>
      </x:c>
      <x:c r="E342" s="115" t="str">
        <x:v>Text abschnittsweise lesen; Schlüsselwörter markieren und den Inhalt mit Leitfragen sichern. Kurs-I-Niveau: reduzierte Textmenge, Leitfragen, vorstrukturierte Verfahren und alltagsnahe Transferaufgaben.</x:v>
      </x:c>
      <x:c r="F342" s="115" t="str">
        <x:v>Lesetechnik passend zum Ziel wählen; Sinnabschnitte, Schlüsselstellen und offene Fragen selbstständig festhalten. Kurs-II-Niveau: komplexere Texte, selbstständige Verfahren, Fachbegriffe und vertiefte Deutung oder Bewertung.</x:v>
      </x:c>
      <x:c r="G342" s="115" t="str">
        <x:v>de_k8_st50_novelle_erschliessen</x:v>
      </x:c>
      <x:c r="H342" s="176" t="e">
        <x:f>HYPERLINK("schueler/de_k8_st50_novelle_erschliessen_app.html","Lernmodul öffnen")</x:f>
      </x:c>
      <x:c r="I342" s="177" t="e">
        <x:f>HYPERLINK("lehrer/de_k8_st50_novelle_erschliessen_orga.html","Vorbereitung öffnen")</x:f>
      </x:c>
    </x:row>
    <x:row r="343" ht="65" customHeight="1">
      <x:c r="A343" s="142" t="n">
        <x:v>8</x:v>
      </x:c>
      <x:c r="B343" s="115" t="str">
        <x:v>Lesen/Umgang mit Texten</x:v>
      </x:c>
      <x:c r="C343" s="148" t="n">
        <x:v>51</x:v>
      </x:c>
      <x:c r="D343" s="115" t="str">
        <x:v>Novelle oder Jugendroman: Gattungsmerkmale erkennen</x:v>
      </x:c>
      <x:c r="E343" s="115" t="str">
        <x:v>Merkmale wie Rahmenhandlung, Konflikt, Wendepunkt, Leitmotiv mithilfe einer Checkliste zuordnen und an Textstellen zeigen. Kurs-I-Niveau: reduzierte Textmenge, Leitfragen, vorstrukturierte Verfahren und alltagsnahe Transferaufgaben.</x:v>
      </x:c>
      <x:c r="F343" s="115" t="str">
        <x:v>Merkmale wie Rahmenhandlung, Konflikt, Wendepunkt, Leitmotiv textnah belegen und ihre Funktion für Aufbau und Wirkung erklären. Kurs-II-Niveau: komplexere Texte, selbstständige Verfahren, Fachbegriffe und vertiefte Deutung oder Bewertung.</x:v>
      </x:c>
      <x:c r="G343" s="115" t="str">
        <x:v>de_k8_st51_novelle_merkmale</x:v>
      </x:c>
      <x:c r="H343" s="176" t="e">
        <x:f>HYPERLINK("schueler/de_k8_st51_novelle_merkmale_app.html","Lernmodul öffnen")</x:f>
      </x:c>
      <x:c r="I343" s="177" t="e">
        <x:f>HYPERLINK("lehrer/de_k8_st51_novelle_merkmale_orga.html","Vorbereitung öffnen")</x:f>
      </x:c>
    </x:row>
    <x:row r="344" ht="65" customHeight="1">
      <x:c r="A344" s="142" t="n">
        <x:v>8</x:v>
      </x:c>
      <x:c r="B344" s="115" t="str">
        <x:v>Lesen/Umgang mit Texten</x:v>
      </x:c>
      <x:c r="C344" s="148" t="n">
        <x:v>52</x:v>
      </x:c>
      <x:c r="D344" s="115" t="str">
        <x:v>Novelle oder Jugendroman: Figuren, Handlung und Konflikt untersuchen</x:v>
      </x:c>
      <x:c r="E344" s="115" t="str">
        <x:v>Gattungsmerkmale, Symbolik und historische Einordnung mit Figurenkarten oder Handlungsstreifen ordnen; einfache Belege auswählen. Kurs-I-Niveau: reduzierte Textmenge, Leitfragen, vorstrukturierte Verfahren und alltagsnahe Transferaufgaben.</x:v>
      </x:c>
      <x:c r="F344" s="115" t="str">
        <x:v>Gattungsmerkmale, Symbolik und historische Einordnung in ihrem Zusammenhang untersuchen; Schlussfolgerungen mit passenden Textbelegen absichern. Kurs-II-Niveau: komplexere Texte, selbstständige Verfahren, Fachbegriffe und vertiefte Deutung oder Bewertung.</x:v>
      </x:c>
      <x:c r="G344" s="115" t="str">
        <x:v>de_k8_st52_novelle_figuren_handlung</x:v>
      </x:c>
      <x:c r="H344" s="176" t="e">
        <x:f>HYPERLINK("schueler/de_k8_st52_novelle_figuren_handlung_app.html","Lernmodul öffnen")</x:f>
      </x:c>
      <x:c r="I344" s="177" t="e">
        <x:f>HYPERLINK("lehrer/de_k8_st52_novelle_figuren_handlung_orga.html","Vorbereitung öffnen")</x:f>
      </x:c>
    </x:row>
    <x:row r="345" ht="65" customHeight="1">
      <x:c r="A345" s="142" t="n">
        <x:v>8</x:v>
      </x:c>
      <x:c r="B345" s="115" t="str">
        <x:v>Sprache untersuchen</x:v>
      </x:c>
      <x:c r="C345" s="148" t="n">
        <x:v>53</x:v>
      </x:c>
      <x:c r="D345" s="115" t="str">
        <x:v>Novelle oder Jugendroman: Sprache und Wirkung untersuchen</x:v>
      </x:c>
      <x:c r="E345" s="115" t="str">
        <x:v>Beispiele für Erzählperspektive, Zeitraffung und Zeitdehnung markieren und ihre Wirkung mit vorgegebenen Begriffen beschreiben. Kurs-I-Niveau: reduzierte Textmenge, Leitfragen, vorstrukturierte Verfahren und alltagsnahe Transferaufgaben.</x:v>
      </x:c>
      <x:c r="F345" s="115" t="str">
        <x:v>Erzählperspektive, Zeitraffung und Zeitdehnung fachsprachlich analysieren und auf Figurenzeichnung, Stimmung oder Aussage beziehen. Kurs-II-Niveau: komplexere Texte, selbstständige Verfahren, Fachbegriffe und vertiefte Deutung oder Bewertung.</x:v>
      </x:c>
      <x:c r="G345" s="115" t="str">
        <x:v>de_k8_st53_novelle_sprache_wirkung</x:v>
      </x:c>
      <x:c r="H345" s="176" t="e">
        <x:f>HYPERLINK("schueler/de_k8_st53_novelle_sprache_wirkung_app.html","Lernmodul öffnen")</x:f>
      </x:c>
      <x:c r="I345" s="177" t="e">
        <x:f>HYPERLINK("lehrer/de_k8_st53_novelle_sprache_wirkung_orga.html","Vorbereitung öffnen")</x:f>
      </x:c>
    </x:row>
    <x:row r="346" ht="65" customHeight="1">
      <x:c r="A346" s="142" t="n">
        <x:v>8</x:v>
      </x:c>
      <x:c r="B346" s="115" t="str">
        <x:v>Schreiben</x:v>
      </x:c>
      <x:c r="C346" s="148" t="n">
        <x:v>54</x:v>
      </x:c>
      <x:c r="D346" s="115" t="str">
        <x:v>Novelle oder Jugendroman: eine Deutung oder Perspektive vorbereiten</x:v>
      </x:c>
      <x:c r="E346" s="115" t="str">
        <x:v>Eine zentrale Aussage mit Satzstartern formulieren; Beleg und Erklärung in einem Schreibrahmen verbinden. Kurs-I-Niveau: reduzierte Textmenge, Leitfragen, vorstrukturierte Verfahren und alltagsnahe Transferaufgaben.</x:v>
      </x:c>
      <x:c r="F346" s="115" t="str">
        <x:v>Eine schlüssige Deutungshypothese entwickeln; mehrere Belege auswählen, ordnen und gegeneinander abwägen. Kurs-II-Niveau: komplexere Texte, selbstständige Verfahren, Fachbegriffe und vertiefte Deutung oder Bewertung.</x:v>
      </x:c>
      <x:c r="G346" s="115" t="str">
        <x:v>de_k8_st54_novelle_deutung_planen</x:v>
      </x:c>
      <x:c r="H346" s="176" t="e">
        <x:f>HYPERLINK("schueler/de_k8_st54_novelle_deutung_planen_app.html","Lernmodul öffnen")</x:f>
      </x:c>
      <x:c r="I346" s="177" t="e">
        <x:f>HYPERLINK("lehrer/de_k8_st54_novelle_deutung_planen_orga.html","Vorbereitung öffnen")</x:f>
      </x:c>
    </x:row>
    <x:row r="347" ht="65" customHeight="1">
      <x:c r="A347" s="142" t="n">
        <x:v>8</x:v>
      </x:c>
      <x:c r="B347" s="115" t="str">
        <x:v>Schreiben</x:v>
      </x:c>
      <x:c r="C347" s="148" t="n">
        <x:v>55</x:v>
      </x:c>
      <x:c r="D347" s="115" t="str">
        <x:v>Novelle oder Jugendroman: Lesedossier gestalten</x:v>
      </x:c>
      <x:c r="E347" s="115" t="str">
        <x:v>Lesedossier nach klaren Vorgaben erstellen; Hilfekarten und Wortbank nutzen. Kurs-I-Niveau: reduzierte Textmenge, Leitfragen, vorstrukturierte Verfahren und alltagsnahe Transferaufgaben.</x:v>
      </x:c>
      <x:c r="F347" s="115" t="str">
        <x:v>Lesedossier eigenständig, textnah und sprachlich variabel gestalten; Wirkung bewusst planen. Kurs-II-Niveau: komplexere Texte, selbstständige Verfahren, Fachbegriffe und vertiefte Deutung oder Bewertung.</x:v>
      </x:c>
      <x:c r="G347" s="115" t="str">
        <x:v>de_k8_st55_novelle_produkt</x:v>
      </x:c>
      <x:c r="H347" s="176" t="e">
        <x:f>HYPERLINK("schueler/de_k8_st55_novelle_produkt_app.html","Lernmodul öffnen")</x:f>
      </x:c>
      <x:c r="I347" s="177" t="e">
        <x:f>HYPERLINK("lehrer/de_k8_st55_novelle_produkt_orga.html","Vorbereitung öffnen")</x:f>
      </x:c>
    </x:row>
    <x:row r="348" ht="65" customHeight="1">
      <x:c r="A348" s="142" t="n">
        <x:v>8</x:v>
      </x:c>
      <x:c r="B348" s="115" t="str">
        <x:v>Sprechen und Zuhören</x:v>
      </x:c>
      <x:c r="C348" s="148" t="n">
        <x:v>56</x:v>
      </x:c>
      <x:c r="D348" s="115" t="str">
        <x:v>Novelle oder Jugendroman: Ergebnisse präsentieren und reflektieren</x:v>
      </x:c>
      <x:c r="E348" s="115" t="str">
        <x:v>Ergebnis kurz vorstellen; zwei vereinbarte Kriterien für Rückmeldung anwenden. Kurs-I-Niveau: reduzierte Textmenge, Leitfragen, vorstrukturierte Verfahren und alltagsnahe Transferaufgaben.</x:v>
      </x:c>
      <x:c r="F348" s="115" t="str">
        <x:v>Ergebnis adressatenbezogen präsentieren; Rückmeldungen begründen und die eigene Deutung oder Gestaltung überarbeiten. Kurs-II-Niveau: komplexere Texte, selbstständige Verfahren, Fachbegriffe und vertiefte Deutung oder Bewertung.</x:v>
      </x:c>
      <x:c r="G348" s="115" t="str">
        <x:v>de_k8_st56_novelle_praesentieren</x:v>
      </x:c>
      <x:c r="H348" s="176" t="e">
        <x:f>HYPERLINK("schueler/de_k8_st56_novelle_praesentieren_app.html","Lernmodul öffnen")</x:f>
      </x:c>
      <x:c r="I348" s="177" t="e">
        <x:f>HYPERLINK("lehrer/de_k8_st56_novelle_praesentieren_orga.html","Vorbereitung öffnen")</x:f>
      </x:c>
    </x:row>
    <x:row r="349" ht="65" customHeight="1">
      <x:c r="A349" s="142" t="n">
        <x:v>8</x:v>
      </x:c>
      <x:c r="B349" s="115" t="str">
        <x:v>Lesen/Umgang mit Texten</x:v>
      </x:c>
      <x:c r="C349" s="148" t="n">
        <x:v>57</x:v>
      </x:c>
      <x:c r="D349" s="115" t="str">
        <x:v>Praktikumsbericht und Berufswelt: Beispieltexte untersuchen</x:v>
      </x:c>
      <x:c r="E349" s="115" t="str">
        <x:v>Ein Beispiel für Praktikumsbericht lesen; Aufbau und typische Formulierungen farbig kennzeichnen. Kurs-I-Niveau: reduzierte Textmenge, Leitfragen, vorstrukturierte Verfahren und alltagsnahe Transferaufgaben.</x:v>
      </x:c>
      <x:c r="F349" s="115" t="str">
        <x:v>Mehrere Beispiele für Praktikumsbericht vergleichen; Funktion, Adressat und Qualitätsunterschiede herausarbeiten. Kurs-II-Niveau: komplexere Texte, selbstständige Verfahren, Fachbegriffe und vertiefte Deutung oder Bewertung.</x:v>
      </x:c>
      <x:c r="G349" s="115" t="str">
        <x:v>de_k8_st57_praktikumsbericht_beispiel</x:v>
      </x:c>
      <x:c r="H349" s="176" t="e">
        <x:f>HYPERLINK("schueler/de_k8_st57_praktikumsbericht_beispiel_app.html","Lernmodul öffnen")</x:f>
      </x:c>
      <x:c r="I349" s="177" t="e">
        <x:f>HYPERLINK("lehrer/de_k8_st57_praktikumsbericht_beispiel_orga.html","Vorbereitung öffnen")</x:f>
      </x:c>
    </x:row>
    <x:row r="350" ht="65" customHeight="1">
      <x:c r="A350" s="142" t="n">
        <x:v>8</x:v>
      </x:c>
      <x:c r="B350" s="115" t="str">
        <x:v>Schreiben</x:v>
      </x:c>
      <x:c r="C350" s="148" t="n">
        <x:v>58</x:v>
      </x:c>
      <x:c r="D350" s="115" t="str">
        <x:v>Praktikumsbericht und Berufswelt: Schreibziel und Kriterien klären</x:v>
      </x:c>
      <x:c r="E350" s="115" t="str">
        <x:v>Schreibziel „Tätigkeiten, Betrieb und Erfahrungen sachlich dokumentieren“ verstehen; eine kurze Kriterienliste auf ein Beispiel anwenden. Kurs-I-Niveau: reduzierte Textmenge, Leitfragen, vorstrukturierte Verfahren und alltagsnahe Transferaufgaben.</x:v>
      </x:c>
      <x:c r="F350" s="115" t="str">
        <x:v>Schreibziel „Tätigkeiten, Betrieb und Erfahrungen sachlich dokumentieren“ präzisieren; Kriterien gewichten und auf unterschiedliche Schreibsituationen übertragen. Kurs-II-Niveau: komplexere Texte, selbstständige Verfahren, Fachbegriffe und vertiefte Deutung oder Bewertung.</x:v>
      </x:c>
      <x:c r="G350" s="115" t="str">
        <x:v>de_k8_st58_praktikumsbericht_kriterien</x:v>
      </x:c>
      <x:c r="H350" s="176" t="e">
        <x:f>HYPERLINK("schueler/de_k8_st58_praktikumsbericht_kriterien_app.html","Lernmodul öffnen")</x:f>
      </x:c>
      <x:c r="I350" s="177" t="e">
        <x:f>HYPERLINK("lehrer/de_k8_st58_praktikumsbericht_kriterien_orga.html","Vorbereitung öffnen")</x:f>
      </x:c>
    </x:row>
    <x:row r="351" ht="65" customHeight="1">
      <x:c r="A351" s="142" t="n">
        <x:v>8</x:v>
      </x:c>
      <x:c r="B351" s="115" t="str">
        <x:v>Lesen/Umgang mit Texten</x:v>
      </x:c>
      <x:c r="C351" s="148" t="n">
        <x:v>59</x:v>
      </x:c>
      <x:c r="D351" s="115" t="str">
        <x:v>Praktikumsbericht und Berufswelt: Inhalte auswählen und ordnen</x:v>
      </x:c>
      <x:c r="E351" s="115" t="str">
        <x:v>Beobachtung, Reflexion und Berufsfeldbezug mit Leitfragen sammeln und in einer vorgegebenen Reihenfolge ordnen. Kurs-I-Niveau: reduzierte Textmenge, Leitfragen, vorstrukturierte Verfahren und alltagsnahe Transferaufgaben.</x:v>
      </x:c>
      <x:c r="F351" s="115" t="str">
        <x:v>Beobachtung, Reflexion und Berufsfeldbezug selbstständig auswählen, gewichten und in einer passenden Gliederung strukturieren. Kurs-II-Niveau: komplexere Texte, selbstständige Verfahren, Fachbegriffe und vertiefte Deutung oder Bewertung.</x:v>
      </x:c>
      <x:c r="G351" s="115" t="str">
        <x:v>de_k8_st59_praktikumsbericht_inhalte_ordnen</x:v>
      </x:c>
      <x:c r="H351" s="176" t="e">
        <x:f>HYPERLINK("schueler/de_k8_st59_praktikumsbericht_inhalte_ordnen_app.html","Lernmodul öffnen")</x:f>
      </x:c>
      <x:c r="I351" s="177" t="e">
        <x:f>HYPERLINK("lehrer/de_k8_st59_praktikumsbericht_inhalte_ordnen_orga.html","Vorbereitung öffnen")</x:f>
      </x:c>
    </x:row>
    <x:row r="352" ht="65" customHeight="1">
      <x:c r="A352" s="142" t="n">
        <x:v>8</x:v>
      </x:c>
      <x:c r="B352" s="115" t="str">
        <x:v>Sprache untersuchen</x:v>
      </x:c>
      <x:c r="C352" s="148" t="n">
        <x:v>60</x:v>
      </x:c>
      <x:c r="D352" s="115" t="str">
        <x:v>Praktikumsbericht und Berufswelt: passende sprachliche Mittel verwenden</x:v>
      </x:c>
      <x:c r="E352" s="115" t="str">
        <x:v>Fachsprache, Zeitformen, strukturierte Absätze in Übungen erkennen und nach Satzmustern anwenden. Kurs-I-Niveau: reduzierte Textmenge, Leitfragen, vorstrukturierte Verfahren und alltagsnahe Transferaufgaben.</x:v>
      </x:c>
      <x:c r="F352" s="115" t="str">
        <x:v>Fachsprache, Zeitformen, strukturierte Absätze hinsichtlich Wirkung und Angemessenheit prüfen und gezielt variieren. Kurs-II-Niveau: komplexere Texte, selbstständige Verfahren, Fachbegriffe und vertiefte Deutung oder Bewertung.</x:v>
      </x:c>
      <x:c r="G352" s="115" t="str">
        <x:v>de_k8_st60_praktikumsbericht_sprachmittel</x:v>
      </x:c>
      <x:c r="H352" s="176" t="e">
        <x:f>HYPERLINK("schueler/de_k8_st60_praktikumsbericht_sprachmittel_app.html","Lernmodul öffnen")</x:f>
      </x:c>
      <x:c r="I352" s="177" t="e">
        <x:f>HYPERLINK("lehrer/de_k8_st60_praktikumsbericht_sprachmittel_orga.html","Vorbereitung öffnen")</x:f>
      </x:c>
    </x:row>
    <x:row r="353" ht="65" customHeight="1">
      <x:c r="A353" s="142" t="n">
        <x:v>8</x:v>
      </x:c>
      <x:c r="B353" s="115" t="str">
        <x:v>Schreiben</x:v>
      </x:c>
      <x:c r="C353" s="148" t="n">
        <x:v>61</x:v>
      </x:c>
      <x:c r="D353" s="115" t="str">
        <x:v>Praktikumsbericht und Berufswelt: einen Schreibplan erstellen</x:v>
      </x:c>
      <x:c r="E353" s="115" t="str">
        <x:v>Einen vorstrukturierten Schreibplan ausfüllen; Einleitung, Hauptteil und Schluss festlegen. Kurs-I-Niveau: reduzierte Textmenge, Leitfragen, vorstrukturierte Verfahren und alltagsnahe Transferaufgaben.</x:v>
      </x:c>
      <x:c r="F353" s="115" t="str">
        <x:v>Einen eigenen Schreibplan mit Teilzielen, Belegen und sprachlichen Mitteln entwickeln. Kurs-II-Niveau: komplexere Texte, selbstständige Verfahren, Fachbegriffe und vertiefte Deutung oder Bewertung.</x:v>
      </x:c>
      <x:c r="G353" s="115" t="str">
        <x:v>de_k8_st61_praktikumsbericht_schreibplan</x:v>
      </x:c>
      <x:c r="H353" s="176" t="e">
        <x:f>HYPERLINK("schueler/de_k8_st61_praktikumsbericht_schreibplan_app.html","Lernmodul öffnen")</x:f>
      </x:c>
      <x:c r="I353" s="177" t="e">
        <x:f>HYPERLINK("lehrer/de_k8_st61_praktikumsbericht_schreibplan_orga.html","Vorbereitung öffnen")</x:f>
      </x:c>
    </x:row>
    <x:row r="354" ht="65" customHeight="1">
      <x:c r="A354" s="142" t="n">
        <x:v>8</x:v>
      </x:c>
      <x:c r="B354" s="115" t="str">
        <x:v>Schreiben</x:v>
      </x:c>
      <x:c r="C354" s="148" t="n">
        <x:v>62</x:v>
      </x:c>
      <x:c r="D354" s="115" t="str">
        <x:v>Praktikumsbericht und Berufswelt: einen ersten Textentwurf verfassen</x:v>
      </x:c>
      <x:c r="E354" s="115" t="str">
        <x:v>Praktikumsbericht mithilfe von Schreibrahmen, Satzanfängen und Wortbank verfassen. Kurs-I-Niveau: reduzierte Textmenge, Leitfragen, vorstrukturierte Verfahren und alltagsnahe Transferaufgaben.</x:v>
      </x:c>
      <x:c r="F354" s="115" t="str">
        <x:v>Praktikumsbericht selbstständig, adressatenbezogen und sprachlich differenziert verfassen. Kurs-II-Niveau: komplexere Texte, selbstständige Verfahren, Fachbegriffe und vertiefte Deutung oder Bewertung.</x:v>
      </x:c>
      <x:c r="G354" s="115" t="str">
        <x:v>de_k8_st62_praktikumsbericht_entwurf</x:v>
      </x:c>
      <x:c r="H354" s="176" t="e">
        <x:f>HYPERLINK("schueler/de_k8_st62_praktikumsbericht_entwurf_app.html","Lernmodul öffnen")</x:f>
      </x:c>
      <x:c r="I354" s="177" t="e">
        <x:f>HYPERLINK("lehrer/de_k8_st62_praktikumsbericht_entwurf_orga.html","Vorbereitung öffnen")</x:f>
      </x:c>
    </x:row>
    <x:row r="355" ht="65" customHeight="1">
      <x:c r="A355" s="142" t="n">
        <x:v>8</x:v>
      </x:c>
      <x:c r="B355" s="115" t="str">
        <x:v>Schreiben</x:v>
      </x:c>
      <x:c r="C355" s="148" t="n">
        <x:v>63</x:v>
      </x:c>
      <x:c r="D355" s="115" t="str">
        <x:v>Praktikumsbericht und Berufswelt: Text kriteriengeleitet überarbeiten</x:v>
      </x:c>
      <x:c r="E355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355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355" s="115" t="str">
        <x:v>de_k8_st63_praktikumsbericht_ueberarbeiten</x:v>
      </x:c>
      <x:c r="H355" s="176" t="e">
        <x:f>HYPERLINK("schueler/de_k8_st63_praktikumsbericht_ueberarbeiten_app.html","Lernmodul öffnen")</x:f>
      </x:c>
      <x:c r="I355" s="177" t="e">
        <x:f>HYPERLINK("lehrer/de_k8_st63_praktikumsbericht_ueberarbeiten_orga.html","Vorbereitung öffnen")</x:f>
      </x:c>
    </x:row>
    <x:row r="356" ht="65" customHeight="1">
      <x:c r="A356" s="142" t="n">
        <x:v>8</x:v>
      </x:c>
      <x:c r="B356" s="115" t="str">
        <x:v>Sprechen und Zuhören</x:v>
      </x:c>
      <x:c r="C356" s="148" t="n">
        <x:v>64</x:v>
      </x:c>
      <x:c r="D356" s="115" t="str">
        <x:v>Praktikumsbericht und Berufswelt: Texte vorstellen und bewerten</x:v>
      </x:c>
      <x:c r="E356" s="115" t="str">
        <x:v>Ausgewählte Passage vorlesen oder erläutern; Rückmeldung mit einfachen Satzmustern geben. Kurs-I-Niveau: reduzierte Textmenge, Leitfragen, vorstrukturierte Verfahren und alltagsnahe Transferaufgaben.</x:v>
      </x:c>
      <x:c r="F356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356" s="115" t="str">
        <x:v>de_k8_st64_praktikumsbericht_vorstellen</x:v>
      </x:c>
      <x:c r="H356" s="176" t="e">
        <x:f>HYPERLINK("schueler/de_k8_st64_praktikumsbericht_vorstellen_app.html","Lernmodul öffnen")</x:f>
      </x:c>
      <x:c r="I356" s="177" t="e">
        <x:f>HYPERLINK("lehrer/de_k8_st64_praktikumsbericht_vorstellen_orga.html","Vorbereitung öffnen")</x:f>
      </x:c>
    </x:row>
    <x:row r="357" ht="65" customHeight="1">
      <x:c r="A357" s="142" t="n">
        <x:v>8</x:v>
      </x:c>
      <x:c r="B357" s="115" t="str">
        <x:v>Sprechen und Zuhören</x:v>
      </x:c>
      <x:c r="C357" s="148" t="n">
        <x:v>65</x:v>
      </x:c>
      <x:c r="D357" s="115" t="str">
        <x:v>Nachrichten, Meinung und Falschinformation: Vorwissen und Positionen klären</x:v>
      </x:c>
      <x:c r="E357" s="115" t="str">
        <x:v>Eigene Erfahrungen zu Nachrichten, Kommentare und Posts benennen; zentrale Begriffe mit Beispielen klären. Kurs-I-Niveau: reduzierte Textmenge, Leitfragen, vorstrukturierte Verfahren und alltagsnahe Transferaufgaben.</x:v>
      </x:c>
      <x:c r="F357" s="115" t="str">
        <x:v>Vorwissen zu Nachrichten, Kommentare und Posts strukturieren; erste Positionen formulieren und mögliche Konflikte benennen. Kurs-II-Niveau: komplexere Texte, selbstständige Verfahren, Fachbegriffe und vertiefte Deutung oder Bewertung.</x:v>
      </x:c>
      <x:c r="G357" s="115" t="str">
        <x:v>de_k8_st65_nachrichten_einstieg</x:v>
      </x:c>
      <x:c r="H357" s="176" t="e">
        <x:f>HYPERLINK("schueler/de_k8_st65_nachrichten_einstieg_app.html","Lernmodul öffnen")</x:f>
      </x:c>
      <x:c r="I357" s="177" t="e">
        <x:f>HYPERLINK("lehrer/de_k8_st65_nachrichten_einstieg_orga.html","Vorbereitung öffnen")</x:f>
      </x:c>
    </x:row>
    <x:row r="358" ht="65" customHeight="1">
      <x:c r="A358" s="142" t="n">
        <x:v>8</x:v>
      </x:c>
      <x:c r="B358" s="115" t="str">
        <x:v>Lesen/Umgang mit Texten</x:v>
      </x:c>
      <x:c r="C358" s="148" t="n">
        <x:v>66</x:v>
      </x:c>
      <x:c r="D358" s="115" t="str">
        <x:v>Nachrichten, Meinung und Falschinformation: Quellen und Materialien erschließen</x:v>
      </x:c>
      <x:c r="E358" s="115" t="str">
        <x:v>Kurze Materialien lesen oder ansehen; Hauptaussagen mit Leitfragen festhalten. Kurs-I-Niveau: reduzierte Textmenge, Leitfragen, vorstrukturierte Verfahren und alltagsnahe Transferaufgaben.</x:v>
      </x:c>
      <x:c r="F358" s="115" t="str">
        <x:v>Unterschiedliche Materialien selbstständig erschließen; Aussage, Intention und Kontext bestimmen. Kurs-II-Niveau: komplexere Texte, selbstständige Verfahren, Fachbegriffe und vertiefte Deutung oder Bewertung.</x:v>
      </x:c>
      <x:c r="G358" s="115" t="str">
        <x:v>de_k8_st66_nachrichten_quellen</x:v>
      </x:c>
      <x:c r="H358" s="176" t="e">
        <x:f>HYPERLINK("schueler/de_k8_st66_nachrichten_quellen_app.html","Lernmodul öffnen")</x:f>
      </x:c>
      <x:c r="I358" s="177" t="e">
        <x:f>HYPERLINK("lehrer/de_k8_st66_nachrichten_quellen_orga.html","Vorbereitung öffnen")</x:f>
      </x:c>
    </x:row>
    <x:row r="359" ht="65" customHeight="1">
      <x:c r="A359" s="142" t="n">
        <x:v>8</x:v>
      </x:c>
      <x:c r="B359" s="115" t="str">
        <x:v>Lesen/Umgang mit Texten</x:v>
      </x:c>
      <x:c r="C359" s="148" t="n">
        <x:v>67</x:v>
      </x:c>
      <x:c r="D359" s="115" t="str">
        <x:v>Nachrichten, Meinung und Falschinformation: Qualitätskriterien anwenden</x:v>
      </x:c>
      <x:c r="E359" s="115" t="str">
        <x:v>Quelle, Autor, Fakt, Meinung und Beleg in einer Checkliste anwenden und Auffälligkeiten markieren. Kurs-I-Niveau: reduzierte Textmenge, Leitfragen, vorstrukturierte Verfahren und alltagsnahe Transferaufgaben.</x:v>
      </x:c>
      <x:c r="F359" s="115" t="str">
        <x:v>Quelle, Autor, Fakt, Meinung und Beleg gewichten, auf Grenzfälle anwenden und begründete Qualitätsurteile formulieren. Kurs-II-Niveau: komplexere Texte, selbstständige Verfahren, Fachbegriffe und vertiefte Deutung oder Bewertung.</x:v>
      </x:c>
      <x:c r="G359" s="115" t="str">
        <x:v>de_k8_st67_nachrichten_kriterien</x:v>
      </x:c>
      <x:c r="H359" s="176" t="e">
        <x:f>HYPERLINK("schueler/de_k8_st67_nachrichten_kriterien_app.html","Lernmodul öffnen")</x:f>
      </x:c>
      <x:c r="I359" s="177" t="e">
        <x:f>HYPERLINK("lehrer/de_k8_st67_nachrichten_kriterien_orga.html","Vorbereitung öffnen")</x:f>
      </x:c>
    </x:row>
    <x:row r="360" ht="65" customHeight="1">
      <x:c r="A360" s="142" t="n">
        <x:v>8</x:v>
      </x:c>
      <x:c r="B360" s="115" t="str">
        <x:v>Lesen/Umgang mit Texten</x:v>
      </x:c>
      <x:c r="C360" s="148" t="n">
        <x:v>68</x:v>
      </x:c>
      <x:c r="D360" s="115" t="str">
        <x:v>Nachrichten, Meinung und Falschinformation: Darstellungen vergleichen</x:v>
      </x:c>
      <x:c r="E360" s="115" t="str">
        <x:v>Nachricht, kommentar und manipulativer beitrag nach vorgegebenen Merkmalen vergleichen. Kurs-I-Niveau: reduzierte Textmenge, Leitfragen, vorstrukturierte Verfahren und alltagsnahe Transferaufgaben.</x:v>
      </x:c>
      <x:c r="F360" s="115" t="str">
        <x:v>Nachricht, kommentar und manipulativer beitrag hinsichtlich Informationsauswahl, Gestaltung, Wirkung und Interessen vergleichen. Kurs-II-Niveau: komplexere Texte, selbstständige Verfahren, Fachbegriffe und vertiefte Deutung oder Bewertung.</x:v>
      </x:c>
      <x:c r="G360" s="115" t="str">
        <x:v>de_k8_st68_nachrichten_vergleichen</x:v>
      </x:c>
      <x:c r="H360" s="176" t="e">
        <x:f>HYPERLINK("schueler/de_k8_st68_nachrichten_vergleichen_app.html","Lernmodul öffnen")</x:f>
      </x:c>
      <x:c r="I360" s="177" t="e">
        <x:f>HYPERLINK("lehrer/de_k8_st68_nachrichten_vergleichen_orga.html","Vorbereitung öffnen")</x:f>
      </x:c>
    </x:row>
    <x:row r="361" ht="65" customHeight="1">
      <x:c r="A361" s="142" t="n">
        <x:v>8</x:v>
      </x:c>
      <x:c r="B361" s="115" t="str">
        <x:v>Schreiben</x:v>
      </x:c>
      <x:c r="C361" s="148" t="n">
        <x:v>69</x:v>
      </x:c>
      <x:c r="D361" s="115" t="str">
        <x:v>Nachrichten, Meinung und Falschinformation: Informationen prüfen und ordnen</x:v>
      </x:c>
      <x:c r="E361" s="115" t="str">
        <x:v>Informationen aus vorgegebenen Quellen auswählen; Fundstellen notieren und geordnet ablegen. Kurs-I-Niveau: reduzierte Textmenge, Leitfragen, vorstrukturierte Verfahren und alltagsnahe Transferaufgaben.</x:v>
      </x:c>
      <x:c r="F361" s="115" t="str">
        <x:v>Recherchefrage entwickeln; Quellen prüfen, Informationen abgleichen und korrekt dokumentieren. Kurs-II-Niveau: komplexere Texte, selbstständige Verfahren, Fachbegriffe und vertiefte Deutung oder Bewertung.</x:v>
      </x:c>
      <x:c r="G361" s="115" t="str">
        <x:v>de_k8_st69_nachrichten_recherche</x:v>
      </x:c>
      <x:c r="H361" s="176" t="e">
        <x:f>HYPERLINK("schueler/de_k8_st69_nachrichten_recherche_app.html","Lernmodul öffnen")</x:f>
      </x:c>
      <x:c r="I361" s="177" t="e">
        <x:f>HYPERLINK("lehrer/de_k8_st69_nachrichten_recherche_orga.html","Vorbereitung öffnen")</x:f>
      </x:c>
    </x:row>
    <x:row r="362" ht="65" customHeight="1">
      <x:c r="A362" s="142" t="n">
        <x:v>8</x:v>
      </x:c>
      <x:c r="B362" s="115" t="str">
        <x:v>Schreiben</x:v>
      </x:c>
      <x:c r="C362" s="148" t="n">
        <x:v>70</x:v>
      </x:c>
      <x:c r="D362" s="115" t="str">
        <x:v>Nachrichten, Meinung und Falschinformation: Produkt planen</x:v>
      </x:c>
      <x:c r="E362" s="115" t="str">
        <x:v>Für Faktencheck einen vorgegebenen Arbeitsplan ergänzen; Aufgaben verteilen. Kurs-I-Niveau: reduzierte Textmenge, Leitfragen, vorstrukturierte Verfahren und alltagsnahe Transferaufgaben.</x:v>
      </x:c>
      <x:c r="F362" s="115" t="str">
        <x:v>Für Faktencheck Zielgruppe, Aufbau, Medienwahl, Zeitplan und Qualitätskontrolle selbstständig festlegen. Kurs-II-Niveau: komplexere Texte, selbstständige Verfahren, Fachbegriffe und vertiefte Deutung oder Bewertung.</x:v>
      </x:c>
      <x:c r="G362" s="115" t="str">
        <x:v>de_k8_st70_nachrichten_planen</x:v>
      </x:c>
      <x:c r="H362" s="176" t="e">
        <x:f>HYPERLINK("schueler/de_k8_st70_nachrichten_planen_app.html","Lernmodul öffnen")</x:f>
      </x:c>
      <x:c r="I362" s="177" t="e">
        <x:f>HYPERLINK("lehrer/de_k8_st70_nachrichten_planen_orga.html","Vorbereitung öffnen")</x:f>
      </x:c>
    </x:row>
    <x:row r="363" ht="65" customHeight="1">
      <x:c r="A363" s="142" t="n">
        <x:v>8</x:v>
      </x:c>
      <x:c r="B363" s="115" t="str">
        <x:v>Schreiben</x:v>
      </x:c>
      <x:c r="C363" s="148" t="n">
        <x:v>71</x:v>
      </x:c>
      <x:c r="D363" s="115" t="str">
        <x:v>Nachrichten, Meinung und Falschinformation: Produkt erstellen</x:v>
      </x:c>
      <x:c r="E363" s="115" t="str">
        <x:v>Faktencheck mit Vorlage und klaren Teilaufträgen erstellen. Kurs-I-Niveau: reduzierte Textmenge, Leitfragen, vorstrukturierte Verfahren und alltagsnahe Transferaufgaben.</x:v>
      </x:c>
      <x:c r="F363" s="115" t="str">
        <x:v>Faktencheck selbstständig, adressatengerecht und quellenbewusst erstellen. Kurs-II-Niveau: komplexere Texte, selbstständige Verfahren, Fachbegriffe und vertiefte Deutung oder Bewertung.</x:v>
      </x:c>
      <x:c r="G363" s="115" t="str">
        <x:v>de_k8_st71_nachrichten_erstellen</x:v>
      </x:c>
      <x:c r="H363" s="176" t="e">
        <x:f>HYPERLINK("schueler/de_k8_st71_nachrichten_erstellen_app.html","Lernmodul öffnen")</x:f>
      </x:c>
      <x:c r="I363" s="177" t="e">
        <x:f>HYPERLINK("lehrer/de_k8_st71_nachrichten_erstellen_orga.html","Vorbereitung öffnen")</x:f>
      </x:c>
    </x:row>
    <x:row r="364" ht="65" customHeight="1">
      <x:c r="A364" s="142" t="n">
        <x:v>8</x:v>
      </x:c>
      <x:c r="B364" s="115" t="str">
        <x:v>Sprechen und Zuhören</x:v>
      </x:c>
      <x:c r="C364" s="148" t="n">
        <x:v>72</x:v>
      </x:c>
      <x:c r="D364" s="115" t="str">
        <x:v>Nachrichten, Meinung und Falschinformation: präsentieren und reflektieren</x:v>
      </x:c>
      <x:c r="E364" s="115" t="str">
        <x:v>Produkt kurz vorstellen; Rückmeldung anhand weniger Kriterien geben und annehmen. Kurs-I-Niveau: reduzierte Textmenge, Leitfragen, vorstrukturierte Verfahren und alltagsnahe Transferaufgaben.</x:v>
      </x:c>
      <x:c r="F364" s="115" t="str">
        <x:v>Produkt überzeugend präsentieren; Arbeitsprozess, Quellenwahl und Wirkung kritisch reflektieren. Kurs-II-Niveau: komplexere Texte, selbstständige Verfahren, Fachbegriffe und vertiefte Deutung oder Bewertung.</x:v>
      </x:c>
      <x:c r="G364" s="115" t="str">
        <x:v>de_k8_st72_nachrichten_reflexion</x:v>
      </x:c>
      <x:c r="H364" s="176" t="e">
        <x:f>HYPERLINK("schueler/de_k8_st72_nachrichten_reflexion_app.html","Lernmodul öffnen")</x:f>
      </x:c>
      <x:c r="I364" s="177" t="e">
        <x:f>HYPERLINK("lehrer/de_k8_st72_nachrichten_reflexion_orga.html","Vorbereitung öffnen")</x:f>
      </x:c>
    </x:row>
    <x:row r="365" ht="65" customHeight="1">
      <x:c r="A365" s="142" t="n">
        <x:v>8</x:v>
      </x:c>
      <x:c r="B365" s="115" t="str">
        <x:v>Lesen/Umgang mit Texten</x:v>
      </x:c>
      <x:c r="C365" s="148" t="n">
        <x:v>73</x:v>
      </x:c>
      <x:c r="D365" s="115" t="str">
        <x:v>Protokolle, Anfragen und Beschwerden: Beispieltexte untersuchen</x:v>
      </x:c>
      <x:c r="E365" s="115" t="str">
        <x:v>Ein Beispiel für formelle Gebrauchstexte lesen; Aufbau und typische Formulierungen farbig kennzeichnen. Kurs-I-Niveau: reduzierte Textmenge, Leitfragen, vorstrukturierte Verfahren und alltagsnahe Transferaufgaben.</x:v>
      </x:c>
      <x:c r="F365" s="115" t="str">
        <x:v>Mehrere Beispiele für formelle Gebrauchstexte vergleichen; Funktion, Adressat und Qualitätsunterschiede herausarbeiten. Kurs-II-Niveau: komplexere Texte, selbstständige Verfahren, Fachbegriffe und vertiefte Deutung oder Bewertung.</x:v>
      </x:c>
      <x:c r="G365" s="115" t="str">
        <x:v>de_k8_st73_gebrauchstexte_beispiel</x:v>
      </x:c>
      <x:c r="H365" s="176" t="e">
        <x:f>HYPERLINK("schueler/de_k8_st73_gebrauchstexte_beispiel_app.html","Lernmodul öffnen")</x:f>
      </x:c>
      <x:c r="I365" s="177" t="e">
        <x:f>HYPERLINK("lehrer/de_k8_st73_gebrauchstexte_beispiel_orga.html","Vorbereitung öffnen")</x:f>
      </x:c>
    </x:row>
    <x:row r="366" ht="65" customHeight="1">
      <x:c r="A366" s="142" t="n">
        <x:v>8</x:v>
      </x:c>
      <x:c r="B366" s="115" t="str">
        <x:v>Schreiben</x:v>
      </x:c>
      <x:c r="C366" s="148" t="n">
        <x:v>74</x:v>
      </x:c>
      <x:c r="D366" s="115" t="str">
        <x:v>Protokolle, Anfragen und Beschwerden: Schreibziel und Kriterien klären</x:v>
      </x:c>
      <x:c r="E366" s="115" t="str">
        <x:v>Schreibziel „Informationen vollständig und eindeutig festhalten“ verstehen; eine kurze Kriterienliste auf ein Beispiel anwenden. Kurs-I-Niveau: reduzierte Textmenge, Leitfragen, vorstrukturierte Verfahren und alltagsnahe Transferaufgaben.</x:v>
      </x:c>
      <x:c r="F366" s="115" t="str">
        <x:v>Schreibziel „Informationen vollständig und eindeutig festhalten“ präzisieren; Kriterien gewichten und auf unterschiedliche Schreibsituationen übertragen. Kurs-II-Niveau: komplexere Texte, selbstständige Verfahren, Fachbegriffe und vertiefte Deutung oder Bewertung.</x:v>
      </x:c>
      <x:c r="G366" s="115" t="str">
        <x:v>de_k8_st74_gebrauchstexte_kriterien</x:v>
      </x:c>
      <x:c r="H366" s="176" t="e">
        <x:f>HYPERLINK("schueler/de_k8_st74_gebrauchstexte_kriterien_app.html","Lernmodul öffnen")</x:f>
      </x:c>
      <x:c r="I366" s="177" t="e">
        <x:f>HYPERLINK("lehrer/de_k8_st74_gebrauchstexte_kriterien_orga.html","Vorbereitung öffnen")</x:f>
      </x:c>
    </x:row>
    <x:row r="367" ht="65" customHeight="1">
      <x:c r="A367" s="142" t="n">
        <x:v>8</x:v>
      </x:c>
      <x:c r="B367" s="115" t="str">
        <x:v>Lesen/Umgang mit Texten</x:v>
      </x:c>
      <x:c r="C367" s="148" t="n">
        <x:v>75</x:v>
      </x:c>
      <x:c r="D367" s="115" t="str">
        <x:v>Protokolle, Anfragen und Beschwerden: Inhalte auswählen und ordnen</x:v>
      </x:c>
      <x:c r="E367" s="115" t="str">
        <x:v>Verlauf, Ergebnis, Anliegen und Adressat mit Leitfragen sammeln und in einer vorgegebenen Reihenfolge ordnen. Kurs-I-Niveau: reduzierte Textmenge, Leitfragen, vorstrukturierte Verfahren und alltagsnahe Transferaufgaben.</x:v>
      </x:c>
      <x:c r="F367" s="115" t="str">
        <x:v>Verlauf, Ergebnis, Anliegen und Adressat selbstständig auswählen, gewichten und in einer passenden Gliederung strukturieren. Kurs-II-Niveau: komplexere Texte, selbstständige Verfahren, Fachbegriffe und vertiefte Deutung oder Bewertung.</x:v>
      </x:c>
      <x:c r="G367" s="115" t="str">
        <x:v>de_k8_st75_gebrauchstexte_inhalte_ordnen</x:v>
      </x:c>
      <x:c r="H367" s="176" t="e">
        <x:f>HYPERLINK("schueler/de_k8_st75_gebrauchstexte_inhalte_ordnen_app.html","Lernmodul öffnen")</x:f>
      </x:c>
      <x:c r="I367" s="177" t="e">
        <x:f>HYPERLINK("lehrer/de_k8_st75_gebrauchstexte_inhalte_ordnen_orga.html","Vorbereitung öffnen")</x:f>
      </x:c>
    </x:row>
    <x:row r="368" ht="65" customHeight="1">
      <x:c r="A368" s="142" t="n">
        <x:v>8</x:v>
      </x:c>
      <x:c r="B368" s="115" t="str">
        <x:v>Sprache untersuchen</x:v>
      </x:c>
      <x:c r="C368" s="148" t="n">
        <x:v>76</x:v>
      </x:c>
      <x:c r="D368" s="115" t="str">
        <x:v>Protokolle, Anfragen und Beschwerden: passende sprachliche Mittel verwenden</x:v>
      </x:c>
      <x:c r="E368" s="115" t="str">
        <x:v>Nominalstil erkennen, klare Verben, formelle Wendungen in Übungen erkennen und nach Satzmustern anwenden. Kurs-I-Niveau: reduzierte Textmenge, Leitfragen, vorstrukturierte Verfahren und alltagsnahe Transferaufgaben.</x:v>
      </x:c>
      <x:c r="F368" s="115" t="str">
        <x:v>Nominalstil erkennen, klare Verben, formelle Wendungen hinsichtlich Wirkung und Angemessenheit prüfen und gezielt variieren. Kurs-II-Niveau: komplexere Texte, selbstständige Verfahren, Fachbegriffe und vertiefte Deutung oder Bewertung.</x:v>
      </x:c>
      <x:c r="G368" s="115" t="str">
        <x:v>de_k8_st76_gebrauchstexte_sprachmittel</x:v>
      </x:c>
      <x:c r="H368" s="176" t="e">
        <x:f>HYPERLINK("schueler/de_k8_st76_gebrauchstexte_sprachmittel_app.html","Lernmodul öffnen")</x:f>
      </x:c>
      <x:c r="I368" s="177" t="e">
        <x:f>HYPERLINK("lehrer/de_k8_st76_gebrauchstexte_sprachmittel_orga.html","Vorbereitung öffnen")</x:f>
      </x:c>
    </x:row>
    <x:row r="369" ht="65" customHeight="1">
      <x:c r="A369" s="142" t="n">
        <x:v>8</x:v>
      </x:c>
      <x:c r="B369" s="115" t="str">
        <x:v>Schreiben</x:v>
      </x:c>
      <x:c r="C369" s="148" t="n">
        <x:v>77</x:v>
      </x:c>
      <x:c r="D369" s="115" t="str">
        <x:v>Protokolle, Anfragen und Beschwerden: einen Schreibplan erstellen</x:v>
      </x:c>
      <x:c r="E369" s="115" t="str">
        <x:v>Einen vorstrukturierten Schreibplan ausfüllen; Einleitung, Hauptteil und Schluss festlegen. Kurs-I-Niveau: reduzierte Textmenge, Leitfragen, vorstrukturierte Verfahren und alltagsnahe Transferaufgaben.</x:v>
      </x:c>
      <x:c r="F369" s="115" t="str">
        <x:v>Einen eigenen Schreibplan mit Teilzielen, Belegen und sprachlichen Mitteln entwickeln. Kurs-II-Niveau: komplexere Texte, selbstständige Verfahren, Fachbegriffe und vertiefte Deutung oder Bewertung.</x:v>
      </x:c>
      <x:c r="G369" s="115" t="str">
        <x:v>de_k8_st77_gebrauchstexte_schreibplan</x:v>
      </x:c>
      <x:c r="H369" s="176" t="e">
        <x:f>HYPERLINK("schueler/de_k8_st77_gebrauchstexte_schreibplan_app.html","Lernmodul öffnen")</x:f>
      </x:c>
      <x:c r="I369" s="177" t="e">
        <x:f>HYPERLINK("lehrer/de_k8_st77_gebrauchstexte_schreibplan_orga.html","Vorbereitung öffnen")</x:f>
      </x:c>
    </x:row>
    <x:row r="370" ht="65" customHeight="1">
      <x:c r="A370" s="142" t="n">
        <x:v>8</x:v>
      </x:c>
      <x:c r="B370" s="115" t="str">
        <x:v>Schreiben</x:v>
      </x:c>
      <x:c r="C370" s="148" t="n">
        <x:v>78</x:v>
      </x:c>
      <x:c r="D370" s="115" t="str">
        <x:v>Protokolle, Anfragen und Beschwerden: einen ersten Textentwurf verfassen</x:v>
      </x:c>
      <x:c r="E370" s="115" t="str">
        <x:v>Protokoll oder anfrage mithilfe von Schreibrahmen, Satzanfängen und Wortbank verfassen. Kurs-I-Niveau: reduzierte Textmenge, Leitfragen, vorstrukturierte Verfahren und alltagsnahe Transferaufgaben.</x:v>
      </x:c>
      <x:c r="F370" s="115" t="str">
        <x:v>Protokoll oder anfrage selbstständig, adressatenbezogen und sprachlich differenziert verfassen. Kurs-II-Niveau: komplexere Texte, selbstständige Verfahren, Fachbegriffe und vertiefte Deutung oder Bewertung.</x:v>
      </x:c>
      <x:c r="G370" s="115" t="str">
        <x:v>de_k8_st78_gebrauchstexte_entwurf</x:v>
      </x:c>
      <x:c r="H370" s="176" t="e">
        <x:f>HYPERLINK("schueler/de_k8_st78_gebrauchstexte_entwurf_app.html","Lernmodul öffnen")</x:f>
      </x:c>
      <x:c r="I370" s="177" t="e">
        <x:f>HYPERLINK("lehrer/de_k8_st78_gebrauchstexte_entwurf_orga.html","Vorbereitung öffnen")</x:f>
      </x:c>
    </x:row>
    <x:row r="371" ht="65" customHeight="1">
      <x:c r="A371" s="142" t="n">
        <x:v>8</x:v>
      </x:c>
      <x:c r="B371" s="115" t="str">
        <x:v>Schreiben</x:v>
      </x:c>
      <x:c r="C371" s="148" t="n">
        <x:v>79</x:v>
      </x:c>
      <x:c r="D371" s="115" t="str">
        <x:v>Protokolle, Anfragen und Beschwerden: Text kriteriengeleitet überarbeiten</x:v>
      </x:c>
      <x:c r="E371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371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371" s="115" t="str">
        <x:v>de_k8_st79_gebrauchstexte_ueberarbeiten</x:v>
      </x:c>
      <x:c r="H371" s="176" t="e">
        <x:f>HYPERLINK("schueler/de_k8_st79_gebrauchstexte_ueberarbeiten_app.html","Lernmodul öffnen")</x:f>
      </x:c>
      <x:c r="I371" s="177" t="e">
        <x:f>HYPERLINK("lehrer/de_k8_st79_gebrauchstexte_ueberarbeiten_orga.html","Vorbereitung öffnen")</x:f>
      </x:c>
    </x:row>
    <x:row r="372" ht="65" customHeight="1">
      <x:c r="A372" s="142" t="n">
        <x:v>8</x:v>
      </x:c>
      <x:c r="B372" s="115" t="str">
        <x:v>Sprechen und Zuhören</x:v>
      </x:c>
      <x:c r="C372" s="148" t="n">
        <x:v>80</x:v>
      </x:c>
      <x:c r="D372" s="115" t="str">
        <x:v>Protokolle, Anfragen und Beschwerden: Texte vorstellen und bewerten</x:v>
      </x:c>
      <x:c r="E372" s="115" t="str">
        <x:v>Ausgewählte Passage vorlesen oder erläutern; Rückmeldung mit einfachen Satzmustern geben. Kurs-I-Niveau: reduzierte Textmenge, Leitfragen, vorstrukturierte Verfahren und alltagsnahe Transferaufgaben.</x:v>
      </x:c>
      <x:c r="F372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372" s="115" t="str">
        <x:v>de_k8_st80_gebrauchstexte_vorstellen</x:v>
      </x:c>
      <x:c r="H372" s="176" t="e">
        <x:f>HYPERLINK("schueler/de_k8_st80_gebrauchstexte_vorstellen_app.html","Lernmodul öffnen")</x:f>
      </x:c>
      <x:c r="I372" s="177" t="e">
        <x:f>HYPERLINK("lehrer/de_k8_st80_gebrauchstexte_vorstellen_orga.html","Vorbereitung öffnen")</x:f>
      </x:c>
    </x:row>
    <x:row r="373" ht="65" customHeight="1">
      <x:c r="A373" s="142" t="n">
        <x:v>8</x:v>
      </x:c>
      <x:c r="B373" s="115" t="str">
        <x:v>Sprechen und Zuhören</x:v>
      </x:c>
      <x:c r="C373" s="148" t="n">
        <x:v>81</x:v>
      </x:c>
      <x:c r="D373" s="115" t="str">
        <x:v>Kurze dramatische und kabarettistische Texte: Hör- oder Leseeinstieg gestalten</x:v>
      </x:c>
      <x:c r="E373" s="115" t="str">
        <x:v>Einstieg über Bild, Hörtext oder kurzen Auszug; Vorwissen zu Szene, Sketch und Kabaretttext sammeln und zentrale Wörter klären. Kurs-I-Niveau: reduzierte Textmenge, Leitfragen, vorstrukturierte Verfahren und alltagsnahe Transferaufgaben.</x:v>
      </x:c>
      <x:c r="F373" s="115" t="str">
        <x:v>Aus Titel, Kontext und Gestaltung Erwartungen an Szene, Sketch und Kabaretttext ableiten; erste Hypothesen formulieren und begründen. Kurs-II-Niveau: komplexere Texte, selbstständige Verfahren, Fachbegriffe und vertiefte Deutung oder Bewertung.</x:v>
      </x:c>
      <x:c r="G373" s="115" t="str">
        <x:v>de_k8_st81_drama_kurz_einstieg</x:v>
      </x:c>
      <x:c r="H373" s="176" t="e">
        <x:f>HYPERLINK("schueler/de_k8_st81_drama_kurz_einstieg_app.html","Lernmodul öffnen")</x:f>
      </x:c>
      <x:c r="I373" s="177" t="e">
        <x:f>HYPERLINK("lehrer/de_k8_st81_drama_kurz_einstieg_orga.html","Vorbereitung öffnen")</x:f>
      </x:c>
    </x:row>
    <x:row r="374" ht="65" customHeight="1">
      <x:c r="A374" s="142" t="n">
        <x:v>8</x:v>
      </x:c>
      <x:c r="B374" s="115" t="str">
        <x:v>Lesen/Umgang mit Texten</x:v>
      </x:c>
      <x:c r="C374" s="148" t="n">
        <x:v>82</x:v>
      </x:c>
      <x:c r="D374" s="115" t="str">
        <x:v>Kurze dramatische und kabarettistische Texte: den Text mit Lesestrategien erschließen</x:v>
      </x:c>
      <x:c r="E374" s="115" t="str">
        <x:v>Text abschnittsweise lesen; Schlüsselwörter markieren und den Inhalt mit Leitfragen sichern. Kurs-I-Niveau: reduzierte Textmenge, Leitfragen, vorstrukturierte Verfahren und alltagsnahe Transferaufgaben.</x:v>
      </x:c>
      <x:c r="F374" s="115" t="str">
        <x:v>Lesetechnik passend zum Ziel wählen; Sinnabschnitte, Schlüsselstellen und offene Fragen selbstständig festhalten. Kurs-II-Niveau: komplexere Texte, selbstständige Verfahren, Fachbegriffe und vertiefte Deutung oder Bewertung.</x:v>
      </x:c>
      <x:c r="G374" s="115" t="str">
        <x:v>de_k8_st82_drama_kurz_erschliessen</x:v>
      </x:c>
      <x:c r="H374" s="176" t="e">
        <x:f>HYPERLINK("schueler/de_k8_st82_drama_kurz_erschliessen_app.html","Lernmodul öffnen")</x:f>
      </x:c>
      <x:c r="I374" s="177" t="e">
        <x:f>HYPERLINK("lehrer/de_k8_st82_drama_kurz_erschliessen_orga.html","Vorbereitung öffnen")</x:f>
      </x:c>
    </x:row>
    <x:row r="375" ht="65" customHeight="1">
      <x:c r="A375" s="142" t="n">
        <x:v>8</x:v>
      </x:c>
      <x:c r="B375" s="115" t="str">
        <x:v>Lesen/Umgang mit Texten</x:v>
      </x:c>
      <x:c r="C375" s="148" t="n">
        <x:v>83</x:v>
      </x:c>
      <x:c r="D375" s="115" t="str">
        <x:v>Kurze dramatische und kabarettistische Texte: Gattungsmerkmale erkennen</x:v>
      </x:c>
      <x:c r="E375" s="115" t="str">
        <x:v>Merkmale wie Rollen, Konflikt, Dialog, Regieanweisung mithilfe einer Checkliste zuordnen und an Textstellen zeigen. Kurs-I-Niveau: reduzierte Textmenge, Leitfragen, vorstrukturierte Verfahren und alltagsnahe Transferaufgaben.</x:v>
      </x:c>
      <x:c r="F375" s="115" t="str">
        <x:v>Merkmale wie Rollen, Konflikt, Dialog, Regieanweisung textnah belegen und ihre Funktion für Aufbau und Wirkung erklären. Kurs-II-Niveau: komplexere Texte, selbstständige Verfahren, Fachbegriffe und vertiefte Deutung oder Bewertung.</x:v>
      </x:c>
      <x:c r="G375" s="115" t="str">
        <x:v>de_k8_st83_drama_kurz_merkmale</x:v>
      </x:c>
      <x:c r="H375" s="176" t="e">
        <x:f>HYPERLINK("schueler/de_k8_st83_drama_kurz_merkmale_app.html","Lernmodul öffnen")</x:f>
      </x:c>
      <x:c r="I375" s="177" t="e">
        <x:f>HYPERLINK("lehrer/de_k8_st83_drama_kurz_merkmale_orga.html","Vorbereitung öffnen")</x:f>
      </x:c>
    </x:row>
    <x:row r="376" ht="65" customHeight="1">
      <x:c r="A376" s="142" t="n">
        <x:v>8</x:v>
      </x:c>
      <x:c r="B376" s="115" t="str">
        <x:v>Lesen/Umgang mit Texten</x:v>
      </x:c>
      <x:c r="C376" s="148" t="n">
        <x:v>84</x:v>
      </x:c>
      <x:c r="D376" s="115" t="str">
        <x:v>Kurze dramatische und kabarettistische Texte: Figuren, Handlung und Konflikt untersuchen</x:v>
      </x:c>
      <x:c r="E376" s="115" t="str">
        <x:v>Subtext, Pointe und gesellschaftliche Kritik mit Figurenkarten oder Handlungsstreifen ordnen; einfache Belege auswählen. Kurs-I-Niveau: reduzierte Textmenge, Leitfragen, vorstrukturierte Verfahren und alltagsnahe Transferaufgaben.</x:v>
      </x:c>
      <x:c r="F376" s="115" t="str">
        <x:v>Subtext, Pointe und gesellschaftliche Kritik in ihrem Zusammenhang untersuchen; Schlussfolgerungen mit passenden Textbelegen absichern. Kurs-II-Niveau: komplexere Texte, selbstständige Verfahren, Fachbegriffe und vertiefte Deutung oder Bewertung.</x:v>
      </x:c>
      <x:c r="G376" s="115" t="str">
        <x:v>de_k8_st84_drama_kurz_figuren_handlung</x:v>
      </x:c>
      <x:c r="H376" s="176" t="e">
        <x:f>HYPERLINK("schueler/de_k8_st84_drama_kurz_figuren_handlung_app.html","Lernmodul öffnen")</x:f>
      </x:c>
      <x:c r="I376" s="177" t="e">
        <x:f>HYPERLINK("lehrer/de_k8_st84_drama_kurz_figuren_handlung_orga.html","Vorbereitung öffnen")</x:f>
      </x:c>
    </x:row>
    <x:row r="377" ht="65" customHeight="1">
      <x:c r="A377" s="142" t="n">
        <x:v>8</x:v>
      </x:c>
      <x:c r="B377" s="115" t="str">
        <x:v>Sprache untersuchen</x:v>
      </x:c>
      <x:c r="C377" s="148" t="n">
        <x:v>85</x:v>
      </x:c>
      <x:c r="D377" s="115" t="str">
        <x:v>Kurze dramatische und kabarettistische Texte: Sprache und Wirkung untersuchen</x:v>
      </x:c>
      <x:c r="E377" s="115" t="str">
        <x:v>Beispiele für Sprechhandlung, Ironie, rhetorische Mittel markieren und ihre Wirkung mit vorgegebenen Begriffen beschreiben. Kurs-I-Niveau: reduzierte Textmenge, Leitfragen, vorstrukturierte Verfahren und alltagsnahe Transferaufgaben.</x:v>
      </x:c>
      <x:c r="F377" s="115" t="str">
        <x:v>Sprechhandlung, Ironie, rhetorische Mittel fachsprachlich analysieren und auf Figurenzeichnung, Stimmung oder Aussage beziehen. Kurs-II-Niveau: komplexere Texte, selbstständige Verfahren, Fachbegriffe und vertiefte Deutung oder Bewertung.</x:v>
      </x:c>
      <x:c r="G377" s="115" t="str">
        <x:v>de_k8_st85_drama_kurz_sprache_wirkung</x:v>
      </x:c>
      <x:c r="H377" s="176" t="e">
        <x:f>HYPERLINK("schueler/de_k8_st85_drama_kurz_sprache_wirkung_app.html","Lernmodul öffnen")</x:f>
      </x:c>
      <x:c r="I377" s="177" t="e">
        <x:f>HYPERLINK("lehrer/de_k8_st85_drama_kurz_sprache_wirkung_orga.html","Vorbereitung öffnen")</x:f>
      </x:c>
    </x:row>
    <x:row r="378" ht="65" customHeight="1">
      <x:c r="A378" s="142" t="n">
        <x:v>8</x:v>
      </x:c>
      <x:c r="B378" s="115" t="str">
        <x:v>Schreiben</x:v>
      </x:c>
      <x:c r="C378" s="148" t="n">
        <x:v>86</x:v>
      </x:c>
      <x:c r="D378" s="115" t="str">
        <x:v>Kurze dramatische und kabarettistische Texte: eine Deutung oder Perspektive vorbereiten</x:v>
      </x:c>
      <x:c r="E378" s="115" t="str">
        <x:v>Eine zentrale Aussage mit Satzstartern formulieren; Beleg und Erklärung in einem Schreibrahmen verbinden. Kurs-I-Niveau: reduzierte Textmenge, Leitfragen, vorstrukturierte Verfahren und alltagsnahe Transferaufgaben.</x:v>
      </x:c>
      <x:c r="F378" s="115" t="str">
        <x:v>Eine schlüssige Deutungshypothese entwickeln; mehrere Belege auswählen, ordnen und gegeneinander abwägen. Kurs-II-Niveau: komplexere Texte, selbstständige Verfahren, Fachbegriffe und vertiefte Deutung oder Bewertung.</x:v>
      </x:c>
      <x:c r="G378" s="115" t="str">
        <x:v>de_k8_st86_drama_kurz_deutung_planen</x:v>
      </x:c>
      <x:c r="H378" s="176" t="e">
        <x:f>HYPERLINK("schueler/de_k8_st86_drama_kurz_deutung_planen_app.html","Lernmodul öffnen")</x:f>
      </x:c>
      <x:c r="I378" s="177" t="e">
        <x:f>HYPERLINK("lehrer/de_k8_st86_drama_kurz_deutung_planen_orga.html","Vorbereitung öffnen")</x:f>
      </x:c>
    </x:row>
    <x:row r="379" ht="65" customHeight="1">
      <x:c r="A379" s="142" t="n">
        <x:v>8</x:v>
      </x:c>
      <x:c r="B379" s="115" t="str">
        <x:v>Schreiben</x:v>
      </x:c>
      <x:c r="C379" s="148" t="n">
        <x:v>87</x:v>
      </x:c>
      <x:c r="D379" s="115" t="str">
        <x:v>Kurze dramatische und kabarettistische Texte: Inszenierung oder Szenenanalyse gestalten</x:v>
      </x:c>
      <x:c r="E379" s="115" t="str">
        <x:v>Inszenierung oder szenenanalyse nach klaren Vorgaben erstellen; Hilfekarten und Wortbank nutzen. Kurs-I-Niveau: reduzierte Textmenge, Leitfragen, vorstrukturierte Verfahren und alltagsnahe Transferaufgaben.</x:v>
      </x:c>
      <x:c r="F379" s="115" t="str">
        <x:v>Inszenierung oder szenenanalyse eigenständig, textnah und sprachlich variabel gestalten; Wirkung bewusst planen. Kurs-II-Niveau: komplexere Texte, selbstständige Verfahren, Fachbegriffe und vertiefte Deutung oder Bewertung.</x:v>
      </x:c>
      <x:c r="G379" s="115" t="str">
        <x:v>de_k8_st87_drama_kurz_produkt</x:v>
      </x:c>
      <x:c r="H379" s="176" t="e">
        <x:f>HYPERLINK("schueler/de_k8_st87_drama_kurz_produkt_app.html","Lernmodul öffnen")</x:f>
      </x:c>
      <x:c r="I379" s="177" t="e">
        <x:f>HYPERLINK("lehrer/de_k8_st87_drama_kurz_produkt_orga.html","Vorbereitung öffnen")</x:f>
      </x:c>
    </x:row>
    <x:row r="380" ht="65" customHeight="1">
      <x:c r="A380" s="142" t="n">
        <x:v>8</x:v>
      </x:c>
      <x:c r="B380" s="115" t="str">
        <x:v>Sprechen und Zuhören</x:v>
      </x:c>
      <x:c r="C380" s="148" t="n">
        <x:v>88</x:v>
      </x:c>
      <x:c r="D380" s="115" t="str">
        <x:v>Kurze dramatische und kabarettistische Texte: Ergebnisse präsentieren und reflektieren</x:v>
      </x:c>
      <x:c r="E380" s="115" t="str">
        <x:v>Ergebnis kurz vorstellen; zwei vereinbarte Kriterien für Rückmeldung anwenden. Kurs-I-Niveau: reduzierte Textmenge, Leitfragen, vorstrukturierte Verfahren und alltagsnahe Transferaufgaben.</x:v>
      </x:c>
      <x:c r="F380" s="115" t="str">
        <x:v>Ergebnis adressatenbezogen präsentieren; Rückmeldungen begründen und die eigene Deutung oder Gestaltung überarbeiten. Kurs-II-Niveau: komplexere Texte, selbstständige Verfahren, Fachbegriffe und vertiefte Deutung oder Bewertung.</x:v>
      </x:c>
      <x:c r="G380" s="115" t="str">
        <x:v>de_k8_st88_drama_kurz_praesentieren</x:v>
      </x:c>
      <x:c r="H380" s="176" t="e">
        <x:f>HYPERLINK("schueler/de_k8_st88_drama_kurz_praesentieren_app.html","Lernmodul öffnen")</x:f>
      </x:c>
      <x:c r="I380" s="177" t="e">
        <x:f>HYPERLINK("lehrer/de_k8_st88_drama_kurz_praesentieren_orga.html","Vorbereitung öffnen")</x:f>
      </x:c>
    </x:row>
    <x:row r="381" ht="65" customHeight="1">
      <x:c r="A381" s="142" t="n">
        <x:v>8</x:v>
      </x:c>
      <x:c r="B381" s="115" t="str">
        <x:v>Sprechen und Zuhören</x:v>
      </x:c>
      <x:c r="C381" s="148" t="n">
        <x:v>89</x:v>
      </x:c>
      <x:c r="D381" s="115" t="str">
        <x:v>Kompetenzprojekt Klasse 8: Vorwissen und Positionen klären</x:v>
      </x:c>
      <x:c r="E381" s="115" t="str">
        <x:v>Eigene Erfahrungen zu selbst gewähltes Jugendthema benennen; zentrale Begriffe mit Beispielen klären. Kurs-I-Niveau: reduzierte Textmenge, Leitfragen, vorstrukturierte Verfahren und alltagsnahe Transferaufgaben.</x:v>
      </x:c>
      <x:c r="F381" s="115" t="str">
        <x:v>Vorwissen zu selbst gewähltes Jugendthema strukturieren; erste Positionen formulieren und mögliche Konflikte benennen. Kurs-II-Niveau: komplexere Texte, selbstständige Verfahren, Fachbegriffe und vertiefte Deutung oder Bewertung.</x:v>
      </x:c>
      <x:c r="G381" s="115" t="str">
        <x:v>de_k8_st89_kompetenzprojekt_einstieg</x:v>
      </x:c>
      <x:c r="H381" s="176" t="e">
        <x:f>HYPERLINK("schueler/de_k8_st89_kompetenzprojekt_einstieg_app.html","Lernmodul öffnen")</x:f>
      </x:c>
      <x:c r="I381" s="177" t="e">
        <x:f>HYPERLINK("lehrer/de_k8_st89_kompetenzprojekt_einstieg_orga.html","Vorbereitung öffnen")</x:f>
      </x:c>
    </x:row>
    <x:row r="382" ht="65" customHeight="1">
      <x:c r="A382" s="142" t="n">
        <x:v>8</x:v>
      </x:c>
      <x:c r="B382" s="115" t="str">
        <x:v>Lesen/Umgang mit Texten</x:v>
      </x:c>
      <x:c r="C382" s="148" t="n">
        <x:v>90</x:v>
      </x:c>
      <x:c r="D382" s="115" t="str">
        <x:v>Kompetenzprojekt Klasse 8: Quellen und Materialien erschließen</x:v>
      </x:c>
      <x:c r="E382" s="115" t="str">
        <x:v>Kurze Materialien lesen oder ansehen; Hauptaussagen mit Leitfragen festhalten. Kurs-I-Niveau: reduzierte Textmenge, Leitfragen, vorstrukturierte Verfahren und alltagsnahe Transferaufgaben.</x:v>
      </x:c>
      <x:c r="F382" s="115" t="str">
        <x:v>Unterschiedliche Materialien selbstständig erschließen; Aussage, Intention und Kontext bestimmen. Kurs-II-Niveau: komplexere Texte, selbstständige Verfahren, Fachbegriffe und vertiefte Deutung oder Bewertung.</x:v>
      </x:c>
      <x:c r="G382" s="115" t="str">
        <x:v>de_k8_st90_kompetenzprojekt_quellen</x:v>
      </x:c>
      <x:c r="H382" s="176" t="e">
        <x:f>HYPERLINK("schueler/de_k8_st90_kompetenzprojekt_quellen_app.html","Lernmodul öffnen")</x:f>
      </x:c>
      <x:c r="I382" s="177" t="e">
        <x:f>HYPERLINK("lehrer/de_k8_st90_kompetenzprojekt_quellen_orga.html","Vorbereitung öffnen")</x:f>
      </x:c>
    </x:row>
    <x:row r="383" ht="65" customHeight="1">
      <x:c r="A383" s="142" t="n">
        <x:v>8</x:v>
      </x:c>
      <x:c r="B383" s="115" t="str">
        <x:v>Lesen/Umgang mit Texten</x:v>
      </x:c>
      <x:c r="C383" s="148" t="n">
        <x:v>91</x:v>
      </x:c>
      <x:c r="D383" s="115" t="str">
        <x:v>Kompetenzprojekt Klasse 8: Qualitätskriterien anwenden</x:v>
      </x:c>
      <x:c r="E383" s="115" t="str">
        <x:v>Fragestellung, Arbeitsplan, Quellen und Produktkriterien in einer Checkliste anwenden und Auffälligkeiten markieren. Kurs-I-Niveau: reduzierte Textmenge, Leitfragen, vorstrukturierte Verfahren und alltagsnahe Transferaufgaben.</x:v>
      </x:c>
      <x:c r="F383" s="115" t="str">
        <x:v>Fragestellung, Arbeitsplan, Quellen und Produktkriterien gewichten, auf Grenzfälle anwenden und begründete Qualitätsurteile formulieren. Kurs-II-Niveau: komplexere Texte, selbstständige Verfahren, Fachbegriffe und vertiefte Deutung oder Bewertung.</x:v>
      </x:c>
      <x:c r="G383" s="115" t="str">
        <x:v>de_k8_st91_kompetenzprojekt_kriterien</x:v>
      </x:c>
      <x:c r="H383" s="176" t="e">
        <x:f>HYPERLINK("schueler/de_k8_st91_kompetenzprojekt_kriterien_app.html","Lernmodul öffnen")</x:f>
      </x:c>
      <x:c r="I383" s="177" t="e">
        <x:f>HYPERLINK("lehrer/de_k8_st91_kompetenzprojekt_kriterien_orga.html","Vorbereitung öffnen")</x:f>
      </x:c>
    </x:row>
    <x:row r="384" ht="65" customHeight="1">
      <x:c r="A384" s="142" t="n">
        <x:v>8</x:v>
      </x:c>
      <x:c r="B384" s="115" t="str">
        <x:v>Lesen/Umgang mit Texten</x:v>
      </x:c>
      <x:c r="C384" s="148" t="n">
        <x:v>92</x:v>
      </x:c>
      <x:c r="D384" s="115" t="str">
        <x:v>Kompetenzprojekt Klasse 8: Darstellungen vergleichen</x:v>
      </x:c>
      <x:c r="E384" s="115" t="str">
        <x:v>Individuelle und kooperative arbeitswege nach vorgegebenen Merkmalen vergleichen. Kurs-I-Niveau: reduzierte Textmenge, Leitfragen, vorstrukturierte Verfahren und alltagsnahe Transferaufgaben.</x:v>
      </x:c>
      <x:c r="F384" s="115" t="str">
        <x:v>Individuelle und kooperative arbeitswege hinsichtlich Informationsauswahl, Gestaltung, Wirkung und Interessen vergleichen. Kurs-II-Niveau: komplexere Texte, selbstständige Verfahren, Fachbegriffe und vertiefte Deutung oder Bewertung.</x:v>
      </x:c>
      <x:c r="G384" s="115" t="str">
        <x:v>de_k8_st92_kompetenzprojekt_vergleichen</x:v>
      </x:c>
      <x:c r="H384" s="176" t="e">
        <x:f>HYPERLINK("schueler/de_k8_st92_kompetenzprojekt_vergleichen_app.html","Lernmodul öffnen")</x:f>
      </x:c>
      <x:c r="I384" s="177" t="e">
        <x:f>HYPERLINK("lehrer/de_k8_st92_kompetenzprojekt_vergleichen_orga.html","Vorbereitung öffnen")</x:f>
      </x:c>
    </x:row>
    <x:row r="385" ht="65" customHeight="1">
      <x:c r="A385" s="142" t="n">
        <x:v>8</x:v>
      </x:c>
      <x:c r="B385" s="115" t="str">
        <x:v>Schreiben</x:v>
      </x:c>
      <x:c r="C385" s="148" t="n">
        <x:v>93</x:v>
      </x:c>
      <x:c r="D385" s="115" t="str">
        <x:v>Kompetenzprojekt Klasse 8: Informationen prüfen und ordnen</x:v>
      </x:c>
      <x:c r="E385" s="115" t="str">
        <x:v>Informationen aus vorgegebenen Quellen auswählen; Fundstellen notieren und geordnet ablegen. Kurs-I-Niveau: reduzierte Textmenge, Leitfragen, vorstrukturierte Verfahren und alltagsnahe Transferaufgaben.</x:v>
      </x:c>
      <x:c r="F385" s="115" t="str">
        <x:v>Recherchefrage entwickeln; Quellen prüfen, Informationen abgleichen und korrekt dokumentieren. Kurs-II-Niveau: komplexere Texte, selbstständige Verfahren, Fachbegriffe und vertiefte Deutung oder Bewertung.</x:v>
      </x:c>
      <x:c r="G385" s="115" t="str">
        <x:v>de_k8_st93_kompetenzprojekt_recherche</x:v>
      </x:c>
      <x:c r="H385" s="176" t="e">
        <x:f>HYPERLINK("schueler/de_k8_st93_kompetenzprojekt_recherche_app.html","Lernmodul öffnen")</x:f>
      </x:c>
      <x:c r="I385" s="177" t="e">
        <x:f>HYPERLINK("lehrer/de_k8_st93_kompetenzprojekt_recherche_orga.html","Vorbereitung öffnen")</x:f>
      </x:c>
    </x:row>
    <x:row r="386" ht="65" customHeight="1">
      <x:c r="A386" s="142" t="n">
        <x:v>8</x:v>
      </x:c>
      <x:c r="B386" s="115" t="str">
        <x:v>Schreiben</x:v>
      </x:c>
      <x:c r="C386" s="148" t="n">
        <x:v>94</x:v>
      </x:c>
      <x:c r="D386" s="115" t="str">
        <x:v>Kompetenzprojekt Klasse 8: Produkt planen</x:v>
      </x:c>
      <x:c r="E386" s="115" t="str">
        <x:v>Für Portfolio und Präsentation einen vorgegebenen Arbeitsplan ergänzen; Aufgaben verteilen. Kurs-I-Niveau: reduzierte Textmenge, Leitfragen, vorstrukturierte Verfahren und alltagsnahe Transferaufgaben.</x:v>
      </x:c>
      <x:c r="F386" s="115" t="str">
        <x:v>Für Portfolio und Präsentation Zielgruppe, Aufbau, Medienwahl, Zeitplan und Qualitätskontrolle selbstständig festlegen. Kurs-II-Niveau: komplexere Texte, selbstständige Verfahren, Fachbegriffe und vertiefte Deutung oder Bewertung.</x:v>
      </x:c>
      <x:c r="G386" s="115" t="str">
        <x:v>de_k8_st94_kompetenzprojekt_planen</x:v>
      </x:c>
      <x:c r="H386" s="176" t="e">
        <x:f>HYPERLINK("schueler/de_k8_st94_kompetenzprojekt_planen_app.html","Lernmodul öffnen")</x:f>
      </x:c>
      <x:c r="I386" s="177" t="e">
        <x:f>HYPERLINK("lehrer/de_k8_st94_kompetenzprojekt_planen_orga.html","Vorbereitung öffnen")</x:f>
      </x:c>
    </x:row>
    <x:row r="387" ht="65" customHeight="1">
      <x:c r="A387" s="142" t="n">
        <x:v>8</x:v>
      </x:c>
      <x:c r="B387" s="115" t="str">
        <x:v>Schreiben</x:v>
      </x:c>
      <x:c r="C387" s="148" t="n">
        <x:v>95</x:v>
      </x:c>
      <x:c r="D387" s="115" t="str">
        <x:v>Kompetenzprojekt Klasse 8: Produkt erstellen</x:v>
      </x:c>
      <x:c r="E387" s="115" t="str">
        <x:v>Portfolio und präsentation mit Vorlage und klaren Teilaufträgen erstellen. Kurs-I-Niveau: reduzierte Textmenge, Leitfragen, vorstrukturierte Verfahren und alltagsnahe Transferaufgaben.</x:v>
      </x:c>
      <x:c r="F387" s="115" t="str">
        <x:v>Portfolio und präsentation selbstständig, adressatengerecht und quellenbewusst erstellen. Kurs-II-Niveau: komplexere Texte, selbstständige Verfahren, Fachbegriffe und vertiefte Deutung oder Bewertung.</x:v>
      </x:c>
      <x:c r="G387" s="115" t="str">
        <x:v>de_k8_st95_kompetenzprojekt_erstellen</x:v>
      </x:c>
      <x:c r="H387" s="176" t="e">
        <x:f>HYPERLINK("schueler/de_k8_st95_kompetenzprojekt_erstellen_app.html","Lernmodul öffnen")</x:f>
      </x:c>
      <x:c r="I387" s="177" t="e">
        <x:f>HYPERLINK("lehrer/de_k8_st95_kompetenzprojekt_erstellen_orga.html","Vorbereitung öffnen")</x:f>
      </x:c>
    </x:row>
    <x:row r="388" ht="65" customHeight="1">
      <x:c r="A388" s="142" t="n">
        <x:v>8</x:v>
      </x:c>
      <x:c r="B388" s="115" t="str">
        <x:v>Sprechen und Zuhören</x:v>
      </x:c>
      <x:c r="C388" s="148" t="n">
        <x:v>96</x:v>
      </x:c>
      <x:c r="D388" s="115" t="str">
        <x:v>Kompetenzprojekt Klasse 8: präsentieren und reflektieren</x:v>
      </x:c>
      <x:c r="E388" s="115" t="str">
        <x:v>Produkt kurz vorstellen; Rückmeldung anhand weniger Kriterien geben und annehmen. Kurs-I-Niveau: reduzierte Textmenge, Leitfragen, vorstrukturierte Verfahren und alltagsnahe Transferaufgaben.</x:v>
      </x:c>
      <x:c r="F388" s="115" t="str">
        <x:v>Produkt überzeugend präsentieren; Arbeitsprozess, Quellenwahl und Wirkung kritisch reflektieren. Kurs-II-Niveau: komplexere Texte, selbstständige Verfahren, Fachbegriffe und vertiefte Deutung oder Bewertung.</x:v>
      </x:c>
      <x:c r="G388" s="115" t="str">
        <x:v>de_k8_st96_kompetenzprojekt_reflexion</x:v>
      </x:c>
      <x:c r="H388" s="176" t="e">
        <x:f>HYPERLINK("schueler/de_k8_st96_kompetenzprojekt_reflexion_app.html","Lernmodul öffnen")</x:f>
      </x:c>
      <x:c r="I388" s="177" t="e">
        <x:f>HYPERLINK("lehrer/de_k8_st96_kompetenzprojekt_reflexion_orga.html","Vorbereitung öffnen")</x:f>
      </x:c>
    </x:row>
    <x:row r="389" ht="65" customHeight="1">
      <x:c r="A389" s="142" t="n">
        <x:v>9</x:v>
      </x:c>
      <x:c r="B389" s="115" t="str">
        <x:v>Sprechen und Zuhören</x:v>
      </x:c>
      <x:c r="C389" s="148" t="n">
        <x:v>1</x:v>
      </x:c>
      <x:c r="D389" s="115" t="str">
        <x:v>Lernstand und Prüfungsformate: Vorwissen und Positionen klären</x:v>
      </x:c>
      <x:c r="E389" s="115" t="str">
        <x:v>Eigene Erfahrungen zu Anforderungen des HSA und des RSA benennen; zentrale Begriffe mit Beispielen klären. HSA-orientiert: überschaubare Materialien, klarer Schreibrahmen, gesicherte Grundoperatoren und lebensweltlicher Bezug.</x:v>
      </x:c>
      <x:c r="F389" s="115" t="str">
        <x:v>Vorwissen zu Anforderungen des HSA und des RSA strukturieren; erste Positionen formulieren und mögliche Konflikte benennen. RSA-orientiert: umfangreichere Materialien, selbstständige Auswahl, differenzierte Textbelege und komplexere Schreibaufträge.</x:v>
      </x:c>
      <x:c r="G389" s="115" t="str">
        <x:v>de_k9_st01_diagnose_einstieg</x:v>
      </x:c>
      <x:c r="H389" s="176" t="e">
        <x:f>HYPERLINK("schueler/de_k9_st01_diagnose_einstieg_app.html","Lernmodul öffnen")</x:f>
      </x:c>
      <x:c r="I389" s="177" t="e">
        <x:f>HYPERLINK("lehrer/de_k9_st01_diagnose_einstieg_orga.html","Vorbereitung öffnen")</x:f>
      </x:c>
    </x:row>
    <x:row r="390" ht="65" customHeight="1">
      <x:c r="A390" s="142" t="n">
        <x:v>9</x:v>
      </x:c>
      <x:c r="B390" s="115" t="str">
        <x:v>Lesen/Umgang mit Texten</x:v>
      </x:c>
      <x:c r="C390" s="148" t="n">
        <x:v>2</x:v>
      </x:c>
      <x:c r="D390" s="115" t="str">
        <x:v>Lernstand und Prüfungsformate: Quellen und Materialien erschließen</x:v>
      </x:c>
      <x:c r="E390" s="115" t="str">
        <x:v>Kurze Materialien lesen oder ansehen; Hauptaussagen mit Leitfragen festhalten. HSA-orientiert: überschaubare Materialien, klarer Schreibrahmen, gesicherte Grundoperatoren und lebensweltlicher Bezug.</x:v>
      </x:c>
      <x:c r="F390" s="115" t="str">
        <x:v>Unterschiedliche Materialien selbstständig erschließen; Aussage, Intention und Kontext bestimmen. RSA-orientiert: umfangreichere Materialien, selbstständige Auswahl, differenzierte Textbelege und komplexere Schreibaufträge.</x:v>
      </x:c>
      <x:c r="G390" s="115" t="str">
        <x:v>de_k9_st02_diagnose_quellen</x:v>
      </x:c>
      <x:c r="H390" s="176" t="e">
        <x:f>HYPERLINK("schueler/de_k9_st02_diagnose_quellen_app.html","Lernmodul öffnen")</x:f>
      </x:c>
      <x:c r="I390" s="177" t="e">
        <x:f>HYPERLINK("lehrer/de_k9_st02_diagnose_quellen_orga.html","Vorbereitung öffnen")</x:f>
      </x:c>
    </x:row>
    <x:row r="391" ht="65" customHeight="1">
      <x:c r="A391" s="142" t="n">
        <x:v>9</x:v>
      </x:c>
      <x:c r="B391" s="115" t="str">
        <x:v>Lesen/Umgang mit Texten</x:v>
      </x:c>
      <x:c r="C391" s="148" t="n">
        <x:v>3</x:v>
      </x:c>
      <x:c r="D391" s="115" t="str">
        <x:v>Lernstand und Prüfungsformate: Qualitätskriterien anwenden</x:v>
      </x:c>
      <x:c r="E391" s="115" t="str">
        <x:v>Operatoren, Zeitplanung, Aufgabenformate und Selbsteinschätzung in einer Checkliste anwenden und Auffälligkeiten markieren. HSA-orientiert: überschaubare Materialien, klarer Schreibrahmen, gesicherte Grundoperatoren und lebensweltlicher Bezug.</x:v>
      </x:c>
      <x:c r="F391" s="115" t="str">
        <x:v>Operatoren, Zeitplanung, Aufgabenformate und Selbsteinschätzung gewichten, auf Grenzfälle anwenden und begründete Qualitätsurteile formulieren. RSA-orientiert: umfangreichere Materialien, selbstständige Auswahl, differenzierte Textbelege und komplexere Schreibaufträge.</x:v>
      </x:c>
      <x:c r="G391" s="115" t="str">
        <x:v>de_k9_st03_diagnose_kriterien</x:v>
      </x:c>
      <x:c r="H391" s="176" t="e">
        <x:f>HYPERLINK("schueler/de_k9_st03_diagnose_kriterien_app.html","Lernmodul öffnen")</x:f>
      </x:c>
      <x:c r="I391" s="177" t="e">
        <x:f>HYPERLINK("lehrer/de_k9_st03_diagnose_kriterien_orga.html","Vorbereitung öffnen")</x:f>
      </x:c>
    </x:row>
    <x:row r="392" ht="65" customHeight="1">
      <x:c r="A392" s="142" t="n">
        <x:v>9</x:v>
      </x:c>
      <x:c r="B392" s="115" t="str">
        <x:v>Lesen/Umgang mit Texten</x:v>
      </x:c>
      <x:c r="C392" s="148" t="n">
        <x:v>4</x:v>
      </x:c>
      <x:c r="D392" s="115" t="str">
        <x:v>Lernstand und Prüfungsformate: Darstellungen vergleichen</x:v>
      </x:c>
      <x:c r="E392" s="115" t="str">
        <x:v>Hsa-aufgabe und rsa-aufgabe nach vorgegebenen Merkmalen vergleichen. HSA-orientiert: überschaubare Materialien, klarer Schreibrahmen, gesicherte Grundoperatoren und lebensweltlicher Bezug.</x:v>
      </x:c>
      <x:c r="F392" s="115" t="str">
        <x:v>Hsa-aufgabe und rsa-aufgabe hinsichtlich Informationsauswahl, Gestaltung, Wirkung und Interessen vergleichen. RSA-orientiert: umfangreichere Materialien, selbstständige Auswahl, differenzierte Textbelege und komplexere Schreibaufträge.</x:v>
      </x:c>
      <x:c r="G392" s="115" t="str">
        <x:v>de_k9_st04_diagnose_vergleichen</x:v>
      </x:c>
      <x:c r="H392" s="176" t="e">
        <x:f>HYPERLINK("schueler/de_k9_st04_diagnose_vergleichen_app.html","Lernmodul öffnen")</x:f>
      </x:c>
      <x:c r="I392" s="177" t="e">
        <x:f>HYPERLINK("lehrer/de_k9_st04_diagnose_vergleichen_orga.html","Vorbereitung öffnen")</x:f>
      </x:c>
    </x:row>
    <x:row r="393" ht="65" customHeight="1">
      <x:c r="A393" s="142" t="n">
        <x:v>9</x:v>
      </x:c>
      <x:c r="B393" s="115" t="str">
        <x:v>Schreiben</x:v>
      </x:c>
      <x:c r="C393" s="148" t="n">
        <x:v>5</x:v>
      </x:c>
      <x:c r="D393" s="115" t="str">
        <x:v>Lernstand und Prüfungsformate: Informationen prüfen und ordnen</x:v>
      </x:c>
      <x:c r="E393" s="115" t="str">
        <x:v>Informationen aus vorgegebenen Quellen auswählen; Fundstellen notieren und geordnet ablegen. HSA-orientiert: überschaubare Materialien, klarer Schreibrahmen, gesicherte Grundoperatoren und lebensweltlicher Bezug.</x:v>
      </x:c>
      <x:c r="F393" s="115" t="str">
        <x:v>Recherchefrage entwickeln; Quellen prüfen, Informationen abgleichen und korrekt dokumentieren. RSA-orientiert: umfangreichere Materialien, selbstständige Auswahl, differenzierte Textbelege und komplexere Schreibaufträge.</x:v>
      </x:c>
      <x:c r="G393" s="115" t="str">
        <x:v>de_k9_st05_diagnose_recherche</x:v>
      </x:c>
      <x:c r="H393" s="176" t="e">
        <x:f>HYPERLINK("schueler/de_k9_st05_diagnose_recherche_app.html","Lernmodul öffnen")</x:f>
      </x:c>
      <x:c r="I393" s="177" t="e">
        <x:f>HYPERLINK("lehrer/de_k9_st05_diagnose_recherche_orga.html","Vorbereitung öffnen")</x:f>
      </x:c>
    </x:row>
    <x:row r="394" ht="65" customHeight="1">
      <x:c r="A394" s="142" t="n">
        <x:v>9</x:v>
      </x:c>
      <x:c r="B394" s="115" t="str">
        <x:v>Schreiben</x:v>
      </x:c>
      <x:c r="C394" s="148" t="n">
        <x:v>6</x:v>
      </x:c>
      <x:c r="D394" s="115" t="str">
        <x:v>Lernstand und Prüfungsformate: Produkt planen</x:v>
      </x:c>
      <x:c r="E394" s="115" t="str">
        <x:v>Für persönlicher Prüfungsplan einen vorgegebenen Arbeitsplan ergänzen; Aufgaben verteilen. HSA-orientiert: überschaubare Materialien, klarer Schreibrahmen, gesicherte Grundoperatoren und lebensweltlicher Bezug.</x:v>
      </x:c>
      <x:c r="F394" s="115" t="str">
        <x:v>Für persönlicher Prüfungsplan Zielgruppe, Aufbau, Medienwahl, Zeitplan und Qualitätskontrolle selbstständig festlegen. RSA-orientiert: umfangreichere Materialien, selbstständige Auswahl, differenzierte Textbelege und komplexere Schreibaufträge.</x:v>
      </x:c>
      <x:c r="G394" s="115" t="str">
        <x:v>de_k9_st06_diagnose_planen</x:v>
      </x:c>
      <x:c r="H394" s="176" t="e">
        <x:f>HYPERLINK("schueler/de_k9_st06_diagnose_planen_app.html","Lernmodul öffnen")</x:f>
      </x:c>
      <x:c r="I394" s="177" t="e">
        <x:f>HYPERLINK("lehrer/de_k9_st06_diagnose_planen_orga.html","Vorbereitung öffnen")</x:f>
      </x:c>
    </x:row>
    <x:row r="395" ht="65" customHeight="1">
      <x:c r="A395" s="142" t="n">
        <x:v>9</x:v>
      </x:c>
      <x:c r="B395" s="115" t="str">
        <x:v>Schreiben</x:v>
      </x:c>
      <x:c r="C395" s="148" t="n">
        <x:v>7</x:v>
      </x:c>
      <x:c r="D395" s="115" t="str">
        <x:v>Lernstand und Prüfungsformate: Produkt erstellen</x:v>
      </x:c>
      <x:c r="E395" s="115" t="str">
        <x:v>Persönlicher prüfungsplan mit Vorlage und klaren Teilaufträgen erstellen. HSA-orientiert: überschaubare Materialien, klarer Schreibrahmen, gesicherte Grundoperatoren und lebensweltlicher Bezug.</x:v>
      </x:c>
      <x:c r="F395" s="115" t="str">
        <x:v>Persönlicher prüfungsplan selbstständig, adressatengerecht und quellenbewusst erstellen. RSA-orientiert: umfangreichere Materialien, selbstständige Auswahl, differenzierte Textbelege und komplexere Schreibaufträge.</x:v>
      </x:c>
      <x:c r="G395" s="115" t="str">
        <x:v>de_k9_st07_diagnose_erstellen</x:v>
      </x:c>
      <x:c r="H395" s="176" t="e">
        <x:f>HYPERLINK("schueler/de_k9_st07_diagnose_erstellen_app.html","Lernmodul öffnen")</x:f>
      </x:c>
      <x:c r="I395" s="177" t="e">
        <x:f>HYPERLINK("lehrer/de_k9_st07_diagnose_erstellen_orga.html","Vorbereitung öffnen")</x:f>
      </x:c>
    </x:row>
    <x:row r="396" ht="65" customHeight="1">
      <x:c r="A396" s="142" t="n">
        <x:v>9</x:v>
      </x:c>
      <x:c r="B396" s="115" t="str">
        <x:v>Sprechen und Zuhören</x:v>
      </x:c>
      <x:c r="C396" s="148" t="n">
        <x:v>8</x:v>
      </x:c>
      <x:c r="D396" s="115" t="str">
        <x:v>Lernstand und Prüfungsformate: präsentieren und reflektieren</x:v>
      </x:c>
      <x:c r="E396" s="115" t="str">
        <x:v>Produkt kurz vorstellen; Rückmeldung anhand weniger Kriterien geben und annehmen. HSA-orientiert: überschaubare Materialien, klarer Schreibrahmen, gesicherte Grundoperatoren und lebensweltlicher Bezug.</x:v>
      </x:c>
      <x:c r="F396" s="115" t="str">
        <x:v>Produkt überzeugend präsentieren; Arbeitsprozess, Quellenwahl und Wirkung kritisch reflektieren. RSA-orientiert: umfangreichere Materialien, selbstständige Auswahl, differenzierte Textbelege und komplexere Schreibaufträge.</x:v>
      </x:c>
      <x:c r="G396" s="115" t="str">
        <x:v>de_k9_st08_diagnose_reflexion</x:v>
      </x:c>
      <x:c r="H396" s="176" t="e">
        <x:f>HYPERLINK("schueler/de_k9_st08_diagnose_reflexion_app.html","Lernmodul öffnen")</x:f>
      </x:c>
      <x:c r="I396" s="177" t="e">
        <x:f>HYPERLINK("lehrer/de_k9_st08_diagnose_reflexion_orga.html","Vorbereitung öffnen")</x:f>
      </x:c>
    </x:row>
    <x:row r="397" ht="65" customHeight="1">
      <x:c r="A397" s="142" t="n">
        <x:v>9</x:v>
      </x:c>
      <x:c r="B397" s="115" t="str">
        <x:v>Sprechen und Zuhören</x:v>
      </x:c>
      <x:c r="C397" s="148" t="n">
        <x:v>9</x:v>
      </x:c>
      <x:c r="D397" s="115" t="str">
        <x:v>Kurzgeschichte und Parabel: Hör- oder Leseeinstieg gestalten</x:v>
      </x:c>
      <x:c r="E397" s="115" t="str">
        <x:v>Einstieg über Bild, Hörtext oder kurzen Auszug; Vorwissen zu Kurzgeschichte und Parabel sammeln und zentrale Wörter klären. HSA-orientiert: überschaubare Materialien, klarer Schreibrahmen, gesicherte Grundoperatoren und lebensweltlicher Bezug.</x:v>
      </x:c>
      <x:c r="F397" s="115" t="str">
        <x:v>Aus Titel, Kontext und Gestaltung Erwartungen an Kurzgeschichte und Parabel ableiten; erste Hypothesen formulieren und begründen. RSA-orientiert: umfangreichere Materialien, selbstständige Auswahl, differenzierte Textbelege und komplexere Schreibaufträge.</x:v>
      </x:c>
      <x:c r="G397" s="115" t="str">
        <x:v>de_k9_st09_parabel_einstieg</x:v>
      </x:c>
      <x:c r="H397" s="176" t="e">
        <x:f>HYPERLINK("schueler/de_k9_st09_parabel_einstieg_app.html","Lernmodul öffnen")</x:f>
      </x:c>
      <x:c r="I397" s="177" t="e">
        <x:f>HYPERLINK("lehrer/de_k9_st09_parabel_einstieg_orga.html","Vorbereitung öffnen")</x:f>
      </x:c>
    </x:row>
    <x:row r="398" ht="65" customHeight="1">
      <x:c r="A398" s="142" t="n">
        <x:v>9</x:v>
      </x:c>
      <x:c r="B398" s="115" t="str">
        <x:v>Lesen/Umgang mit Texten</x:v>
      </x:c>
      <x:c r="C398" s="148" t="n">
        <x:v>10</x:v>
      </x:c>
      <x:c r="D398" s="115" t="str">
        <x:v>Kurzgeschichte und Parabel: den Text mit Lesestrategien erschließen</x:v>
      </x:c>
      <x:c r="E398" s="115" t="str">
        <x:v>Text abschnittsweise lesen; Schlüsselwörter markieren und den Inhalt mit Leitfragen sichern. HSA-orientiert: überschaubare Materialien, klarer Schreibrahmen, gesicherte Grundoperatoren und lebensweltlicher Bezug.</x:v>
      </x:c>
      <x:c r="F398" s="115" t="str">
        <x:v>Lesetechnik passend zum Ziel wählen; Sinnabschnitte, Schlüsselstellen und offene Fragen selbstständig festhalten. RSA-orientiert: umfangreichere Materialien, selbstständige Auswahl, differenzierte Textbelege und komplexere Schreibaufträge.</x:v>
      </x:c>
      <x:c r="G398" s="115" t="str">
        <x:v>de_k9_st10_parabel_erschliessen</x:v>
      </x:c>
      <x:c r="H398" s="176" t="e">
        <x:f>HYPERLINK("schueler/de_k9_st10_parabel_erschliessen_app.html","Lernmodul öffnen")</x:f>
      </x:c>
      <x:c r="I398" s="177" t="e">
        <x:f>HYPERLINK("lehrer/de_k9_st10_parabel_erschliessen_orga.html","Vorbereitung öffnen")</x:f>
      </x:c>
    </x:row>
    <x:row r="399" ht="65" customHeight="1">
      <x:c r="A399" s="142" t="n">
        <x:v>9</x:v>
      </x:c>
      <x:c r="B399" s="115" t="str">
        <x:v>Lesen/Umgang mit Texten</x:v>
      </x:c>
      <x:c r="C399" s="148" t="n">
        <x:v>11</x:v>
      </x:c>
      <x:c r="D399" s="115" t="str">
        <x:v>Kurzgeschichte und Parabel: Gattungsmerkmale erkennen</x:v>
      </x:c>
      <x:c r="E399" s="115" t="str">
        <x:v>Merkmale wie Handlung, Konflikt, Bild- und Sachebene mithilfe einer Checkliste zuordnen und an Textstellen zeigen. HSA-orientiert: überschaubare Materialien, klarer Schreibrahmen, gesicherte Grundoperatoren und lebensweltlicher Bezug.</x:v>
      </x:c>
      <x:c r="F399" s="115" t="str">
        <x:v>Merkmale wie Handlung, Konflikt, Bild- und Sachebene textnah belegen und ihre Funktion für Aufbau und Wirkung erklären. RSA-orientiert: umfangreichere Materialien, selbstständige Auswahl, differenzierte Textbelege und komplexere Schreibaufträge.</x:v>
      </x:c>
      <x:c r="G399" s="115" t="str">
        <x:v>de_k9_st11_parabel_merkmale</x:v>
      </x:c>
      <x:c r="H399" s="176" t="e">
        <x:f>HYPERLINK("schueler/de_k9_st11_parabel_merkmale_app.html","Lernmodul öffnen")</x:f>
      </x:c>
      <x:c r="I399" s="177" t="e">
        <x:f>HYPERLINK("lehrer/de_k9_st11_parabel_merkmale_orga.html","Vorbereitung öffnen")</x:f>
      </x:c>
    </x:row>
    <x:row r="400" ht="65" customHeight="1">
      <x:c r="A400" s="142" t="n">
        <x:v>9</x:v>
      </x:c>
      <x:c r="B400" s="115" t="str">
        <x:v>Lesen/Umgang mit Texten</x:v>
      </x:c>
      <x:c r="C400" s="148" t="n">
        <x:v>12</x:v>
      </x:c>
      <x:c r="D400" s="115" t="str">
        <x:v>Kurzgeschichte und Parabel: Figuren, Handlung und Konflikt untersuchen</x:v>
      </x:c>
      <x:c r="E400" s="115" t="str">
        <x:v>Mehrdeutigkeit, Symbolik und Deutungshypothese mit Figurenkarten oder Handlungsstreifen ordnen; einfache Belege auswählen. HSA-orientiert: überschaubare Materialien, klarer Schreibrahmen, gesicherte Grundoperatoren und lebensweltlicher Bezug.</x:v>
      </x:c>
      <x:c r="F400" s="115" t="str">
        <x:v>Mehrdeutigkeit, Symbolik und Deutungshypothese in ihrem Zusammenhang untersuchen; Schlussfolgerungen mit passenden Textbelegen absichern. RSA-orientiert: umfangreichere Materialien, selbstständige Auswahl, differenzierte Textbelege und komplexere Schreibaufträge.</x:v>
      </x:c>
      <x:c r="G400" s="115" t="str">
        <x:v>de_k9_st12_parabel_figuren_handlung</x:v>
      </x:c>
      <x:c r="H400" s="176" t="e">
        <x:f>HYPERLINK("schueler/de_k9_st12_parabel_figuren_handlung_app.html","Lernmodul öffnen")</x:f>
      </x:c>
      <x:c r="I400" s="177" t="e">
        <x:f>HYPERLINK("lehrer/de_k9_st12_parabel_figuren_handlung_orga.html","Vorbereitung öffnen")</x:f>
      </x:c>
    </x:row>
    <x:row r="401" ht="65" customHeight="1">
      <x:c r="A401" s="142" t="n">
        <x:v>9</x:v>
      </x:c>
      <x:c r="B401" s="115" t="str">
        <x:v>Sprache untersuchen</x:v>
      </x:c>
      <x:c r="C401" s="148" t="n">
        <x:v>13</x:v>
      </x:c>
      <x:c r="D401" s="115" t="str">
        <x:v>Kurzgeschichte und Parabel: Sprache und Wirkung untersuchen</x:v>
      </x:c>
      <x:c r="E401" s="115" t="str">
        <x:v>Beispiele für Erzählweise, Leitmotive, rhetorische Mittel markieren und ihre Wirkung mit vorgegebenen Begriffen beschreiben. HSA-orientiert: überschaubare Materialien, klarer Schreibrahmen, gesicherte Grundoperatoren und lebensweltlicher Bezug.</x:v>
      </x:c>
      <x:c r="F401" s="115" t="str">
        <x:v>Erzählweise, Leitmotive, rhetorische Mittel fachsprachlich analysieren und auf Figurenzeichnung, Stimmung oder Aussage beziehen. RSA-orientiert: umfangreichere Materialien, selbstständige Auswahl, differenzierte Textbelege und komplexere Schreibaufträge.</x:v>
      </x:c>
      <x:c r="G401" s="115" t="str">
        <x:v>de_k9_st13_parabel_sprache_wirkung</x:v>
      </x:c>
      <x:c r="H401" s="176" t="e">
        <x:f>HYPERLINK("schueler/de_k9_st13_parabel_sprache_wirkung_app.html","Lernmodul öffnen")</x:f>
      </x:c>
      <x:c r="I401" s="177" t="e">
        <x:f>HYPERLINK("lehrer/de_k9_st13_parabel_sprache_wirkung_orga.html","Vorbereitung öffnen")</x:f>
      </x:c>
    </x:row>
    <x:row r="402" ht="65" customHeight="1">
      <x:c r="A402" s="142" t="n">
        <x:v>9</x:v>
      </x:c>
      <x:c r="B402" s="115" t="str">
        <x:v>Schreiben</x:v>
      </x:c>
      <x:c r="C402" s="148" t="n">
        <x:v>14</x:v>
      </x:c>
      <x:c r="D402" s="115" t="str">
        <x:v>Kurzgeschichte und Parabel: eine Deutung oder Perspektive vorbereiten</x:v>
      </x:c>
      <x:c r="E402" s="115" t="str">
        <x:v>Eine zentrale Aussage mit Satzstartern formulieren; Beleg und Erklärung in einem Schreibrahmen verbinden. HSA-orientiert: überschaubare Materialien, klarer Schreibrahmen, gesicherte Grundoperatoren und lebensweltlicher Bezug.</x:v>
      </x:c>
      <x:c r="F402" s="115" t="str">
        <x:v>Eine schlüssige Deutungshypothese entwickeln; mehrere Belege auswählen, ordnen und gegeneinander abwägen. RSA-orientiert: umfangreichere Materialien, selbstständige Auswahl, differenzierte Textbelege und komplexere Schreibaufträge.</x:v>
      </x:c>
      <x:c r="G402" s="115" t="str">
        <x:v>de_k9_st14_parabel_deutung_planen</x:v>
      </x:c>
      <x:c r="H402" s="176" t="e">
        <x:f>HYPERLINK("schueler/de_k9_st14_parabel_deutung_planen_app.html","Lernmodul öffnen")</x:f>
      </x:c>
      <x:c r="I402" s="177" t="e">
        <x:f>HYPERLINK("lehrer/de_k9_st14_parabel_deutung_planen_orga.html","Vorbereitung öffnen")</x:f>
      </x:c>
    </x:row>
    <x:row r="403" ht="65" customHeight="1">
      <x:c r="A403" s="142" t="n">
        <x:v>9</x:v>
      </x:c>
      <x:c r="B403" s="115" t="str">
        <x:v>Schreiben</x:v>
      </x:c>
      <x:c r="C403" s="148" t="n">
        <x:v>15</x:v>
      </x:c>
      <x:c r="D403" s="115" t="str">
        <x:v>Kurzgeschichte und Parabel: Interpretationsabschnitt gestalten</x:v>
      </x:c>
      <x:c r="E403" s="115" t="str">
        <x:v>Interpretationsabschnitt nach klaren Vorgaben erstellen; Hilfekarten und Wortbank nutzen. HSA-orientiert: überschaubare Materialien, klarer Schreibrahmen, gesicherte Grundoperatoren und lebensweltlicher Bezug.</x:v>
      </x:c>
      <x:c r="F403" s="115" t="str">
        <x:v>Interpretationsabschnitt eigenständig, textnah und sprachlich variabel gestalten; Wirkung bewusst planen. RSA-orientiert: umfangreichere Materialien, selbstständige Auswahl, differenzierte Textbelege und komplexere Schreibaufträge.</x:v>
      </x:c>
      <x:c r="G403" s="115" t="str">
        <x:v>de_k9_st15_parabel_produkt</x:v>
      </x:c>
      <x:c r="H403" s="176" t="e">
        <x:f>HYPERLINK("schueler/de_k9_st15_parabel_produkt_app.html","Lernmodul öffnen")</x:f>
      </x:c>
      <x:c r="I403" s="177" t="e">
        <x:f>HYPERLINK("lehrer/de_k9_st15_parabel_produkt_orga.html","Vorbereitung öffnen")</x:f>
      </x:c>
    </x:row>
    <x:row r="404" ht="65" customHeight="1">
      <x:c r="A404" s="142" t="n">
        <x:v>9</x:v>
      </x:c>
      <x:c r="B404" s="115" t="str">
        <x:v>Sprechen und Zuhören</x:v>
      </x:c>
      <x:c r="C404" s="148" t="n">
        <x:v>16</x:v>
      </x:c>
      <x:c r="D404" s="115" t="str">
        <x:v>Kurzgeschichte und Parabel: Ergebnisse präsentieren und reflektieren</x:v>
      </x:c>
      <x:c r="E404" s="115" t="str">
        <x:v>Ergebnis kurz vorstellen; zwei vereinbarte Kriterien für Rückmeldung anwenden. HSA-orientiert: überschaubare Materialien, klarer Schreibrahmen, gesicherte Grundoperatoren und lebensweltlicher Bezug.</x:v>
      </x:c>
      <x:c r="F404" s="115" t="str">
        <x:v>Ergebnis adressatenbezogen präsentieren; Rückmeldungen begründen und die eigene Deutung oder Gestaltung überarbeiten. RSA-orientiert: umfangreichere Materialien, selbstständige Auswahl, differenzierte Textbelege und komplexere Schreibaufträge.</x:v>
      </x:c>
      <x:c r="G404" s="115" t="str">
        <x:v>de_k9_st16_parabel_praesentieren</x:v>
      </x:c>
      <x:c r="H404" s="176" t="e">
        <x:f>HYPERLINK("schueler/de_k9_st16_parabel_praesentieren_app.html","Lernmodul öffnen")</x:f>
      </x:c>
      <x:c r="I404" s="177" t="e">
        <x:f>HYPERLINK("lehrer/de_k9_st16_parabel_praesentieren_orga.html","Vorbereitung öffnen")</x:f>
      </x:c>
    </x:row>
    <x:row r="405" ht="65" customHeight="1">
      <x:c r="A405" s="142" t="n">
        <x:v>9</x:v>
      </x:c>
      <x:c r="B405" s="115" t="str">
        <x:v>Sprechen und Zuhören</x:v>
      </x:c>
      <x:c r="C405" s="148" t="n">
        <x:v>17</x:v>
      </x:c>
      <x:c r="D405" s="115" t="str">
        <x:v>Drama: Konflikt auf der Bühne: Hör- oder Leseeinstieg gestalten</x:v>
      </x:c>
      <x:c r="E405" s="115" t="str">
        <x:v>Einstieg über Bild, Hörtext oder kurzen Auszug; Vorwissen zu klassisches oder modernes Drama sammeln und zentrale Wörter klären. HSA-orientiert: überschaubare Materialien, klarer Schreibrahmen, gesicherte Grundoperatoren und lebensweltlicher Bezug.</x:v>
      </x:c>
      <x:c r="F405" s="115" t="str">
        <x:v>Aus Titel, Kontext und Gestaltung Erwartungen an klassisches oder modernes Drama ableiten; erste Hypothesen formulieren und begründen. RSA-orientiert: umfangreichere Materialien, selbstständige Auswahl, differenzierte Textbelege und komplexere Schreibaufträge.</x:v>
      </x:c>
      <x:c r="G405" s="115" t="str">
        <x:v>de_k9_st17_drama_einstieg</x:v>
      </x:c>
      <x:c r="H405" s="176" t="e">
        <x:f>HYPERLINK("schueler/de_k9_st17_drama_einstieg_app.html","Lernmodul öffnen")</x:f>
      </x:c>
      <x:c r="I405" s="177" t="e">
        <x:f>HYPERLINK("lehrer/de_k9_st17_drama_einstieg_orga.html","Vorbereitung öffnen")</x:f>
      </x:c>
    </x:row>
    <x:row r="406" ht="65" customHeight="1">
      <x:c r="A406" s="142" t="n">
        <x:v>9</x:v>
      </x:c>
      <x:c r="B406" s="115" t="str">
        <x:v>Lesen/Umgang mit Texten</x:v>
      </x:c>
      <x:c r="C406" s="148" t="n">
        <x:v>18</x:v>
      </x:c>
      <x:c r="D406" s="115" t="str">
        <x:v>Drama: Konflikt auf der Bühne: den Text mit Lesestrategien erschließen</x:v>
      </x:c>
      <x:c r="E406" s="115" t="str">
        <x:v>Text abschnittsweise lesen; Schlüsselwörter markieren und den Inhalt mit Leitfragen sichern. HSA-orientiert: überschaubare Materialien, klarer Schreibrahmen, gesicherte Grundoperatoren und lebensweltlicher Bezug.</x:v>
      </x:c>
      <x:c r="F406" s="115" t="str">
        <x:v>Lesetechnik passend zum Ziel wählen; Sinnabschnitte, Schlüsselstellen und offene Fragen selbstständig festhalten. RSA-orientiert: umfangreichere Materialien, selbstständige Auswahl, differenzierte Textbelege und komplexere Schreibaufträge.</x:v>
      </x:c>
      <x:c r="G406" s="115" t="str">
        <x:v>de_k9_st18_drama_erschliessen</x:v>
      </x:c>
      <x:c r="H406" s="176" t="e">
        <x:f>HYPERLINK("schueler/de_k9_st18_drama_erschliessen_app.html","Lernmodul öffnen")</x:f>
      </x:c>
      <x:c r="I406" s="177" t="e">
        <x:f>HYPERLINK("lehrer/de_k9_st18_drama_erschliessen_orga.html","Vorbereitung öffnen")</x:f>
      </x:c>
    </x:row>
    <x:row r="407" ht="65" customHeight="1">
      <x:c r="A407" s="142" t="n">
        <x:v>9</x:v>
      </x:c>
      <x:c r="B407" s="115" t="str">
        <x:v>Lesen/Umgang mit Texten</x:v>
      </x:c>
      <x:c r="C407" s="148" t="n">
        <x:v>19</x:v>
      </x:c>
      <x:c r="D407" s="115" t="str">
        <x:v>Drama: Konflikt auf der Bühne: Gattungsmerkmale erkennen</x:v>
      </x:c>
      <x:c r="E407" s="115" t="str">
        <x:v>Merkmale wie Szene, Akt, Figuren, Konflikt, Regieanweisung mithilfe einer Checkliste zuordnen und an Textstellen zeigen. HSA-orientiert: überschaubare Materialien, klarer Schreibrahmen, gesicherte Grundoperatoren und lebensweltlicher Bezug.</x:v>
      </x:c>
      <x:c r="F407" s="115" t="str">
        <x:v>Merkmale wie Szene, Akt, Figuren, Konflikt, Regieanweisung textnah belegen und ihre Funktion für Aufbau und Wirkung erklären. RSA-orientiert: umfangreichere Materialien, selbstständige Auswahl, differenzierte Textbelege und komplexere Schreibaufträge.</x:v>
      </x:c>
      <x:c r="G407" s="115" t="str">
        <x:v>de_k9_st19_drama_merkmale</x:v>
      </x:c>
      <x:c r="H407" s="176" t="e">
        <x:f>HYPERLINK("schueler/de_k9_st19_drama_merkmale_app.html","Lernmodul öffnen")</x:f>
      </x:c>
      <x:c r="I407" s="177" t="e">
        <x:f>HYPERLINK("lehrer/de_k9_st19_drama_merkmale_orga.html","Vorbereitung öffnen")</x:f>
      </x:c>
    </x:row>
    <x:row r="408" ht="65" customHeight="1">
      <x:c r="A408" s="142" t="n">
        <x:v>9</x:v>
      </x:c>
      <x:c r="B408" s="115" t="str">
        <x:v>Lesen/Umgang mit Texten</x:v>
      </x:c>
      <x:c r="C408" s="148" t="n">
        <x:v>20</x:v>
      </x:c>
      <x:c r="D408" s="115" t="str">
        <x:v>Drama: Konflikt auf der Bühne: Figuren, Handlung und Konflikt untersuchen</x:v>
      </x:c>
      <x:c r="E408" s="115" t="str">
        <x:v>Dramenaufbau, Figurenkonstellation und historische Bezüge mit Figurenkarten oder Handlungsstreifen ordnen; einfache Belege auswählen. HSA-orientiert: überschaubare Materialien, klarer Schreibrahmen, gesicherte Grundoperatoren und lebensweltlicher Bezug.</x:v>
      </x:c>
      <x:c r="F408" s="115" t="str">
        <x:v>Dramenaufbau, Figurenkonstellation und historische Bezüge in ihrem Zusammenhang untersuchen; Schlussfolgerungen mit passenden Textbelegen absichern. RSA-orientiert: umfangreichere Materialien, selbstständige Auswahl, differenzierte Textbelege und komplexere Schreibaufträge.</x:v>
      </x:c>
      <x:c r="G408" s="115" t="str">
        <x:v>de_k9_st20_drama_figuren_handlung</x:v>
      </x:c>
      <x:c r="H408" s="176" t="e">
        <x:f>HYPERLINK("schueler/de_k9_st20_drama_figuren_handlung_app.html","Lernmodul öffnen")</x:f>
      </x:c>
      <x:c r="I408" s="177" t="e">
        <x:f>HYPERLINK("lehrer/de_k9_st20_drama_figuren_handlung_orga.html","Vorbereitung öffnen")</x:f>
      </x:c>
    </x:row>
    <x:row r="409" ht="65" customHeight="1">
      <x:c r="A409" s="142" t="n">
        <x:v>9</x:v>
      </x:c>
      <x:c r="B409" s="115" t="str">
        <x:v>Sprache untersuchen</x:v>
      </x:c>
      <x:c r="C409" s="148" t="n">
        <x:v>21</x:v>
      </x:c>
      <x:c r="D409" s="115" t="str">
        <x:v>Drama: Konflikt auf der Bühne: Sprache und Wirkung untersuchen</x:v>
      </x:c>
      <x:c r="E409" s="115" t="str">
        <x:v>Beispiele für Dialoganalyse, Gesprächsstrategien, rhetorische Mittel markieren und ihre Wirkung mit vorgegebenen Begriffen beschreiben. HSA-orientiert: überschaubare Materialien, klarer Schreibrahmen, gesicherte Grundoperatoren und lebensweltlicher Bezug.</x:v>
      </x:c>
      <x:c r="F409" s="115" t="str">
        <x:v>Dialoganalyse, Gesprächsstrategien, rhetorische Mittel fachsprachlich analysieren und auf Figurenzeichnung, Stimmung oder Aussage beziehen. RSA-orientiert: umfangreichere Materialien, selbstständige Auswahl, differenzierte Textbelege und komplexere Schreibaufträge.</x:v>
      </x:c>
      <x:c r="G409" s="115" t="str">
        <x:v>de_k9_st21_drama_sprache_wirkung</x:v>
      </x:c>
      <x:c r="H409" s="176" t="e">
        <x:f>HYPERLINK("schueler/de_k9_st21_drama_sprache_wirkung_app.html","Lernmodul öffnen")</x:f>
      </x:c>
      <x:c r="I409" s="177" t="e">
        <x:f>HYPERLINK("lehrer/de_k9_st21_drama_sprache_wirkung_orga.html","Vorbereitung öffnen")</x:f>
      </x:c>
    </x:row>
    <x:row r="410" ht="65" customHeight="1">
      <x:c r="A410" s="142" t="n">
        <x:v>9</x:v>
      </x:c>
      <x:c r="B410" s="115" t="str">
        <x:v>Schreiben</x:v>
      </x:c>
      <x:c r="C410" s="148" t="n">
        <x:v>22</x:v>
      </x:c>
      <x:c r="D410" s="115" t="str">
        <x:v>Drama: Konflikt auf der Bühne: eine Deutung oder Perspektive vorbereiten</x:v>
      </x:c>
      <x:c r="E410" s="115" t="str">
        <x:v>Eine zentrale Aussage mit Satzstartern formulieren; Beleg und Erklärung in einem Schreibrahmen verbinden. HSA-orientiert: überschaubare Materialien, klarer Schreibrahmen, gesicherte Grundoperatoren und lebensweltlicher Bezug.</x:v>
      </x:c>
      <x:c r="F410" s="115" t="str">
        <x:v>Eine schlüssige Deutungshypothese entwickeln; mehrere Belege auswählen, ordnen und gegeneinander abwägen. RSA-orientiert: umfangreichere Materialien, selbstständige Auswahl, differenzierte Textbelege und komplexere Schreibaufträge.</x:v>
      </x:c>
      <x:c r="G410" s="115" t="str">
        <x:v>de_k9_st22_drama_deutung_planen</x:v>
      </x:c>
      <x:c r="H410" s="176" t="e">
        <x:f>HYPERLINK("schueler/de_k9_st22_drama_deutung_planen_app.html","Lernmodul öffnen")</x:f>
      </x:c>
      <x:c r="I410" s="177" t="e">
        <x:f>HYPERLINK("lehrer/de_k9_st22_drama_deutung_planen_orga.html","Vorbereitung öffnen")</x:f>
      </x:c>
    </x:row>
    <x:row r="411" ht="65" customHeight="1">
      <x:c r="A411" s="142" t="n">
        <x:v>9</x:v>
      </x:c>
      <x:c r="B411" s="115" t="str">
        <x:v>Schreiben</x:v>
      </x:c>
      <x:c r="C411" s="148" t="n">
        <x:v>23</x:v>
      </x:c>
      <x:c r="D411" s="115" t="str">
        <x:v>Drama: Konflikt auf der Bühne: Szenenanalyse gestalten</x:v>
      </x:c>
      <x:c r="E411" s="115" t="str">
        <x:v>Szenenanalyse nach klaren Vorgaben erstellen; Hilfekarten und Wortbank nutzen. HSA-orientiert: überschaubare Materialien, klarer Schreibrahmen, gesicherte Grundoperatoren und lebensweltlicher Bezug.</x:v>
      </x:c>
      <x:c r="F411" s="115" t="str">
        <x:v>Szenenanalyse eigenständig, textnah und sprachlich variabel gestalten; Wirkung bewusst planen. RSA-orientiert: umfangreichere Materialien, selbstständige Auswahl, differenzierte Textbelege und komplexere Schreibaufträge.</x:v>
      </x:c>
      <x:c r="G411" s="115" t="str">
        <x:v>de_k9_st23_drama_produkt</x:v>
      </x:c>
      <x:c r="H411" s="176" t="e">
        <x:f>HYPERLINK("schueler/de_k9_st23_drama_produkt_app.html","Lernmodul öffnen")</x:f>
      </x:c>
      <x:c r="I411" s="177" t="e">
        <x:f>HYPERLINK("lehrer/de_k9_st23_drama_produkt_orga.html","Vorbereitung öffnen")</x:f>
      </x:c>
    </x:row>
    <x:row r="412" ht="65" customHeight="1">
      <x:c r="A412" s="142" t="n">
        <x:v>9</x:v>
      </x:c>
      <x:c r="B412" s="115" t="str">
        <x:v>Sprechen und Zuhören</x:v>
      </x:c>
      <x:c r="C412" s="148" t="n">
        <x:v>24</x:v>
      </x:c>
      <x:c r="D412" s="115" t="str">
        <x:v>Drama: Konflikt auf der Bühne: Ergebnisse präsentieren und reflektieren</x:v>
      </x:c>
      <x:c r="E412" s="115" t="str">
        <x:v>Ergebnis kurz vorstellen; zwei vereinbarte Kriterien für Rückmeldung anwenden. HSA-orientiert: überschaubare Materialien, klarer Schreibrahmen, gesicherte Grundoperatoren und lebensweltlicher Bezug.</x:v>
      </x:c>
      <x:c r="F412" s="115" t="str">
        <x:v>Ergebnis adressatenbezogen präsentieren; Rückmeldungen begründen und die eigene Deutung oder Gestaltung überarbeiten. RSA-orientiert: umfangreichere Materialien, selbstständige Auswahl, differenzierte Textbelege und komplexere Schreibaufträge.</x:v>
      </x:c>
      <x:c r="G412" s="115" t="str">
        <x:v>de_k9_st24_drama_praesentieren</x:v>
      </x:c>
      <x:c r="H412" s="176" t="e">
        <x:f>HYPERLINK("schueler/de_k9_st24_drama_praesentieren_app.html","Lernmodul öffnen")</x:f>
      </x:c>
      <x:c r="I412" s="177" t="e">
        <x:f>HYPERLINK("lehrer/de_k9_st24_drama_praesentieren_orga.html","Vorbereitung öffnen")</x:f>
      </x:c>
    </x:row>
    <x:row r="413" ht="65" customHeight="1">
      <x:c r="A413" s="142" t="n">
        <x:v>9</x:v>
      </x:c>
      <x:c r="B413" s="115" t="str">
        <x:v>Lesen/Umgang mit Texten</x:v>
      </x:c>
      <x:c r="C413" s="148" t="n">
        <x:v>25</x:v>
      </x:c>
      <x:c r="D413" s="115" t="str">
        <x:v>Inhaltsangabe und Charakteristik verbinden: Beispieltexte untersuchen</x:v>
      </x:c>
      <x:c r="E413" s="115" t="str">
        <x:v>Ein Beispiel für textbezogene Darstellung lesen; Aufbau und typische Formulierungen farbig kennzeichnen. HSA-orientiert: überschaubare Materialien, klarer Schreibrahmen, gesicherte Grundoperatoren und lebensweltlicher Bezug.</x:v>
      </x:c>
      <x:c r="F413" s="115" t="str">
        <x:v>Mehrere Beispiele für textbezogene Darstellung vergleichen; Funktion, Adressat und Qualitätsunterschiede herausarbeiten. RSA-orientiert: umfangreichere Materialien, selbstständige Auswahl, differenzierte Textbelege und komplexere Schreibaufträge.</x:v>
      </x:c>
      <x:c r="G413" s="115" t="str">
        <x:v>de_k9_st25_charakteristik_beispiel</x:v>
      </x:c>
      <x:c r="H413" s="176" t="e">
        <x:f>HYPERLINK("schueler/de_k9_st25_charakteristik_beispiel_app.html","Lernmodul öffnen")</x:f>
      </x:c>
      <x:c r="I413" s="177" t="e">
        <x:f>HYPERLINK("lehrer/de_k9_st25_charakteristik_beispiel_orga.html","Vorbereitung öffnen")</x:f>
      </x:c>
    </x:row>
    <x:row r="414" ht="65" customHeight="1">
      <x:c r="A414" s="142" t="n">
        <x:v>9</x:v>
      </x:c>
      <x:c r="B414" s="115" t="str">
        <x:v>Schreiben</x:v>
      </x:c>
      <x:c r="C414" s="148" t="n">
        <x:v>26</x:v>
      </x:c>
      <x:c r="D414" s="115" t="str">
        <x:v>Inhaltsangabe und Charakteristik verbinden: Schreibziel und Kriterien klären</x:v>
      </x:c>
      <x:c r="E414" s="115" t="str">
        <x:v>Schreibziel „Inhalt und Figur geordnet und textnah darstellen“ verstehen; eine kurze Kriterienliste auf ein Beispiel anwenden. HSA-orientiert: überschaubare Materialien, klarer Schreibrahmen, gesicherte Grundoperatoren und lebensweltlicher Bezug.</x:v>
      </x:c>
      <x:c r="F414" s="115" t="str">
        <x:v>Schreibziel „Inhalt und Figur geordnet und textnah darstellen“ präzisieren; Kriterien gewichten und auf unterschiedliche Schreibsituationen übertragen. RSA-orientiert: umfangreichere Materialien, selbstständige Auswahl, differenzierte Textbelege und komplexere Schreibaufträge.</x:v>
      </x:c>
      <x:c r="G414" s="115" t="str">
        <x:v>de_k9_st26_charakteristik_kriterien</x:v>
      </x:c>
      <x:c r="H414" s="176" t="e">
        <x:f>HYPERLINK("schueler/de_k9_st26_charakteristik_kriterien_app.html","Lernmodul öffnen")</x:f>
      </x:c>
      <x:c r="I414" s="177" t="e">
        <x:f>HYPERLINK("lehrer/de_k9_st26_charakteristik_kriterien_orga.html","Vorbereitung öffnen")</x:f>
      </x:c>
    </x:row>
    <x:row r="415" ht="65" customHeight="1">
      <x:c r="A415" s="142" t="n">
        <x:v>9</x:v>
      </x:c>
      <x:c r="B415" s="115" t="str">
        <x:v>Lesen/Umgang mit Texten</x:v>
      </x:c>
      <x:c r="C415" s="148" t="n">
        <x:v>27</x:v>
      </x:c>
      <x:c r="D415" s="115" t="str">
        <x:v>Inhaltsangabe und Charakteristik verbinden: Inhalte auswählen und ordnen</x:v>
      </x:c>
      <x:c r="E415" s="115" t="str">
        <x:v>Auswahl, Beleg, Deutung und Zusammenhang mit Leitfragen sammeln und in einer vorgegebenen Reihenfolge ordnen. HSA-orientiert: überschaubare Materialien, klarer Schreibrahmen, gesicherte Grundoperatoren und lebensweltlicher Bezug.</x:v>
      </x:c>
      <x:c r="F415" s="115" t="str">
        <x:v>Auswahl, Beleg, Deutung und Zusammenhang selbstständig auswählen, gewichten und in einer passenden Gliederung strukturieren. RSA-orientiert: umfangreichere Materialien, selbstständige Auswahl, differenzierte Textbelege und komplexere Schreibaufträge.</x:v>
      </x:c>
      <x:c r="G415" s="115" t="str">
        <x:v>de_k9_st27_charakteristik_inhalte_ordnen</x:v>
      </x:c>
      <x:c r="H415" s="176" t="e">
        <x:f>HYPERLINK("schueler/de_k9_st27_charakteristik_inhalte_ordnen_app.html","Lernmodul öffnen")</x:f>
      </x:c>
      <x:c r="I415" s="177" t="e">
        <x:f>HYPERLINK("lehrer/de_k9_st27_charakteristik_inhalte_ordnen_orga.html","Vorbereitung öffnen")</x:f>
      </x:c>
    </x:row>
    <x:row r="416" ht="65" customHeight="1">
      <x:c r="A416" s="142" t="n">
        <x:v>9</x:v>
      </x:c>
      <x:c r="B416" s="115" t="str">
        <x:v>Sprache untersuchen</x:v>
      </x:c>
      <x:c r="C416" s="148" t="n">
        <x:v>28</x:v>
      </x:c>
      <x:c r="D416" s="115" t="str">
        <x:v>Inhaltsangabe und Charakteristik verbinden: passende sprachliche Mittel verwenden</x:v>
      </x:c>
      <x:c r="E416" s="115" t="str">
        <x:v>Präsens, indirekte Rede, Zitiertechnik in Übungen erkennen und nach Satzmustern anwenden. HSA-orientiert: überschaubare Materialien, klarer Schreibrahmen, gesicherte Grundoperatoren und lebensweltlicher Bezug.</x:v>
      </x:c>
      <x:c r="F416" s="115" t="str">
        <x:v>Präsens, indirekte Rede, Zitiertechnik hinsichtlich Wirkung und Angemessenheit prüfen und gezielt variieren. RSA-orientiert: umfangreichere Materialien, selbstständige Auswahl, differenzierte Textbelege und komplexere Schreibaufträge.</x:v>
      </x:c>
      <x:c r="G416" s="115" t="str">
        <x:v>de_k9_st28_charakteristik_sprachmittel</x:v>
      </x:c>
      <x:c r="H416" s="176" t="e">
        <x:f>HYPERLINK("schueler/de_k9_st28_charakteristik_sprachmittel_app.html","Lernmodul öffnen")</x:f>
      </x:c>
      <x:c r="I416" s="177" t="e">
        <x:f>HYPERLINK("lehrer/de_k9_st28_charakteristik_sprachmittel_orga.html","Vorbereitung öffnen")</x:f>
      </x:c>
    </x:row>
    <x:row r="417" ht="65" customHeight="1">
      <x:c r="A417" s="142" t="n">
        <x:v>9</x:v>
      </x:c>
      <x:c r="B417" s="115" t="str">
        <x:v>Schreiben</x:v>
      </x:c>
      <x:c r="C417" s="148" t="n">
        <x:v>29</x:v>
      </x:c>
      <x:c r="D417" s="115" t="str">
        <x:v>Inhaltsangabe und Charakteristik verbinden: einen Schreibplan erstellen</x:v>
      </x:c>
      <x:c r="E417" s="115" t="str">
        <x:v>Einen vorstrukturierten Schreibplan ausfüllen; Einleitung, Hauptteil und Schluss festlegen. HSA-orientiert: überschaubare Materialien, klarer Schreibrahmen, gesicherte Grundoperatoren und lebensweltlicher Bezug.</x:v>
      </x:c>
      <x:c r="F417" s="115" t="str">
        <x:v>Einen eigenen Schreibplan mit Teilzielen, Belegen und sprachlichen Mitteln entwickeln. RSA-orientiert: umfangreichere Materialien, selbstständige Auswahl, differenzierte Textbelege und komplexere Schreibaufträge.</x:v>
      </x:c>
      <x:c r="G417" s="115" t="str">
        <x:v>de_k9_st29_charakteristik_schreibplan</x:v>
      </x:c>
      <x:c r="H417" s="176" t="e">
        <x:f>HYPERLINK("schueler/de_k9_st29_charakteristik_schreibplan_app.html","Lernmodul öffnen")</x:f>
      </x:c>
      <x:c r="I417" s="177" t="e">
        <x:f>HYPERLINK("lehrer/de_k9_st29_charakteristik_schreibplan_orga.html","Vorbereitung öffnen")</x:f>
      </x:c>
    </x:row>
    <x:row r="418" ht="65" customHeight="1">
      <x:c r="A418" s="142" t="n">
        <x:v>9</x:v>
      </x:c>
      <x:c r="B418" s="115" t="str">
        <x:v>Schreiben</x:v>
      </x:c>
      <x:c r="C418" s="148" t="n">
        <x:v>30</x:v>
      </x:c>
      <x:c r="D418" s="115" t="str">
        <x:v>Inhaltsangabe und Charakteristik verbinden: einen ersten Textentwurf verfassen</x:v>
      </x:c>
      <x:c r="E418" s="115" t="str">
        <x:v>Kombinierte textaufgabe mithilfe von Schreibrahmen, Satzanfängen und Wortbank verfassen. HSA-orientiert: überschaubare Materialien, klarer Schreibrahmen, gesicherte Grundoperatoren und lebensweltlicher Bezug.</x:v>
      </x:c>
      <x:c r="F418" s="115" t="str">
        <x:v>Kombinierte textaufgabe selbstständig, adressatenbezogen und sprachlich differenziert verfassen. RSA-orientiert: umfangreichere Materialien, selbstständige Auswahl, differenzierte Textbelege und komplexere Schreibaufträge.</x:v>
      </x:c>
      <x:c r="G418" s="115" t="str">
        <x:v>de_k9_st30_charakteristik_entwurf</x:v>
      </x:c>
      <x:c r="H418" s="176" t="e">
        <x:f>HYPERLINK("schueler/de_k9_st30_charakteristik_entwurf_app.html","Lernmodul öffnen")</x:f>
      </x:c>
      <x:c r="I418" s="177" t="e">
        <x:f>HYPERLINK("lehrer/de_k9_st30_charakteristik_entwurf_orga.html","Vorbereitung öffnen")</x:f>
      </x:c>
    </x:row>
    <x:row r="419" ht="65" customHeight="1">
      <x:c r="A419" s="142" t="n">
        <x:v>9</x:v>
      </x:c>
      <x:c r="B419" s="115" t="str">
        <x:v>Schreiben</x:v>
      </x:c>
      <x:c r="C419" s="148" t="n">
        <x:v>31</x:v>
      </x:c>
      <x:c r="D419" s="115" t="str">
        <x:v>Inhaltsangabe und Charakteristik verbinden: Text kriteriengeleitet überarbeiten</x:v>
      </x:c>
      <x:c r="E419" s="115" t="str">
        <x:v>Text mit einer kurzen Prüfliste überarbeiten; einen inhaltlichen und einen sprachlichen Fehler verbessern. HSA-orientiert: überschaubare Materialien, klarer Schreibrahmen, gesicherte Grundoperatoren und lebensweltlicher Bezug.</x:v>
      </x:c>
      <x:c r="F419" s="115" t="str">
        <x:v>Text in mehreren Überarbeitungsschritten prüfen; Aufbau, Kohärenz, Stil und Normrichtigkeit gezielt optimieren. RSA-orientiert: umfangreichere Materialien, selbstständige Auswahl, differenzierte Textbelege und komplexere Schreibaufträge.</x:v>
      </x:c>
      <x:c r="G419" s="115" t="str">
        <x:v>de_k9_st31_charakteristik_ueberarbeiten</x:v>
      </x:c>
      <x:c r="H419" s="176" t="e">
        <x:f>HYPERLINK("schueler/de_k9_st31_charakteristik_ueberarbeiten_app.html","Lernmodul öffnen")</x:f>
      </x:c>
      <x:c r="I419" s="177" t="e">
        <x:f>HYPERLINK("lehrer/de_k9_st31_charakteristik_ueberarbeiten_orga.html","Vorbereitung öffnen")</x:f>
      </x:c>
    </x:row>
    <x:row r="420" ht="65" customHeight="1">
      <x:c r="A420" s="142" t="n">
        <x:v>9</x:v>
      </x:c>
      <x:c r="B420" s="115" t="str">
        <x:v>Sprechen und Zuhören</x:v>
      </x:c>
      <x:c r="C420" s="148" t="n">
        <x:v>32</x:v>
      </x:c>
      <x:c r="D420" s="115" t="str">
        <x:v>Inhaltsangabe und Charakteristik verbinden: Texte vorstellen und bewerten</x:v>
      </x:c>
      <x:c r="E420" s="115" t="str">
        <x:v>Ausgewählte Passage vorlesen oder erläutern; Rückmeldung mit einfachen Satzmustern geben. HSA-orientiert: überschaubare Materialien, klarer Schreibrahmen, gesicherte Grundoperatoren und lebensweltlicher Bezug.</x:v>
      </x:c>
      <x:c r="F420" s="115" t="str">
        <x:v>Textwirkung und Schreibentscheidungen erläutern; differenziertes Peer-Feedback geben und begründet annehmen. RSA-orientiert: umfangreichere Materialien, selbstständige Auswahl, differenzierte Textbelege und komplexere Schreibaufträge.</x:v>
      </x:c>
      <x:c r="G420" s="115" t="str">
        <x:v>de_k9_st32_charakteristik_vorstellen</x:v>
      </x:c>
      <x:c r="H420" s="176" t="e">
        <x:f>HYPERLINK("schueler/de_k9_st32_charakteristik_vorstellen_app.html","Lernmodul öffnen")</x:f>
      </x:c>
      <x:c r="I420" s="177" t="e">
        <x:f>HYPERLINK("lehrer/de_k9_st32_charakteristik_vorstellen_orga.html","Vorbereitung öffnen")</x:f>
      </x:c>
    </x:row>
    <x:row r="421" ht="65" customHeight="1">
      <x:c r="A421" s="142" t="n">
        <x:v>9</x:v>
      </x:c>
      <x:c r="B421" s="115" t="str">
        <x:v>Lesen/Umgang mit Texten</x:v>
      </x:c>
      <x:c r="C421" s="148" t="n">
        <x:v>33</x:v>
      </x:c>
      <x:c r="D421" s="115" t="str">
        <x:v>Argumentieren und erörtern: Beispieltexte untersuchen</x:v>
      </x:c>
      <x:c r="E421" s="115" t="str">
        <x:v>Ein Beispiel für lineare oder textgebundene Erörterung lesen; Aufbau und typische Formulierungen farbig kennzeichnen. HSA-orientiert: überschaubare Materialien, klarer Schreibrahmen, gesicherte Grundoperatoren und lebensweltlicher Bezug.</x:v>
      </x:c>
      <x:c r="F421" s="115" t="str">
        <x:v>Mehrere Beispiele für lineare oder textgebundene Erörterung vergleichen; Funktion, Adressat und Qualitätsunterschiede herausarbeiten. RSA-orientiert: umfangreichere Materialien, selbstständige Auswahl, differenzierte Textbelege und komplexere Schreibaufträge.</x:v>
      </x:c>
      <x:c r="G421" s="115" t="str">
        <x:v>de_k9_st33_eroerterung_beispiel</x:v>
      </x:c>
      <x:c r="H421" s="176" t="e">
        <x:f>HYPERLINK("schueler/de_k9_st33_eroerterung_beispiel_app.html","Lernmodul öffnen")</x:f>
      </x:c>
      <x:c r="I421" s="177" t="e">
        <x:f>HYPERLINK("lehrer/de_k9_st33_eroerterung_beispiel_orga.html","Vorbereitung öffnen")</x:f>
      </x:c>
    </x:row>
    <x:row r="422" ht="65" customHeight="1">
      <x:c r="A422" s="142" t="n">
        <x:v>9</x:v>
      </x:c>
      <x:c r="B422" s="115" t="str">
        <x:v>Schreiben</x:v>
      </x:c>
      <x:c r="C422" s="148" t="n">
        <x:v>34</x:v>
      </x:c>
      <x:c r="D422" s="115" t="str">
        <x:v>Argumentieren und erörtern: Schreibziel und Kriterien klären</x:v>
      </x:c>
      <x:c r="E422" s="115" t="str">
        <x:v>Schreibziel „eine Streitfrage mit geordneten Argumenten bearbeiten“ verstehen; eine kurze Kriterienliste auf ein Beispiel anwenden. HSA-orientiert: überschaubare Materialien, klarer Schreibrahmen, gesicherte Grundoperatoren und lebensweltlicher Bezug.</x:v>
      </x:c>
      <x:c r="F422" s="115" t="str">
        <x:v>Schreibziel „eine Streitfrage mit geordneten Argumenten bearbeiten“ präzisieren; Kriterien gewichten und auf unterschiedliche Schreibsituationen übertragen. RSA-orientiert: umfangreichere Materialien, selbstständige Auswahl, differenzierte Textbelege und komplexere Schreibaufträge.</x:v>
      </x:c>
      <x:c r="G422" s="115" t="str">
        <x:v>de_k9_st34_eroerterung_kriterien</x:v>
      </x:c>
      <x:c r="H422" s="176" t="e">
        <x:f>HYPERLINK("schueler/de_k9_st34_eroerterung_kriterien_app.html","Lernmodul öffnen")</x:f>
      </x:c>
      <x:c r="I422" s="177" t="e">
        <x:f>HYPERLINK("lehrer/de_k9_st34_eroerterung_kriterien_orga.html","Vorbereitung öffnen")</x:f>
      </x:c>
    </x:row>
    <x:row r="423" ht="65" customHeight="1">
      <x:c r="A423" s="142" t="n">
        <x:v>9</x:v>
      </x:c>
      <x:c r="B423" s="115" t="str">
        <x:v>Lesen/Umgang mit Texten</x:v>
      </x:c>
      <x:c r="C423" s="148" t="n">
        <x:v>35</x:v>
      </x:c>
      <x:c r="D423" s="115" t="str">
        <x:v>Argumentieren und erörtern: Inhalte auswählen und ordnen</x:v>
      </x:c>
      <x:c r="E423" s="115" t="str">
        <x:v>Materialauswertung, Gegenposition und Gewichtung mit Leitfragen sammeln und in einer vorgegebenen Reihenfolge ordnen. HSA-orientiert: überschaubare Materialien, klarer Schreibrahmen, gesicherte Grundoperatoren und lebensweltlicher Bezug.</x:v>
      </x:c>
      <x:c r="F423" s="115" t="str">
        <x:v>Materialauswertung, Gegenposition und Gewichtung selbstständig auswählen, gewichten und in einer passenden Gliederung strukturieren. RSA-orientiert: umfangreichere Materialien, selbstständige Auswahl, differenzierte Textbelege und komplexere Schreibaufträge.</x:v>
      </x:c>
      <x:c r="G423" s="115" t="str">
        <x:v>de_k9_st35_eroerterung_inhalte_ordnen</x:v>
      </x:c>
      <x:c r="H423" s="176" t="e">
        <x:f>HYPERLINK("schueler/de_k9_st35_eroerterung_inhalte_ordnen_app.html","Lernmodul öffnen")</x:f>
      </x:c>
      <x:c r="I423" s="177" t="e">
        <x:f>HYPERLINK("lehrer/de_k9_st35_eroerterung_inhalte_ordnen_orga.html","Vorbereitung öffnen")</x:f>
      </x:c>
    </x:row>
    <x:row r="424" ht="65" customHeight="1">
      <x:c r="A424" s="142" t="n">
        <x:v>9</x:v>
      </x:c>
      <x:c r="B424" s="115" t="str">
        <x:v>Sprache untersuchen</x:v>
      </x:c>
      <x:c r="C424" s="148" t="n">
        <x:v>36</x:v>
      </x:c>
      <x:c r="D424" s="115" t="str">
        <x:v>Argumentieren und erörtern: passende sprachliche Mittel verwenden</x:v>
      </x:c>
      <x:c r="E424" s="115" t="str">
        <x:v>Argumentationsverknüpfungen, sachlicher Stil, Schlussfolgerung in Übungen erkennen und nach Satzmustern anwenden. HSA-orientiert: überschaubare Materialien, klarer Schreibrahmen, gesicherte Grundoperatoren und lebensweltlicher Bezug.</x:v>
      </x:c>
      <x:c r="F424" s="115" t="str">
        <x:v>Argumentationsverknüpfungen, sachlicher Stil, Schlussfolgerung hinsichtlich Wirkung und Angemessenheit prüfen und gezielt variieren. RSA-orientiert: umfangreichere Materialien, selbstständige Auswahl, differenzierte Textbelege und komplexere Schreibaufträge.</x:v>
      </x:c>
      <x:c r="G424" s="115" t="str">
        <x:v>de_k9_st36_eroerterung_sprachmittel</x:v>
      </x:c>
      <x:c r="H424" s="176" t="e">
        <x:f>HYPERLINK("schueler/de_k9_st36_eroerterung_sprachmittel_app.html","Lernmodul öffnen")</x:f>
      </x:c>
      <x:c r="I424" s="177" t="e">
        <x:f>HYPERLINK("lehrer/de_k9_st36_eroerterung_sprachmittel_orga.html","Vorbereitung öffnen")</x:f>
      </x:c>
    </x:row>
    <x:row r="425" ht="65" customHeight="1">
      <x:c r="A425" s="142" t="n">
        <x:v>9</x:v>
      </x:c>
      <x:c r="B425" s="115" t="str">
        <x:v>Schreiben</x:v>
      </x:c>
      <x:c r="C425" s="148" t="n">
        <x:v>37</x:v>
      </x:c>
      <x:c r="D425" s="115" t="str">
        <x:v>Argumentieren und erörtern: einen Schreibplan erstellen</x:v>
      </x:c>
      <x:c r="E425" s="115" t="str">
        <x:v>Einen vorstrukturierten Schreibplan ausfüllen; Einleitung, Hauptteil und Schluss festlegen. HSA-orientiert: überschaubare Materialien, klarer Schreibrahmen, gesicherte Grundoperatoren und lebensweltlicher Bezug.</x:v>
      </x:c>
      <x:c r="F425" s="115" t="str">
        <x:v>Einen eigenen Schreibplan mit Teilzielen, Belegen und sprachlichen Mitteln entwickeln. RSA-orientiert: umfangreichere Materialien, selbstständige Auswahl, differenzierte Textbelege und komplexere Schreibaufträge.</x:v>
      </x:c>
      <x:c r="G425" s="115" t="str">
        <x:v>de_k9_st37_eroerterung_schreibplan</x:v>
      </x:c>
      <x:c r="H425" s="176" t="e">
        <x:f>HYPERLINK("schueler/de_k9_st37_eroerterung_schreibplan_app.html","Lernmodul öffnen")</x:f>
      </x:c>
      <x:c r="I425" s="177" t="e">
        <x:f>HYPERLINK("lehrer/de_k9_st37_eroerterung_schreibplan_orga.html","Vorbereitung öffnen")</x:f>
      </x:c>
    </x:row>
    <x:row r="426" ht="65" customHeight="1">
      <x:c r="A426" s="142" t="n">
        <x:v>9</x:v>
      </x:c>
      <x:c r="B426" s="115" t="str">
        <x:v>Schreiben</x:v>
      </x:c>
      <x:c r="C426" s="148" t="n">
        <x:v>38</x:v>
      </x:c>
      <x:c r="D426" s="115" t="str">
        <x:v>Argumentieren und erörtern: einen ersten Textentwurf verfassen</x:v>
      </x:c>
      <x:c r="E426" s="115" t="str">
        <x:v>Erörterung mithilfe von Schreibrahmen, Satzanfängen und Wortbank verfassen. HSA-orientiert: überschaubare Materialien, klarer Schreibrahmen, gesicherte Grundoperatoren und lebensweltlicher Bezug.</x:v>
      </x:c>
      <x:c r="F426" s="115" t="str">
        <x:v>Erörterung selbstständig, adressatenbezogen und sprachlich differenziert verfassen. RSA-orientiert: umfangreichere Materialien, selbstständige Auswahl, differenzierte Textbelege und komplexere Schreibaufträge.</x:v>
      </x:c>
      <x:c r="G426" s="115" t="str">
        <x:v>de_k9_st38_eroerterung_entwurf</x:v>
      </x:c>
      <x:c r="H426" s="176" t="e">
        <x:f>HYPERLINK("schueler/de_k9_st38_eroerterung_entwurf_app.html","Lernmodul öffnen")</x:f>
      </x:c>
      <x:c r="I426" s="177" t="e">
        <x:f>HYPERLINK("lehrer/de_k9_st38_eroerterung_entwurf_orga.html","Vorbereitung öffnen")</x:f>
      </x:c>
    </x:row>
    <x:row r="427" ht="65" customHeight="1">
      <x:c r="A427" s="142" t="n">
        <x:v>9</x:v>
      </x:c>
      <x:c r="B427" s="115" t="str">
        <x:v>Schreiben</x:v>
      </x:c>
      <x:c r="C427" s="148" t="n">
        <x:v>39</x:v>
      </x:c>
      <x:c r="D427" s="115" t="str">
        <x:v>Argumentieren und erörtern: Text kriteriengeleitet überarbeiten</x:v>
      </x:c>
      <x:c r="E427" s="115" t="str">
        <x:v>Text mit einer kurzen Prüfliste überarbeiten; einen inhaltlichen und einen sprachlichen Fehler verbessern. HSA-orientiert: überschaubare Materialien, klarer Schreibrahmen, gesicherte Grundoperatoren und lebensweltlicher Bezug.</x:v>
      </x:c>
      <x:c r="F427" s="115" t="str">
        <x:v>Text in mehreren Überarbeitungsschritten prüfen; Aufbau, Kohärenz, Stil und Normrichtigkeit gezielt optimieren. RSA-orientiert: umfangreichere Materialien, selbstständige Auswahl, differenzierte Textbelege und komplexere Schreibaufträge.</x:v>
      </x:c>
      <x:c r="G427" s="115" t="str">
        <x:v>de_k9_st39_eroerterung_ueberarbeiten</x:v>
      </x:c>
      <x:c r="H427" s="176" t="e">
        <x:f>HYPERLINK("schueler/de_k9_st39_eroerterung_ueberarbeiten_app.html","Lernmodul öffnen")</x:f>
      </x:c>
      <x:c r="I427" s="177" t="e">
        <x:f>HYPERLINK("lehrer/de_k9_st39_eroerterung_ueberarbeiten_orga.html","Vorbereitung öffnen")</x:f>
      </x:c>
    </x:row>
    <x:row r="428" ht="65" customHeight="1">
      <x:c r="A428" s="142" t="n">
        <x:v>9</x:v>
      </x:c>
      <x:c r="B428" s="115" t="str">
        <x:v>Sprechen und Zuhören</x:v>
      </x:c>
      <x:c r="C428" s="148" t="n">
        <x:v>40</x:v>
      </x:c>
      <x:c r="D428" s="115" t="str">
        <x:v>Argumentieren und erörtern: Texte vorstellen und bewerten</x:v>
      </x:c>
      <x:c r="E428" s="115" t="str">
        <x:v>Ausgewählte Passage vorlesen oder erläutern; Rückmeldung mit einfachen Satzmustern geben. HSA-orientiert: überschaubare Materialien, klarer Schreibrahmen, gesicherte Grundoperatoren und lebensweltlicher Bezug.</x:v>
      </x:c>
      <x:c r="F428" s="115" t="str">
        <x:v>Textwirkung und Schreibentscheidungen erläutern; differenziertes Peer-Feedback geben und begründet annehmen. RSA-orientiert: umfangreichere Materialien, selbstständige Auswahl, differenzierte Textbelege und komplexere Schreibaufträge.</x:v>
      </x:c>
      <x:c r="G428" s="115" t="str">
        <x:v>de_k9_st40_eroerterung_vorstellen</x:v>
      </x:c>
      <x:c r="H428" s="176" t="e">
        <x:f>HYPERLINK("schueler/de_k9_st40_eroerterung_vorstellen_app.html","Lernmodul öffnen")</x:f>
      </x:c>
      <x:c r="I428" s="177" t="e">
        <x:f>HYPERLINK("lehrer/de_k9_st40_eroerterung_vorstellen_orga.html","Vorbereitung öffnen")</x:f>
      </x:c>
    </x:row>
    <x:row r="429" ht="65" customHeight="1">
      <x:c r="A429" s="142" t="n">
        <x:v>9</x:v>
      </x:c>
      <x:c r="B429" s="115" t="str">
        <x:v>Sprechen und Zuhören</x:v>
      </x:c>
      <x:c r="C429" s="148" t="n">
        <x:v>41</x:v>
      </x:c>
      <x:c r="D429" s="115" t="str">
        <x:v>Medienkritik und soziale Netzwerke: Vorwissen und Positionen klären</x:v>
      </x:c>
      <x:c r="E429" s="115" t="str">
        <x:v>Eigene Erfahrungen zu Nachrichten, Plattformen und algorithmische Auswahl benennen; zentrale Begriffe mit Beispielen klären. HSA-orientiert: überschaubare Materialien, klarer Schreibrahmen, gesicherte Grundoperatoren und lebensweltlicher Bezug.</x:v>
      </x:c>
      <x:c r="F429" s="115" t="str">
        <x:v>Vorwissen zu Nachrichten, Plattformen und algorithmische Auswahl strukturieren; erste Positionen formulieren und mögliche Konflikte benennen. RSA-orientiert: umfangreichere Materialien, selbstständige Auswahl, differenzierte Textbelege und komplexere Schreibaufträge.</x:v>
      </x:c>
      <x:c r="G429" s="115" t="str">
        <x:v>de_k9_st41_medienkritik_einstieg</x:v>
      </x:c>
      <x:c r="H429" s="176" t="e">
        <x:f>HYPERLINK("schueler/de_k9_st41_medienkritik_einstieg_app.html","Lernmodul öffnen")</x:f>
      </x:c>
      <x:c r="I429" s="177" t="e">
        <x:f>HYPERLINK("lehrer/de_k9_st41_medienkritik_einstieg_orga.html","Vorbereitung öffnen")</x:f>
      </x:c>
    </x:row>
    <x:row r="430" ht="65" customHeight="1">
      <x:c r="A430" s="142" t="n">
        <x:v>9</x:v>
      </x:c>
      <x:c r="B430" s="115" t="str">
        <x:v>Lesen/Umgang mit Texten</x:v>
      </x:c>
      <x:c r="C430" s="148" t="n">
        <x:v>42</x:v>
      </x:c>
      <x:c r="D430" s="115" t="str">
        <x:v>Medienkritik und soziale Netzwerke: Quellen und Materialien erschließen</x:v>
      </x:c>
      <x:c r="E430" s="115" t="str">
        <x:v>Kurze Materialien lesen oder ansehen; Hauptaussagen mit Leitfragen festhalten. HSA-orientiert: überschaubare Materialien, klarer Schreibrahmen, gesicherte Grundoperatoren und lebensweltlicher Bezug.</x:v>
      </x:c>
      <x:c r="F430" s="115" t="str">
        <x:v>Unterschiedliche Materialien selbstständig erschließen; Aussage, Intention und Kontext bestimmen. RSA-orientiert: umfangreichere Materialien, selbstständige Auswahl, differenzierte Textbelege und komplexere Schreibaufträge.</x:v>
      </x:c>
      <x:c r="G430" s="115" t="str">
        <x:v>de_k9_st42_medienkritik_quellen</x:v>
      </x:c>
      <x:c r="H430" s="176" t="e">
        <x:f>HYPERLINK("schueler/de_k9_st42_medienkritik_quellen_app.html","Lernmodul öffnen")</x:f>
      </x:c>
      <x:c r="I430" s="177" t="e">
        <x:f>HYPERLINK("lehrer/de_k9_st42_medienkritik_quellen_orga.html","Vorbereitung öffnen")</x:f>
      </x:c>
    </x:row>
    <x:row r="431" ht="65" customHeight="1">
      <x:c r="A431" s="142" t="n">
        <x:v>9</x:v>
      </x:c>
      <x:c r="B431" s="115" t="str">
        <x:v>Lesen/Umgang mit Texten</x:v>
      </x:c>
      <x:c r="C431" s="148" t="n">
        <x:v>43</x:v>
      </x:c>
      <x:c r="D431" s="115" t="str">
        <x:v>Medienkritik und soziale Netzwerke: Qualitätskriterien anwenden</x:v>
      </x:c>
      <x:c r="E431" s="115" t="str">
        <x:v>Quelle, Absicht, Beleg, Werbung und Datenschutz in einer Checkliste anwenden und Auffälligkeiten markieren. HSA-orientiert: überschaubare Materialien, klarer Schreibrahmen, gesicherte Grundoperatoren und lebensweltlicher Bezug.</x:v>
      </x:c>
      <x:c r="F431" s="115" t="str">
        <x:v>Quelle, Absicht, Beleg, Werbung und Datenschutz gewichten, auf Grenzfälle anwenden und begründete Qualitätsurteile formulieren. RSA-orientiert: umfangreichere Materialien, selbstständige Auswahl, differenzierte Textbelege und komplexere Schreibaufträge.</x:v>
      </x:c>
      <x:c r="G431" s="115" t="str">
        <x:v>de_k9_st43_medienkritik_kriterien</x:v>
      </x:c>
      <x:c r="H431" s="176" t="e">
        <x:f>HYPERLINK("schueler/de_k9_st43_medienkritik_kriterien_app.html","Lernmodul öffnen")</x:f>
      </x:c>
      <x:c r="I431" s="177" t="e">
        <x:f>HYPERLINK("lehrer/de_k9_st43_medienkritik_kriterien_orga.html","Vorbereitung öffnen")</x:f>
      </x:c>
    </x:row>
    <x:row r="432" ht="65" customHeight="1">
      <x:c r="A432" s="142" t="n">
        <x:v>9</x:v>
      </x:c>
      <x:c r="B432" s="115" t="str">
        <x:v>Lesen/Umgang mit Texten</x:v>
      </x:c>
      <x:c r="C432" s="148" t="n">
        <x:v>44</x:v>
      </x:c>
      <x:c r="D432" s="115" t="str">
        <x:v>Medienkritik und soziale Netzwerke: Darstellungen vergleichen</x:v>
      </x:c>
      <x:c r="E432" s="115" t="str">
        <x:v>Informationsangebot, kommentar und personalisierter feed nach vorgegebenen Merkmalen vergleichen. HSA-orientiert: überschaubare Materialien, klarer Schreibrahmen, gesicherte Grundoperatoren und lebensweltlicher Bezug.</x:v>
      </x:c>
      <x:c r="F432" s="115" t="str">
        <x:v>Informationsangebot, kommentar und personalisierter feed hinsichtlich Informationsauswahl, Gestaltung, Wirkung und Interessen vergleichen. RSA-orientiert: umfangreichere Materialien, selbstständige Auswahl, differenzierte Textbelege und komplexere Schreibaufträge.</x:v>
      </x:c>
      <x:c r="G432" s="115" t="str">
        <x:v>de_k9_st44_medienkritik_vergleichen</x:v>
      </x:c>
      <x:c r="H432" s="176" t="e">
        <x:f>HYPERLINK("schueler/de_k9_st44_medienkritik_vergleichen_app.html","Lernmodul öffnen")</x:f>
      </x:c>
      <x:c r="I432" s="177" t="e">
        <x:f>HYPERLINK("lehrer/de_k9_st44_medienkritik_vergleichen_orga.html","Vorbereitung öffnen")</x:f>
      </x:c>
    </x:row>
    <x:row r="433" ht="65" customHeight="1">
      <x:c r="A433" s="142" t="n">
        <x:v>9</x:v>
      </x:c>
      <x:c r="B433" s="115" t="str">
        <x:v>Schreiben</x:v>
      </x:c>
      <x:c r="C433" s="148" t="n">
        <x:v>45</x:v>
      </x:c>
      <x:c r="D433" s="115" t="str">
        <x:v>Medienkritik und soziale Netzwerke: Informationen prüfen und ordnen</x:v>
      </x:c>
      <x:c r="E433" s="115" t="str">
        <x:v>Informationen aus vorgegebenen Quellen auswählen; Fundstellen notieren und geordnet ablegen. HSA-orientiert: überschaubare Materialien, klarer Schreibrahmen, gesicherte Grundoperatoren und lebensweltlicher Bezug.</x:v>
      </x:c>
      <x:c r="F433" s="115" t="str">
        <x:v>Recherchefrage entwickeln; Quellen prüfen, Informationen abgleichen und korrekt dokumentieren. RSA-orientiert: umfangreichere Materialien, selbstständige Auswahl, differenzierte Textbelege und komplexere Schreibaufträge.</x:v>
      </x:c>
      <x:c r="G433" s="115" t="str">
        <x:v>de_k9_st45_medienkritik_recherche</x:v>
      </x:c>
      <x:c r="H433" s="176" t="e">
        <x:f>HYPERLINK("schueler/de_k9_st45_medienkritik_recherche_app.html","Lernmodul öffnen")</x:f>
      </x:c>
      <x:c r="I433" s="177" t="e">
        <x:f>HYPERLINK("lehrer/de_k9_st45_medienkritik_recherche_orga.html","Vorbereitung öffnen")</x:f>
      </x:c>
    </x:row>
    <x:row r="434" ht="65" customHeight="1">
      <x:c r="A434" s="142" t="n">
        <x:v>9</x:v>
      </x:c>
      <x:c r="B434" s="115" t="str">
        <x:v>Schreiben</x:v>
      </x:c>
      <x:c r="C434" s="148" t="n">
        <x:v>46</x:v>
      </x:c>
      <x:c r="D434" s="115" t="str">
        <x:v>Medienkritik und soziale Netzwerke: Produkt planen</x:v>
      </x:c>
      <x:c r="E434" s="115" t="str">
        <x:v>Für Medienkritik einen vorgegebenen Arbeitsplan ergänzen; Aufgaben verteilen. HSA-orientiert: überschaubare Materialien, klarer Schreibrahmen, gesicherte Grundoperatoren und lebensweltlicher Bezug.</x:v>
      </x:c>
      <x:c r="F434" s="115" t="str">
        <x:v>Für Medienkritik Zielgruppe, Aufbau, Medienwahl, Zeitplan und Qualitätskontrolle selbstständig festlegen. RSA-orientiert: umfangreichere Materialien, selbstständige Auswahl, differenzierte Textbelege und komplexere Schreibaufträge.</x:v>
      </x:c>
      <x:c r="G434" s="115" t="str">
        <x:v>de_k9_st46_medienkritik_planen</x:v>
      </x:c>
      <x:c r="H434" s="176" t="e">
        <x:f>HYPERLINK("schueler/de_k9_st46_medienkritik_planen_app.html","Lernmodul öffnen")</x:f>
      </x:c>
      <x:c r="I434" s="177" t="e">
        <x:f>HYPERLINK("lehrer/de_k9_st46_medienkritik_planen_orga.html","Vorbereitung öffnen")</x:f>
      </x:c>
    </x:row>
    <x:row r="435" ht="65" customHeight="1">
      <x:c r="A435" s="142" t="n">
        <x:v>9</x:v>
      </x:c>
      <x:c r="B435" s="115" t="str">
        <x:v>Schreiben</x:v>
      </x:c>
      <x:c r="C435" s="148" t="n">
        <x:v>47</x:v>
      </x:c>
      <x:c r="D435" s="115" t="str">
        <x:v>Medienkritik und soziale Netzwerke: Produkt erstellen</x:v>
      </x:c>
      <x:c r="E435" s="115" t="str">
        <x:v>Medienkritik mit Vorlage und klaren Teilaufträgen erstellen. HSA-orientiert: überschaubare Materialien, klarer Schreibrahmen, gesicherte Grundoperatoren und lebensweltlicher Bezug.</x:v>
      </x:c>
      <x:c r="F435" s="115" t="str">
        <x:v>Medienkritik selbstständig, adressatengerecht und quellenbewusst erstellen. RSA-orientiert: umfangreichere Materialien, selbstständige Auswahl, differenzierte Textbelege und komplexere Schreibaufträge.</x:v>
      </x:c>
      <x:c r="G435" s="115" t="str">
        <x:v>de_k9_st47_medienkritik_erstellen</x:v>
      </x:c>
      <x:c r="H435" s="176" t="e">
        <x:f>HYPERLINK("schueler/de_k9_st47_medienkritik_erstellen_app.html","Lernmodul öffnen")</x:f>
      </x:c>
      <x:c r="I435" s="177" t="e">
        <x:f>HYPERLINK("lehrer/de_k9_st47_medienkritik_erstellen_orga.html","Vorbereitung öffnen")</x:f>
      </x:c>
    </x:row>
    <x:row r="436" ht="65" customHeight="1">
      <x:c r="A436" s="142" t="n">
        <x:v>9</x:v>
      </x:c>
      <x:c r="B436" s="115" t="str">
        <x:v>Sprechen und Zuhören</x:v>
      </x:c>
      <x:c r="C436" s="148" t="n">
        <x:v>48</x:v>
      </x:c>
      <x:c r="D436" s="115" t="str">
        <x:v>Medienkritik und soziale Netzwerke: präsentieren und reflektieren</x:v>
      </x:c>
      <x:c r="E436" s="115" t="str">
        <x:v>Produkt kurz vorstellen; Rückmeldung anhand weniger Kriterien geben und annehmen. HSA-orientiert: überschaubare Materialien, klarer Schreibrahmen, gesicherte Grundoperatoren und lebensweltlicher Bezug.</x:v>
      </x:c>
      <x:c r="F436" s="115" t="str">
        <x:v>Produkt überzeugend präsentieren; Arbeitsprozess, Quellenwahl und Wirkung kritisch reflektieren. RSA-orientiert: umfangreichere Materialien, selbstständige Auswahl, differenzierte Textbelege und komplexere Schreibaufträge.</x:v>
      </x:c>
      <x:c r="G436" s="115" t="str">
        <x:v>de_k9_st48_medienkritik_reflexion</x:v>
      </x:c>
      <x:c r="H436" s="176" t="e">
        <x:f>HYPERLINK("schueler/de_k9_st48_medienkritik_reflexion_app.html","Lernmodul öffnen")</x:f>
      </x:c>
      <x:c r="I436" s="177" t="e">
        <x:f>HYPERLINK("lehrer/de_k9_st48_medienkritik_reflexion_orga.html","Vorbereitung öffnen")</x:f>
      </x:c>
    </x:row>
    <x:row r="437" ht="65" customHeight="1">
      <x:c r="A437" s="142" t="n">
        <x:v>9</x:v>
      </x:c>
      <x:c r="B437" s="115" t="str">
        <x:v>Sprache untersuchen</x:v>
      </x:c>
      <x:c r="C437" s="148" t="n">
        <x:v>49</x:v>
      </x:c>
      <x:c r="D437" s="115" t="str">
        <x:v>Grammatik, Stil und Zeichensetzung: Lernstand feststellen</x:v>
      </x:c>
      <x:c r="E437" s="115" t="str">
        <x:v>Kurze Diagnose zu Satzbau, Tempus, Modus und Kommasetzung bearbeiten; eigene Unsicherheiten markieren. HSA-orientiert: überschaubare Materialien, klarer Schreibrahmen, gesicherte Grundoperatoren und lebensweltlicher Bezug.</x:v>
      </x:c>
      <x:c r="F437" s="115" t="str">
        <x:v>Diagnose zu Satzbau, Tempus, Modus und Kommasetzung auswerten; Fehlermuster benennen und persönliche Lernziele ableiten. RSA-orientiert: umfangreichere Materialien, selbstständige Auswahl, differenzierte Textbelege und komplexere Schreibaufträge.</x:v>
      </x:c>
      <x:c r="G437" s="115" t="str">
        <x:v>de_k9_st49_sprache_diagnose</x:v>
      </x:c>
      <x:c r="H437" s="176" t="e">
        <x:f>HYPERLINK("schueler/de_k9_st49_sprache_diagnose_app.html","Lernmodul öffnen")</x:f>
      </x:c>
      <x:c r="I437" s="177" t="e">
        <x:f>HYPERLINK("lehrer/de_k9_st49_sprache_diagnose_orga.html","Vorbereitung öffnen")</x:f>
      </x:c>
    </x:row>
    <x:row r="438" ht="65" customHeight="1">
      <x:c r="A438" s="142" t="n">
        <x:v>9</x:v>
      </x:c>
      <x:c r="B438" s="115" t="str">
        <x:v>Sprache untersuchen</x:v>
      </x:c>
      <x:c r="C438" s="148" t="n">
        <x:v>50</x:v>
      </x:c>
      <x:c r="D438" s="115" t="str">
        <x:v>Grammatik, Stil und Zeichensetzung: Grundbegriffe sichern</x:v>
      </x:c>
      <x:c r="E438" s="115" t="str">
        <x:v>Satzgefüge, indirekte Rede, Aktiv und Passiv an einfachen Beispielen erkennen und mit Merkkarten sichern. HSA-orientiert: überschaubare Materialien, klarer Schreibrahmen, gesicherte Grundoperatoren und lebensweltlicher Bezug.</x:v>
      </x:c>
      <x:c r="F438" s="115" t="str">
        <x:v>Satzgefüge, indirekte Rede, Aktiv und Passiv fachsprachlich erklären, voneinander abgrenzen und in komplexeren Beispielen bestimmen. RSA-orientiert: umfangreichere Materialien, selbstständige Auswahl, differenzierte Textbelege und komplexere Schreibaufträge.</x:v>
      </x:c>
      <x:c r="G438" s="115" t="str">
        <x:v>de_k9_st50_sprache_grundbegriffe</x:v>
      </x:c>
      <x:c r="H438" s="176" t="e">
        <x:f>HYPERLINK("schueler/de_k9_st50_sprache_grundbegriffe_app.html","Lernmodul öffnen")</x:f>
      </x:c>
      <x:c r="I438" s="177" t="e">
        <x:f>HYPERLINK("lehrer/de_k9_st50_sprache_grundbegriffe_orga.html","Vorbereitung öffnen")</x:f>
      </x:c>
    </x:row>
    <x:row r="439" ht="65" customHeight="1">
      <x:c r="A439" s="142" t="n">
        <x:v>9</x:v>
      </x:c>
      <x:c r="B439" s="115" t="str">
        <x:v>Sprache untersuchen</x:v>
      </x:c>
      <x:c r="C439" s="148" t="n">
        <x:v>51</x:v>
      </x:c>
      <x:c r="D439" s="115" t="str">
        <x:v>Grammatik, Stil und Zeichensetzung: Verfahren anwenden</x:v>
      </x:c>
      <x:c r="E439" s="115" t="str">
        <x:v>grammatische Analyse und Stilprobe Schritt für Schritt anwenden; Entscheidungen mündlich begründen. HSA-orientiert: überschaubare Materialien, klarer Schreibrahmen, gesicherte Grundoperatoren und lebensweltlicher Bezug.</x:v>
      </x:c>
      <x:c r="F439" s="115" t="str">
        <x:v>grammatische Analyse und Stilprobe selbstständig auswählen, kombinieren und auf Zweifelsfälle übertragen. RSA-orientiert: umfangreichere Materialien, selbstständige Auswahl, differenzierte Textbelege und komplexere Schreibaufträge.</x:v>
      </x:c>
      <x:c r="G439" s="115" t="str">
        <x:v>de_k9_st51_sprache_verfahren</x:v>
      </x:c>
      <x:c r="H439" s="176" t="e">
        <x:f>HYPERLINK("schueler/de_k9_st51_sprache_verfahren_app.html","Lernmodul öffnen")</x:f>
      </x:c>
      <x:c r="I439" s="177" t="e">
        <x:f>HYPERLINK("lehrer/de_k9_st51_sprache_verfahren_orga.html","Vorbereitung öffnen")</x:f>
      </x:c>
    </x:row>
    <x:row r="440" ht="65" customHeight="1">
      <x:c r="A440" s="142" t="n">
        <x:v>9</x:v>
      </x:c>
      <x:c r="B440" s="115" t="str">
        <x:v>Sprache untersuchen</x:v>
      </x:c>
      <x:c r="C440" s="148" t="n">
        <x:v>52</x:v>
      </x:c>
      <x:c r="D440" s="115" t="str">
        <x:v>Grammatik, Stil und Zeichensetzung: Formen und Funktionen untersuchen</x:v>
      </x:c>
      <x:c r="E440" s="115" t="str">
        <x:v>Formen bilden und ihre Aufgabe im Satz mit Leitfragen beschreiben. HSA-orientiert: überschaubare Materialien, klarer Schreibrahmen, gesicherte Grundoperatoren und lebensweltlicher Bezug.</x:v>
      </x:c>
      <x:c r="F440" s="115" t="str">
        <x:v>Form, Funktion und Wirkung im Satz oder Text untersuchen; alternative Formulierungen vergleichen. RSA-orientiert: umfangreichere Materialien, selbstständige Auswahl, differenzierte Textbelege und komplexere Schreibaufträge.</x:v>
      </x:c>
      <x:c r="G440" s="115" t="str">
        <x:v>de_k9_st52_sprache_funktion</x:v>
      </x:c>
      <x:c r="H440" s="176" t="e">
        <x:f>HYPERLINK("schueler/de_k9_st52_sprache_funktion_app.html","Lernmodul öffnen")</x:f>
      </x:c>
      <x:c r="I440" s="177" t="e">
        <x:f>HYPERLINK("lehrer/de_k9_st52_sprache_funktion_orga.html","Vorbereitung öffnen")</x:f>
      </x:c>
    </x:row>
    <x:row r="441" ht="65" customHeight="1">
      <x:c r="A441" s="142" t="n">
        <x:v>9</x:v>
      </x:c>
      <x:c r="B441" s="115" t="str">
        <x:v>Schreiben</x:v>
      </x:c>
      <x:c r="C441" s="148" t="n">
        <x:v>53</x:v>
      </x:c>
      <x:c r="D441" s="115" t="str">
        <x:v>Grammatik, Stil und Zeichensetzung: Wissen im eigenen Text nutzen</x:v>
      </x:c>
      <x:c r="E441" s="115" t="str">
        <x:v>Prüfungstexte und eigene fehlerschwerpunkte nach Vorgabe verfassen und die geübten Strukturen farbig markieren. HSA-orientiert: überschaubare Materialien, klarer Schreibrahmen, gesicherte Grundoperatoren und lebensweltlicher Bezug.</x:v>
      </x:c>
      <x:c r="F441" s="115" t="str">
        <x:v>Prüfungstexte und eigene fehlerschwerpunkte bewusst gestalten und sprachliche Entscheidungen kommentieren. RSA-orientiert: umfangreichere Materialien, selbstständige Auswahl, differenzierte Textbelege und komplexere Schreibaufträge.</x:v>
      </x:c>
      <x:c r="G441" s="115" t="str">
        <x:v>de_k9_st53_sprache_anwenden</x:v>
      </x:c>
      <x:c r="H441" s="176" t="e">
        <x:f>HYPERLINK("schueler/de_k9_st53_sprache_anwenden_app.html","Lernmodul öffnen")</x:f>
      </x:c>
      <x:c r="I441" s="177" t="e">
        <x:f>HYPERLINK("lehrer/de_k9_st53_sprache_anwenden_orga.html","Vorbereitung öffnen")</x:f>
      </x:c>
    </x:row>
    <x:row r="442" ht="65" customHeight="1">
      <x:c r="A442" s="142" t="n">
        <x:v>9</x:v>
      </x:c>
      <x:c r="B442" s="115" t="str">
        <x:v>Sprache untersuchen</x:v>
      </x:c>
      <x:c r="C442" s="148" t="n">
        <x:v>54</x:v>
      </x:c>
      <x:c r="D442" s="115" t="str">
        <x:v>Grammatik, Stil und Zeichensetzung: Fehler finden und korrigieren</x:v>
      </x:c>
      <x:c r="E442" s="115" t="str">
        <x:v>Typische Fehler in kurzen Sätzen finden; passende Regelkarte auswählen und korrigieren. HSA-orientiert: überschaubare Materialien, klarer Schreibrahmen, gesicherte Grundoperatoren und lebensweltlicher Bezug.</x:v>
      </x:c>
      <x:c r="F442" s="115" t="str">
        <x:v>Fehler systematisch diagnostizieren, Regelbezug herstellen und mehrere Korrekturmöglichkeiten bewerten. RSA-orientiert: umfangreichere Materialien, selbstständige Auswahl, differenzierte Textbelege und komplexere Schreibaufträge.</x:v>
      </x:c>
      <x:c r="G442" s="115" t="str">
        <x:v>de_k9_st54_sprache_fehler</x:v>
      </x:c>
      <x:c r="H442" s="176" t="e">
        <x:f>HYPERLINK("schueler/de_k9_st54_sprache_fehler_app.html","Lernmodul öffnen")</x:f>
      </x:c>
      <x:c r="I442" s="177" t="e">
        <x:f>HYPERLINK("lehrer/de_k9_st54_sprache_fehler_orga.html","Vorbereitung öffnen")</x:f>
      </x:c>
    </x:row>
    <x:row r="443" ht="65" customHeight="1">
      <x:c r="A443" s="142" t="n">
        <x:v>9</x:v>
      </x:c>
      <x:c r="B443" s="115" t="str">
        <x:v>Sprache untersuchen</x:v>
      </x:c>
      <x:c r="C443" s="148" t="n">
        <x:v>55</x:v>
      </x:c>
      <x:c r="D443" s="115" t="str">
        <x:v>Grammatik, Stil und Zeichensetzung: Transfer auf unbekannte Beispiele</x:v>
      </x:c>
      <x:c r="E443" s="115" t="str">
        <x:v>Neue Beispiele mit Hilfekarte bearbeiten und Lösungen vergleichen. HSA-orientiert: überschaubare Materialien, klarer Schreibrahmen, gesicherte Grundoperatoren und lebensweltlicher Bezug.</x:v>
      </x:c>
      <x:c r="F443" s="115" t="str">
        <x:v>Unbekannte und mehrdeutige Beispiele selbstständig analysieren; Grenzfälle begründet diskutieren. RSA-orientiert: umfangreichere Materialien, selbstständige Auswahl, differenzierte Textbelege und komplexere Schreibaufträge.</x:v>
      </x:c>
      <x:c r="G443" s="115" t="str">
        <x:v>de_k9_st55_sprache_transfer</x:v>
      </x:c>
      <x:c r="H443" s="176" t="e">
        <x:f>HYPERLINK("schueler/de_k9_st55_sprache_transfer_app.html","Lernmodul öffnen")</x:f>
      </x:c>
      <x:c r="I443" s="177" t="e">
        <x:f>HYPERLINK("lehrer/de_k9_st55_sprache_transfer_orga.html","Vorbereitung öffnen")</x:f>
      </x:c>
    </x:row>
    <x:row r="444" ht="65" customHeight="1">
      <x:c r="A444" s="142" t="n">
        <x:v>9</x:v>
      </x:c>
      <x:c r="B444" s="115" t="str">
        <x:v>Schreiben</x:v>
      </x:c>
      <x:c r="C444" s="148" t="n">
        <x:v>56</x:v>
      </x:c>
      <x:c r="D444" s="115" t="str">
        <x:v>Grammatik, Stil und Zeichensetzung: Lernprodukt und Kompetenzcheck</x:v>
      </x:c>
      <x:c r="E444" s="115" t="str">
        <x:v>Merkblatt oder Übungstext erstellen; Grundregeln in einem kurzen Kompetenzcheck anwenden. HSA-orientiert: überschaubare Materialien, klarer Schreibrahmen, gesicherte Grundoperatoren und lebensweltlicher Bezug.</x:v>
      </x:c>
      <x:c r="F444" s="115" t="str">
        <x:v>Erklärprodukt mit eigenen Beispielen erstellen; Regeln in einem anspruchsvollen Kompetenzcheck sicher anwenden. RSA-orientiert: umfangreichere Materialien, selbstständige Auswahl, differenzierte Textbelege und komplexere Schreibaufträge.</x:v>
      </x:c>
      <x:c r="G444" s="115" t="str">
        <x:v>de_k9_st56_sprache_kompetenzcheck</x:v>
      </x:c>
      <x:c r="H444" s="176" t="e">
        <x:f>HYPERLINK("schueler/de_k9_st56_sprache_kompetenzcheck_app.html","Lernmodul öffnen")</x:f>
      </x:c>
      <x:c r="I444" s="177" t="e">
        <x:f>HYPERLINK("lehrer/de_k9_st56_sprache_kompetenzcheck_orga.html","Vorbereitung öffnen")</x:f>
      </x:c>
    </x:row>
    <x:row r="445" ht="65" customHeight="1">
      <x:c r="A445" s="142" t="n">
        <x:v>9</x:v>
      </x:c>
      <x:c r="B445" s="115" t="str">
        <x:v>Lesen/Umgang mit Texten</x:v>
      </x:c>
      <x:c r="C445" s="148" t="n">
        <x:v>57</x:v>
      </x:c>
      <x:c r="D445" s="115" t="str">
        <x:v>Bewerbung und Lebenslauf: Beispieltexte untersuchen</x:v>
      </x:c>
      <x:c r="E445" s="115" t="str">
        <x:v>Ein Beispiel für Bewerbungsunterlagen lesen; Aufbau und typische Formulierungen farbig kennzeichnen. HSA-orientiert: überschaubare Materialien, klarer Schreibrahmen, gesicherte Grundoperatoren und lebensweltlicher Bezug.</x:v>
      </x:c>
      <x:c r="F445" s="115" t="str">
        <x:v>Mehrere Beispiele für Bewerbungsunterlagen vergleichen; Funktion, Adressat und Qualitätsunterschiede herausarbeiten. RSA-orientiert: umfangreichere Materialien, selbstständige Auswahl, differenzierte Textbelege und komplexere Schreibaufträge.</x:v>
      </x:c>
      <x:c r="G445" s="115" t="str">
        <x:v>de_k9_st57_bewerbung_beispiel</x:v>
      </x:c>
      <x:c r="H445" s="176" t="e">
        <x:f>HYPERLINK("schueler/de_k9_st57_bewerbung_beispiel_app.html","Lernmodul öffnen")</x:f>
      </x:c>
      <x:c r="I445" s="177" t="e">
        <x:f>HYPERLINK("lehrer/de_k9_st57_bewerbung_beispiel_orga.html","Vorbereitung öffnen")</x:f>
      </x:c>
    </x:row>
    <x:row r="446" ht="65" customHeight="1">
      <x:c r="A446" s="142" t="n">
        <x:v>9</x:v>
      </x:c>
      <x:c r="B446" s="115" t="str">
        <x:v>Schreiben</x:v>
      </x:c>
      <x:c r="C446" s="148" t="n">
        <x:v>58</x:v>
      </x:c>
      <x:c r="D446" s="115" t="str">
        <x:v>Bewerbung und Lebenslauf: Schreibziel und Kriterien klären</x:v>
      </x:c>
      <x:c r="E446" s="115" t="str">
        <x:v>Schreibziel „Interessen, Fähigkeiten und Erfahrungen passend darstellen“ verstehen; eine kurze Kriterienliste auf ein Beispiel anwenden. HSA-orientiert: überschaubare Materialien, klarer Schreibrahmen, gesicherte Grundoperatoren und lebensweltlicher Bezug.</x:v>
      </x:c>
      <x:c r="F446" s="115" t="str">
        <x:v>Schreibziel „Interessen, Fähigkeiten und Erfahrungen passend darstellen“ präzisieren; Kriterien gewichten und auf unterschiedliche Schreibsituationen übertragen. RSA-orientiert: umfangreichere Materialien, selbstständige Auswahl, differenzierte Textbelege und komplexere Schreibaufträge.</x:v>
      </x:c>
      <x:c r="G446" s="115" t="str">
        <x:v>de_k9_st58_bewerbung_kriterien</x:v>
      </x:c>
      <x:c r="H446" s="176" t="e">
        <x:f>HYPERLINK("schueler/de_k9_st58_bewerbung_kriterien_app.html","Lernmodul öffnen")</x:f>
      </x:c>
      <x:c r="I446" s="177" t="e">
        <x:f>HYPERLINK("lehrer/de_k9_st58_bewerbung_kriterien_orga.html","Vorbereitung öffnen")</x:f>
      </x:c>
    </x:row>
    <x:row r="447" ht="65" customHeight="1">
      <x:c r="A447" s="142" t="n">
        <x:v>9</x:v>
      </x:c>
      <x:c r="B447" s="115" t="str">
        <x:v>Lesen/Umgang mit Texten</x:v>
      </x:c>
      <x:c r="C447" s="148" t="n">
        <x:v>59</x:v>
      </x:c>
      <x:c r="D447" s="115" t="str">
        <x:v>Bewerbung und Lebenslauf: Inhalte auswählen und ordnen</x:v>
      </x:c>
      <x:c r="E447" s="115" t="str">
        <x:v>Stellenanzeige, Anforderungsprofil und Auswahl mit Leitfragen sammeln und in einer vorgegebenen Reihenfolge ordnen. HSA-orientiert: überschaubare Materialien, klarer Schreibrahmen, gesicherte Grundoperatoren und lebensweltlicher Bezug.</x:v>
      </x:c>
      <x:c r="F447" s="115" t="str">
        <x:v>Stellenanzeige, Anforderungsprofil und Auswahl selbstständig auswählen, gewichten und in einer passenden Gliederung strukturieren. RSA-orientiert: umfangreichere Materialien, selbstständige Auswahl, differenzierte Textbelege und komplexere Schreibaufträge.</x:v>
      </x:c>
      <x:c r="G447" s="115" t="str">
        <x:v>de_k9_st59_bewerbung_inhalte_ordnen</x:v>
      </x:c>
      <x:c r="H447" s="176" t="e">
        <x:f>HYPERLINK("schueler/de_k9_st59_bewerbung_inhalte_ordnen_app.html","Lernmodul öffnen")</x:f>
      </x:c>
      <x:c r="I447" s="177" t="e">
        <x:f>HYPERLINK("lehrer/de_k9_st59_bewerbung_inhalte_ordnen_orga.html","Vorbereitung öffnen")</x:f>
      </x:c>
    </x:row>
    <x:row r="448" ht="65" customHeight="1">
      <x:c r="A448" s="142" t="n">
        <x:v>9</x:v>
      </x:c>
      <x:c r="B448" s="115" t="str">
        <x:v>Sprache untersuchen</x:v>
      </x:c>
      <x:c r="C448" s="148" t="n">
        <x:v>60</x:v>
      </x:c>
      <x:c r="D448" s="115" t="str">
        <x:v>Bewerbung und Lebenslauf: passende sprachliche Mittel verwenden</x:v>
      </x:c>
      <x:c r="E448" s="115" t="str">
        <x:v>formelle Sprache, präzise Verben, fehlerfreie Gestaltung in Übungen erkennen und nach Satzmustern anwenden. HSA-orientiert: überschaubare Materialien, klarer Schreibrahmen, gesicherte Grundoperatoren und lebensweltlicher Bezug.</x:v>
      </x:c>
      <x:c r="F448" s="115" t="str">
        <x:v>formelle Sprache, präzise Verben, fehlerfreie Gestaltung hinsichtlich Wirkung und Angemessenheit prüfen und gezielt variieren. RSA-orientiert: umfangreichere Materialien, selbstständige Auswahl, differenzierte Textbelege und komplexere Schreibaufträge.</x:v>
      </x:c>
      <x:c r="G448" s="115" t="str">
        <x:v>de_k9_st60_bewerbung_sprachmittel</x:v>
      </x:c>
      <x:c r="H448" s="176" t="e">
        <x:f>HYPERLINK("schueler/de_k9_st60_bewerbung_sprachmittel_app.html","Lernmodul öffnen")</x:f>
      </x:c>
      <x:c r="I448" s="177" t="e">
        <x:f>HYPERLINK("lehrer/de_k9_st60_bewerbung_sprachmittel_orga.html","Vorbereitung öffnen")</x:f>
      </x:c>
    </x:row>
    <x:row r="449" ht="65" customHeight="1">
      <x:c r="A449" s="142" t="n">
        <x:v>9</x:v>
      </x:c>
      <x:c r="B449" s="115" t="str">
        <x:v>Schreiben</x:v>
      </x:c>
      <x:c r="C449" s="148" t="n">
        <x:v>61</x:v>
      </x:c>
      <x:c r="D449" s="115" t="str">
        <x:v>Bewerbung und Lebenslauf: einen Schreibplan erstellen</x:v>
      </x:c>
      <x:c r="E449" s="115" t="str">
        <x:v>Einen vorstrukturierten Schreibplan ausfüllen; Einleitung, Hauptteil und Schluss festlegen. HSA-orientiert: überschaubare Materialien, klarer Schreibrahmen, gesicherte Grundoperatoren und lebensweltlicher Bezug.</x:v>
      </x:c>
      <x:c r="F449" s="115" t="str">
        <x:v>Einen eigenen Schreibplan mit Teilzielen, Belegen und sprachlichen Mitteln entwickeln. RSA-orientiert: umfangreichere Materialien, selbstständige Auswahl, differenzierte Textbelege und komplexere Schreibaufträge.</x:v>
      </x:c>
      <x:c r="G449" s="115" t="str">
        <x:v>de_k9_st61_bewerbung_schreibplan</x:v>
      </x:c>
      <x:c r="H449" s="176" t="e">
        <x:f>HYPERLINK("schueler/de_k9_st61_bewerbung_schreibplan_app.html","Lernmodul öffnen")</x:f>
      </x:c>
      <x:c r="I449" s="177" t="e">
        <x:f>HYPERLINK("lehrer/de_k9_st61_bewerbung_schreibplan_orga.html","Vorbereitung öffnen")</x:f>
      </x:c>
    </x:row>
    <x:row r="450" ht="65" customHeight="1">
      <x:c r="A450" s="142" t="n">
        <x:v>9</x:v>
      </x:c>
      <x:c r="B450" s="115" t="str">
        <x:v>Schreiben</x:v>
      </x:c>
      <x:c r="C450" s="148" t="n">
        <x:v>62</x:v>
      </x:c>
      <x:c r="D450" s="115" t="str">
        <x:v>Bewerbung und Lebenslauf: einen ersten Textentwurf verfassen</x:v>
      </x:c>
      <x:c r="E450" s="115" t="str">
        <x:v>Anschreiben und lebenslauf mithilfe von Schreibrahmen, Satzanfängen und Wortbank verfassen. HSA-orientiert: überschaubare Materialien, klarer Schreibrahmen, gesicherte Grundoperatoren und lebensweltlicher Bezug.</x:v>
      </x:c>
      <x:c r="F450" s="115" t="str">
        <x:v>Anschreiben und lebenslauf selbstständig, adressatenbezogen und sprachlich differenziert verfassen. RSA-orientiert: umfangreichere Materialien, selbstständige Auswahl, differenzierte Textbelege und komplexere Schreibaufträge.</x:v>
      </x:c>
      <x:c r="G450" s="115" t="str">
        <x:v>de_k9_st62_bewerbung_entwurf</x:v>
      </x:c>
      <x:c r="H450" s="176" t="e">
        <x:f>HYPERLINK("schueler/de_k9_st62_bewerbung_entwurf_app.html","Lernmodul öffnen")</x:f>
      </x:c>
      <x:c r="I450" s="177" t="e">
        <x:f>HYPERLINK("lehrer/de_k9_st62_bewerbung_entwurf_orga.html","Vorbereitung öffnen")</x:f>
      </x:c>
    </x:row>
    <x:row r="451" ht="65" customHeight="1">
      <x:c r="A451" s="142" t="n">
        <x:v>9</x:v>
      </x:c>
      <x:c r="B451" s="115" t="str">
        <x:v>Schreiben</x:v>
      </x:c>
      <x:c r="C451" s="148" t="n">
        <x:v>63</x:v>
      </x:c>
      <x:c r="D451" s="115" t="str">
        <x:v>Bewerbung und Lebenslauf: Text kriteriengeleitet überarbeiten</x:v>
      </x:c>
      <x:c r="E451" s="115" t="str">
        <x:v>Text mit einer kurzen Prüfliste überarbeiten; einen inhaltlichen und einen sprachlichen Fehler verbessern. HSA-orientiert: überschaubare Materialien, klarer Schreibrahmen, gesicherte Grundoperatoren und lebensweltlicher Bezug.</x:v>
      </x:c>
      <x:c r="F451" s="115" t="str">
        <x:v>Text in mehreren Überarbeitungsschritten prüfen; Aufbau, Kohärenz, Stil und Normrichtigkeit gezielt optimieren. RSA-orientiert: umfangreichere Materialien, selbstständige Auswahl, differenzierte Textbelege und komplexere Schreibaufträge.</x:v>
      </x:c>
      <x:c r="G451" s="115" t="str">
        <x:v>de_k9_st63_bewerbung_ueberarbeiten</x:v>
      </x:c>
      <x:c r="H451" s="176" t="e">
        <x:f>HYPERLINK("schueler/de_k9_st63_bewerbung_ueberarbeiten_app.html","Lernmodul öffnen")</x:f>
      </x:c>
      <x:c r="I451" s="177" t="e">
        <x:f>HYPERLINK("lehrer/de_k9_st63_bewerbung_ueberarbeiten_orga.html","Vorbereitung öffnen")</x:f>
      </x:c>
    </x:row>
    <x:row r="452" ht="65" customHeight="1">
      <x:c r="A452" s="142" t="n">
        <x:v>9</x:v>
      </x:c>
      <x:c r="B452" s="115" t="str">
        <x:v>Sprechen und Zuhören</x:v>
      </x:c>
      <x:c r="C452" s="148" t="n">
        <x:v>64</x:v>
      </x:c>
      <x:c r="D452" s="115" t="str">
        <x:v>Bewerbung und Lebenslauf: Texte vorstellen und bewerten</x:v>
      </x:c>
      <x:c r="E452" s="115" t="str">
        <x:v>Ausgewählte Passage vorlesen oder erläutern; Rückmeldung mit einfachen Satzmustern geben. HSA-orientiert: überschaubare Materialien, klarer Schreibrahmen, gesicherte Grundoperatoren und lebensweltlicher Bezug.</x:v>
      </x:c>
      <x:c r="F452" s="115" t="str">
        <x:v>Textwirkung und Schreibentscheidungen erläutern; differenziertes Peer-Feedback geben und begründet annehmen. RSA-orientiert: umfangreichere Materialien, selbstständige Auswahl, differenzierte Textbelege und komplexere Schreibaufträge.</x:v>
      </x:c>
      <x:c r="G452" s="115" t="str">
        <x:v>de_k9_st64_bewerbung_vorstellen</x:v>
      </x:c>
      <x:c r="H452" s="176" t="e">
        <x:f>HYPERLINK("schueler/de_k9_st64_bewerbung_vorstellen_app.html","Lernmodul öffnen")</x:f>
      </x:c>
      <x:c r="I452" s="177" t="e">
        <x:f>HYPERLINK("lehrer/de_k9_st64_bewerbung_vorstellen_orga.html","Vorbereitung öffnen")</x:f>
      </x:c>
    </x:row>
    <x:row r="453" ht="65" customHeight="1">
      <x:c r="A453" s="142" t="n">
        <x:v>9</x:v>
      </x:c>
      <x:c r="B453" s="115" t="str">
        <x:v>Sprechen und Zuhören</x:v>
      </x:c>
      <x:c r="C453" s="148" t="n">
        <x:v>65</x:v>
      </x:c>
      <x:c r="D453" s="115" t="str">
        <x:v>Gedankenlyrik und politische Lyrik: Hör- oder Leseeinstieg gestalten</x:v>
      </x:c>
      <x:c r="E453" s="115" t="str">
        <x:v>Einstieg über Bild, Hörtext oder kurzen Auszug; Vorwissen zu Gedichte zu Individuum und Gesellschaft sammeln und zentrale Wörter klären. HSA-orientiert: überschaubare Materialien, klarer Schreibrahmen, gesicherte Grundoperatoren und lebensweltlicher Bezug.</x:v>
      </x:c>
      <x:c r="F453" s="115" t="str">
        <x:v>Aus Titel, Kontext und Gestaltung Erwartungen an Gedichte zu Individuum und Gesellschaft ableiten; erste Hypothesen formulieren und begründen. RSA-orientiert: umfangreichere Materialien, selbstständige Auswahl, differenzierte Textbelege und komplexere Schreibaufträge.</x:v>
      </x:c>
      <x:c r="G453" s="115" t="str">
        <x:v>de_k9_st65_lyrik_einstieg</x:v>
      </x:c>
      <x:c r="H453" s="176" t="e">
        <x:f>HYPERLINK("schueler/de_k9_st65_lyrik_einstieg_app.html","Lernmodul öffnen")</x:f>
      </x:c>
      <x:c r="I453" s="177" t="e">
        <x:f>HYPERLINK("lehrer/de_k9_st65_lyrik_einstieg_orga.html","Vorbereitung öffnen")</x:f>
      </x:c>
    </x:row>
    <x:row r="454" ht="65" customHeight="1">
      <x:c r="A454" s="142" t="n">
        <x:v>9</x:v>
      </x:c>
      <x:c r="B454" s="115" t="str">
        <x:v>Lesen/Umgang mit Texten</x:v>
      </x:c>
      <x:c r="C454" s="148" t="n">
        <x:v>66</x:v>
      </x:c>
      <x:c r="D454" s="115" t="str">
        <x:v>Gedankenlyrik und politische Lyrik: den Text mit Lesestrategien erschließen</x:v>
      </x:c>
      <x:c r="E454" s="115" t="str">
        <x:v>Text abschnittsweise lesen; Schlüsselwörter markieren und den Inhalt mit Leitfragen sichern. HSA-orientiert: überschaubare Materialien, klarer Schreibrahmen, gesicherte Grundoperatoren und lebensweltlicher Bezug.</x:v>
      </x:c>
      <x:c r="F454" s="115" t="str">
        <x:v>Lesetechnik passend zum Ziel wählen; Sinnabschnitte, Schlüsselstellen und offene Fragen selbstständig festhalten. RSA-orientiert: umfangreichere Materialien, selbstständige Auswahl, differenzierte Textbelege und komplexere Schreibaufträge.</x:v>
      </x:c>
      <x:c r="G454" s="115" t="str">
        <x:v>de_k9_st66_lyrik_erschliessen</x:v>
      </x:c>
      <x:c r="H454" s="176" t="e">
        <x:f>HYPERLINK("schueler/de_k9_st66_lyrik_erschliessen_app.html","Lernmodul öffnen")</x:f>
      </x:c>
      <x:c r="I454" s="177" t="e">
        <x:f>HYPERLINK("lehrer/de_k9_st66_lyrik_erschliessen_orga.html","Vorbereitung öffnen")</x:f>
      </x:c>
    </x:row>
    <x:row r="455" ht="65" customHeight="1">
      <x:c r="A455" s="142" t="n">
        <x:v>9</x:v>
      </x:c>
      <x:c r="B455" s="115" t="str">
        <x:v>Lesen/Umgang mit Texten</x:v>
      </x:c>
      <x:c r="C455" s="148" t="n">
        <x:v>67</x:v>
      </x:c>
      <x:c r="D455" s="115" t="str">
        <x:v>Gedankenlyrik und politische Lyrik: Gattungsmerkmale erkennen</x:v>
      </x:c>
      <x:c r="E455" s="115" t="str">
        <x:v>Merkmale wie Sprecher, Thema, Stimmung, Form mithilfe einer Checkliste zuordnen und an Textstellen zeigen. HSA-orientiert: überschaubare Materialien, klarer Schreibrahmen, gesicherte Grundoperatoren und lebensweltlicher Bezug.</x:v>
      </x:c>
      <x:c r="F455" s="115" t="str">
        <x:v>Merkmale wie Sprecher, Thema, Stimmung, Form textnah belegen und ihre Funktion für Aufbau und Wirkung erklären. RSA-orientiert: umfangreichere Materialien, selbstständige Auswahl, differenzierte Textbelege und komplexere Schreibaufträge.</x:v>
      </x:c>
      <x:c r="G455" s="115" t="str">
        <x:v>de_k9_st67_lyrik_merkmale</x:v>
      </x:c>
      <x:c r="H455" s="176" t="e">
        <x:f>HYPERLINK("schueler/de_k9_st67_lyrik_merkmale_app.html","Lernmodul öffnen")</x:f>
      </x:c>
      <x:c r="I455" s="177" t="e">
        <x:f>HYPERLINK("lehrer/de_k9_st67_lyrik_merkmale_orga.html","Vorbereitung öffnen")</x:f>
      </x:c>
    </x:row>
    <x:row r="456" ht="65" customHeight="1">
      <x:c r="A456" s="142" t="n">
        <x:v>9</x:v>
      </x:c>
      <x:c r="B456" s="115" t="str">
        <x:v>Lesen/Umgang mit Texten</x:v>
      </x:c>
      <x:c r="C456" s="148" t="n">
        <x:v>68</x:v>
      </x:c>
      <x:c r="D456" s="115" t="str">
        <x:v>Gedankenlyrik und politische Lyrik: Figuren, Handlung und Konflikt untersuchen</x:v>
      </x:c>
      <x:c r="E456" s="115" t="str">
        <x:v>historischer Kontext, Motiv und Deutungsansatz mit Figurenkarten oder Handlungsstreifen ordnen; einfache Belege auswählen. HSA-orientiert: überschaubare Materialien, klarer Schreibrahmen, gesicherte Grundoperatoren und lebensweltlicher Bezug.</x:v>
      </x:c>
      <x:c r="F456" s="115" t="str">
        <x:v>historischer Kontext, Motiv und Deutungsansatz in ihrem Zusammenhang untersuchen; Schlussfolgerungen mit passenden Textbelegen absichern. RSA-orientiert: umfangreichere Materialien, selbstständige Auswahl, differenzierte Textbelege und komplexere Schreibaufträge.</x:v>
      </x:c>
      <x:c r="G456" s="115" t="str">
        <x:v>de_k9_st68_lyrik_figuren_handlung</x:v>
      </x:c>
      <x:c r="H456" s="176" t="e">
        <x:f>HYPERLINK("schueler/de_k9_st68_lyrik_figuren_handlung_app.html","Lernmodul öffnen")</x:f>
      </x:c>
      <x:c r="I456" s="177" t="e">
        <x:f>HYPERLINK("lehrer/de_k9_st68_lyrik_figuren_handlung_orga.html","Vorbereitung öffnen")</x:f>
      </x:c>
    </x:row>
    <x:row r="457" ht="65" customHeight="1">
      <x:c r="A457" s="142" t="n">
        <x:v>9</x:v>
      </x:c>
      <x:c r="B457" s="115" t="str">
        <x:v>Sprache untersuchen</x:v>
      </x:c>
      <x:c r="C457" s="148" t="n">
        <x:v>69</x:v>
      </x:c>
      <x:c r="D457" s="115" t="str">
        <x:v>Gedankenlyrik und politische Lyrik: Sprache und Wirkung untersuchen</x:v>
      </x:c>
      <x:c r="E457" s="115" t="str">
        <x:v>Beispiele für Metrum, Bildlichkeit, rhetorische Mittel markieren und ihre Wirkung mit vorgegebenen Begriffen beschreiben. HSA-orientiert: überschaubare Materialien, klarer Schreibrahmen, gesicherte Grundoperatoren und lebensweltlicher Bezug.</x:v>
      </x:c>
      <x:c r="F457" s="115" t="str">
        <x:v>Metrum, Bildlichkeit, rhetorische Mittel fachsprachlich analysieren und auf Figurenzeichnung, Stimmung oder Aussage beziehen. RSA-orientiert: umfangreichere Materialien, selbstständige Auswahl, differenzierte Textbelege und komplexere Schreibaufträge.</x:v>
      </x:c>
      <x:c r="G457" s="115" t="str">
        <x:v>de_k9_st69_lyrik_sprache_wirkung</x:v>
      </x:c>
      <x:c r="H457" s="176" t="e">
        <x:f>HYPERLINK("schueler/de_k9_st69_lyrik_sprache_wirkung_app.html","Lernmodul öffnen")</x:f>
      </x:c>
      <x:c r="I457" s="177" t="e">
        <x:f>HYPERLINK("lehrer/de_k9_st69_lyrik_sprache_wirkung_orga.html","Vorbereitung öffnen")</x:f>
      </x:c>
    </x:row>
    <x:row r="458" ht="65" customHeight="1">
      <x:c r="A458" s="142" t="n">
        <x:v>9</x:v>
      </x:c>
      <x:c r="B458" s="115" t="str">
        <x:v>Schreiben</x:v>
      </x:c>
      <x:c r="C458" s="148" t="n">
        <x:v>70</x:v>
      </x:c>
      <x:c r="D458" s="115" t="str">
        <x:v>Gedankenlyrik und politische Lyrik: eine Deutung oder Perspektive vorbereiten</x:v>
      </x:c>
      <x:c r="E458" s="115" t="str">
        <x:v>Eine zentrale Aussage mit Satzstartern formulieren; Beleg und Erklärung in einem Schreibrahmen verbinden. HSA-orientiert: überschaubare Materialien, klarer Schreibrahmen, gesicherte Grundoperatoren und lebensweltlicher Bezug.</x:v>
      </x:c>
      <x:c r="F458" s="115" t="str">
        <x:v>Eine schlüssige Deutungshypothese entwickeln; mehrere Belege auswählen, ordnen und gegeneinander abwägen. RSA-orientiert: umfangreichere Materialien, selbstständige Auswahl, differenzierte Textbelege und komplexere Schreibaufträge.</x:v>
      </x:c>
      <x:c r="G458" s="115" t="str">
        <x:v>de_k9_st70_lyrik_deutung_planen</x:v>
      </x:c>
      <x:c r="H458" s="176" t="e">
        <x:f>HYPERLINK("schueler/de_k9_st70_lyrik_deutung_planen_app.html","Lernmodul öffnen")</x:f>
      </x:c>
      <x:c r="I458" s="177" t="e">
        <x:f>HYPERLINK("lehrer/de_k9_st70_lyrik_deutung_planen_orga.html","Vorbereitung öffnen")</x:f>
      </x:c>
    </x:row>
    <x:row r="459" ht="65" customHeight="1">
      <x:c r="A459" s="142" t="n">
        <x:v>9</x:v>
      </x:c>
      <x:c r="B459" s="115" t="str">
        <x:v>Schreiben</x:v>
      </x:c>
      <x:c r="C459" s="148" t="n">
        <x:v>71</x:v>
      </x:c>
      <x:c r="D459" s="115" t="str">
        <x:v>Gedankenlyrik und politische Lyrik: Gedichtanalyse oder Vergleich gestalten</x:v>
      </x:c>
      <x:c r="E459" s="115" t="str">
        <x:v>Gedichtanalyse oder vergleich nach klaren Vorgaben erstellen; Hilfekarten und Wortbank nutzen. HSA-orientiert: überschaubare Materialien, klarer Schreibrahmen, gesicherte Grundoperatoren und lebensweltlicher Bezug.</x:v>
      </x:c>
      <x:c r="F459" s="115" t="str">
        <x:v>Gedichtanalyse oder vergleich eigenständig, textnah und sprachlich variabel gestalten; Wirkung bewusst planen. RSA-orientiert: umfangreichere Materialien, selbstständige Auswahl, differenzierte Textbelege und komplexere Schreibaufträge.</x:v>
      </x:c>
      <x:c r="G459" s="115" t="str">
        <x:v>de_k9_st71_lyrik_produkt</x:v>
      </x:c>
      <x:c r="H459" s="176" t="e">
        <x:f>HYPERLINK("schueler/de_k9_st71_lyrik_produkt_app.html","Lernmodul öffnen")</x:f>
      </x:c>
      <x:c r="I459" s="177" t="e">
        <x:f>HYPERLINK("lehrer/de_k9_st71_lyrik_produkt_orga.html","Vorbereitung öffnen")</x:f>
      </x:c>
    </x:row>
    <x:row r="460" ht="65" customHeight="1">
      <x:c r="A460" s="142" t="n">
        <x:v>9</x:v>
      </x:c>
      <x:c r="B460" s="115" t="str">
        <x:v>Sprechen und Zuhören</x:v>
      </x:c>
      <x:c r="C460" s="148" t="n">
        <x:v>72</x:v>
      </x:c>
      <x:c r="D460" s="115" t="str">
        <x:v>Gedankenlyrik und politische Lyrik: Ergebnisse präsentieren und reflektieren</x:v>
      </x:c>
      <x:c r="E460" s="115" t="str">
        <x:v>Ergebnis kurz vorstellen; zwei vereinbarte Kriterien für Rückmeldung anwenden. HSA-orientiert: überschaubare Materialien, klarer Schreibrahmen, gesicherte Grundoperatoren und lebensweltlicher Bezug.</x:v>
      </x:c>
      <x:c r="F460" s="115" t="str">
        <x:v>Ergebnis adressatenbezogen präsentieren; Rückmeldungen begründen und die eigene Deutung oder Gestaltung überarbeiten. RSA-orientiert: umfangreichere Materialien, selbstständige Auswahl, differenzierte Textbelege und komplexere Schreibaufträge.</x:v>
      </x:c>
      <x:c r="G460" s="115" t="str">
        <x:v>de_k9_st72_lyrik_praesentieren</x:v>
      </x:c>
      <x:c r="H460" s="176" t="e">
        <x:f>HYPERLINK("schueler/de_k9_st72_lyrik_praesentieren_app.html","Lernmodul öffnen")</x:f>
      </x:c>
      <x:c r="I460" s="177" t="e">
        <x:f>HYPERLINK("lehrer/de_k9_st72_lyrik_praesentieren_orga.html","Vorbereitung öffnen")</x:f>
      </x:c>
    </x:row>
    <x:row r="461" ht="65" customHeight="1">
      <x:c r="A461" s="142" t="n">
        <x:v>9</x:v>
      </x:c>
      <x:c r="B461" s="115" t="str">
        <x:v>Sprechen und Zuhören</x:v>
      </x:c>
      <x:c r="C461" s="148" t="n">
        <x:v>73</x:v>
      </x:c>
      <x:c r="D461" s="115" t="str">
        <x:v>Sachtexte, Diagramme und Exzerpte: Vorwissen und Positionen klären</x:v>
      </x:c>
      <x:c r="E461" s="115" t="str">
        <x:v>Eigene Erfahrungen zu komplexere Sach- und Gebrauchstexte benennen; zentrale Begriffe mit Beispielen klären. HSA-orientiert: überschaubare Materialien, klarer Schreibrahmen, gesicherte Grundoperatoren und lebensweltlicher Bezug.</x:v>
      </x:c>
      <x:c r="F461" s="115" t="str">
        <x:v>Vorwissen zu komplexere Sach- und Gebrauchstexte strukturieren; erste Positionen formulieren und mögliche Konflikte benennen. RSA-orientiert: umfangreichere Materialien, selbstständige Auswahl, differenzierte Textbelege und komplexere Schreibaufträge.</x:v>
      </x:c>
      <x:c r="G461" s="115" t="str">
        <x:v>de_k9_st73_sachtexte_einstieg</x:v>
      </x:c>
      <x:c r="H461" s="176" t="e">
        <x:f>HYPERLINK("schueler/de_k9_st73_sachtexte_einstieg_app.html","Lernmodul öffnen")</x:f>
      </x:c>
      <x:c r="I461" s="177" t="e">
        <x:f>HYPERLINK("lehrer/de_k9_st73_sachtexte_einstieg_orga.html","Vorbereitung öffnen")</x:f>
      </x:c>
    </x:row>
    <x:row r="462" ht="65" customHeight="1">
      <x:c r="A462" s="142" t="n">
        <x:v>9</x:v>
      </x:c>
      <x:c r="B462" s="115" t="str">
        <x:v>Lesen/Umgang mit Texten</x:v>
      </x:c>
      <x:c r="C462" s="148" t="n">
        <x:v>74</x:v>
      </x:c>
      <x:c r="D462" s="115" t="str">
        <x:v>Sachtexte, Diagramme und Exzerpte: Quellen und Materialien erschließen</x:v>
      </x:c>
      <x:c r="E462" s="115" t="str">
        <x:v>Kurze Materialien lesen oder ansehen; Hauptaussagen mit Leitfragen festhalten. HSA-orientiert: überschaubare Materialien, klarer Schreibrahmen, gesicherte Grundoperatoren und lebensweltlicher Bezug.</x:v>
      </x:c>
      <x:c r="F462" s="115" t="str">
        <x:v>Unterschiedliche Materialien selbstständig erschließen; Aussage, Intention und Kontext bestimmen. RSA-orientiert: umfangreichere Materialien, selbstständige Auswahl, differenzierte Textbelege und komplexere Schreibaufträge.</x:v>
      </x:c>
      <x:c r="G462" s="115" t="str">
        <x:v>de_k9_st74_sachtexte_quellen</x:v>
      </x:c>
      <x:c r="H462" s="176" t="e">
        <x:f>HYPERLINK("schueler/de_k9_st74_sachtexte_quellen_app.html","Lernmodul öffnen")</x:f>
      </x:c>
      <x:c r="I462" s="177" t="e">
        <x:f>HYPERLINK("lehrer/de_k9_st74_sachtexte_quellen_orga.html","Vorbereitung öffnen")</x:f>
      </x:c>
    </x:row>
    <x:row r="463" ht="65" customHeight="1">
      <x:c r="A463" s="142" t="n">
        <x:v>9</x:v>
      </x:c>
      <x:c r="B463" s="115" t="str">
        <x:v>Lesen/Umgang mit Texten</x:v>
      </x:c>
      <x:c r="C463" s="148" t="n">
        <x:v>75</x:v>
      </x:c>
      <x:c r="D463" s="115" t="str">
        <x:v>Sachtexte, Diagramme und Exzerpte: Qualitätskriterien anwenden</x:v>
      </x:c>
      <x:c r="E463" s="115" t="str">
        <x:v>Kernaussage, Argumente, Daten, Quelle und Intention in einer Checkliste anwenden und Auffälligkeiten markieren. HSA-orientiert: überschaubare Materialien, klarer Schreibrahmen, gesicherte Grundoperatoren und lebensweltlicher Bezug.</x:v>
      </x:c>
      <x:c r="F463" s="115" t="str">
        <x:v>Kernaussage, Argumente, Daten, Quelle und Intention gewichten, auf Grenzfälle anwenden und begründete Qualitätsurteile formulieren. RSA-orientiert: umfangreichere Materialien, selbstständige Auswahl, differenzierte Textbelege und komplexere Schreibaufträge.</x:v>
      </x:c>
      <x:c r="G463" s="115" t="str">
        <x:v>de_k9_st75_sachtexte_kriterien</x:v>
      </x:c>
      <x:c r="H463" s="176" t="e">
        <x:f>HYPERLINK("schueler/de_k9_st75_sachtexte_kriterien_app.html","Lernmodul öffnen")</x:f>
      </x:c>
      <x:c r="I463" s="177" t="e">
        <x:f>HYPERLINK("lehrer/de_k9_st75_sachtexte_kriterien_orga.html","Vorbereitung öffnen")</x:f>
      </x:c>
    </x:row>
    <x:row r="464" ht="65" customHeight="1">
      <x:c r="A464" s="142" t="n">
        <x:v>9</x:v>
      </x:c>
      <x:c r="B464" s="115" t="str">
        <x:v>Lesen/Umgang mit Texten</x:v>
      </x:c>
      <x:c r="C464" s="148" t="n">
        <x:v>76</x:v>
      </x:c>
      <x:c r="D464" s="115" t="str">
        <x:v>Sachtexte, Diagramme und Exzerpte: Darstellungen vergleichen</x:v>
      </x:c>
      <x:c r="E464" s="115" t="str">
        <x:v>Text, statistik und grafische darstellung nach vorgegebenen Merkmalen vergleichen. HSA-orientiert: überschaubare Materialien, klarer Schreibrahmen, gesicherte Grundoperatoren und lebensweltlicher Bezug.</x:v>
      </x:c>
      <x:c r="F464" s="115" t="str">
        <x:v>Text, statistik und grafische darstellung hinsichtlich Informationsauswahl, Gestaltung, Wirkung und Interessen vergleichen. RSA-orientiert: umfangreichere Materialien, selbstständige Auswahl, differenzierte Textbelege und komplexere Schreibaufträge.</x:v>
      </x:c>
      <x:c r="G464" s="115" t="str">
        <x:v>de_k9_st76_sachtexte_vergleichen</x:v>
      </x:c>
      <x:c r="H464" s="176" t="e">
        <x:f>HYPERLINK("schueler/de_k9_st76_sachtexte_vergleichen_app.html","Lernmodul öffnen")</x:f>
      </x:c>
      <x:c r="I464" s="177" t="e">
        <x:f>HYPERLINK("lehrer/de_k9_st76_sachtexte_vergleichen_orga.html","Vorbereitung öffnen")</x:f>
      </x:c>
    </x:row>
    <x:row r="465" ht="65" customHeight="1">
      <x:c r="A465" s="142" t="n">
        <x:v>9</x:v>
      </x:c>
      <x:c r="B465" s="115" t="str">
        <x:v>Schreiben</x:v>
      </x:c>
      <x:c r="C465" s="148" t="n">
        <x:v>77</x:v>
      </x:c>
      <x:c r="D465" s="115" t="str">
        <x:v>Sachtexte, Diagramme und Exzerpte: Informationen prüfen und ordnen</x:v>
      </x:c>
      <x:c r="E465" s="115" t="str">
        <x:v>Informationen aus vorgegebenen Quellen auswählen; Fundstellen notieren und geordnet ablegen. HSA-orientiert: überschaubare Materialien, klarer Schreibrahmen, gesicherte Grundoperatoren und lebensweltlicher Bezug.</x:v>
      </x:c>
      <x:c r="F465" s="115" t="str">
        <x:v>Recherchefrage entwickeln; Quellen prüfen, Informationen abgleichen und korrekt dokumentieren. RSA-orientiert: umfangreichere Materialien, selbstständige Auswahl, differenzierte Textbelege und komplexere Schreibaufträge.</x:v>
      </x:c>
      <x:c r="G465" s="115" t="str">
        <x:v>de_k9_st77_sachtexte_recherche</x:v>
      </x:c>
      <x:c r="H465" s="176" t="e">
        <x:f>HYPERLINK("schueler/de_k9_st77_sachtexte_recherche_app.html","Lernmodul öffnen")</x:f>
      </x:c>
      <x:c r="I465" s="177" t="e">
        <x:f>HYPERLINK("lehrer/de_k9_st77_sachtexte_recherche_orga.html","Vorbereitung öffnen")</x:f>
      </x:c>
    </x:row>
    <x:row r="466" ht="65" customHeight="1">
      <x:c r="A466" s="142" t="n">
        <x:v>9</x:v>
      </x:c>
      <x:c r="B466" s="115" t="str">
        <x:v>Schreiben</x:v>
      </x:c>
      <x:c r="C466" s="148" t="n">
        <x:v>78</x:v>
      </x:c>
      <x:c r="D466" s="115" t="str">
        <x:v>Sachtexte, Diagramme und Exzerpte: Produkt planen</x:v>
      </x:c>
      <x:c r="E466" s="115" t="str">
        <x:v>Für Exzerpt oder Konspekt einen vorgegebenen Arbeitsplan ergänzen; Aufgaben verteilen. HSA-orientiert: überschaubare Materialien, klarer Schreibrahmen, gesicherte Grundoperatoren und lebensweltlicher Bezug.</x:v>
      </x:c>
      <x:c r="F466" s="115" t="str">
        <x:v>Für Exzerpt oder Konspekt Zielgruppe, Aufbau, Medienwahl, Zeitplan und Qualitätskontrolle selbstständig festlegen. RSA-orientiert: umfangreichere Materialien, selbstständige Auswahl, differenzierte Textbelege und komplexere Schreibaufträge.</x:v>
      </x:c>
      <x:c r="G466" s="115" t="str">
        <x:v>de_k9_st78_sachtexte_planen</x:v>
      </x:c>
      <x:c r="H466" s="176" t="e">
        <x:f>HYPERLINK("schueler/de_k9_st78_sachtexte_planen_app.html","Lernmodul öffnen")</x:f>
      </x:c>
      <x:c r="I466" s="177" t="e">
        <x:f>HYPERLINK("lehrer/de_k9_st78_sachtexte_planen_orga.html","Vorbereitung öffnen")</x:f>
      </x:c>
    </x:row>
    <x:row r="467" ht="65" customHeight="1">
      <x:c r="A467" s="142" t="n">
        <x:v>9</x:v>
      </x:c>
      <x:c r="B467" s="115" t="str">
        <x:v>Schreiben</x:v>
      </x:c>
      <x:c r="C467" s="148" t="n">
        <x:v>79</x:v>
      </x:c>
      <x:c r="D467" s="115" t="str">
        <x:v>Sachtexte, Diagramme und Exzerpte: Produkt erstellen</x:v>
      </x:c>
      <x:c r="E467" s="115" t="str">
        <x:v>Exzerpt oder konspekt mit Vorlage und klaren Teilaufträgen erstellen. HSA-orientiert: überschaubare Materialien, klarer Schreibrahmen, gesicherte Grundoperatoren und lebensweltlicher Bezug.</x:v>
      </x:c>
      <x:c r="F467" s="115" t="str">
        <x:v>Exzerpt oder konspekt selbstständig, adressatengerecht und quellenbewusst erstellen. RSA-orientiert: umfangreichere Materialien, selbstständige Auswahl, differenzierte Textbelege und komplexere Schreibaufträge.</x:v>
      </x:c>
      <x:c r="G467" s="115" t="str">
        <x:v>de_k9_st79_sachtexte_erstellen</x:v>
      </x:c>
      <x:c r="H467" s="176" t="e">
        <x:f>HYPERLINK("schueler/de_k9_st79_sachtexte_erstellen_app.html","Lernmodul öffnen")</x:f>
      </x:c>
      <x:c r="I467" s="177" t="e">
        <x:f>HYPERLINK("lehrer/de_k9_st79_sachtexte_erstellen_orga.html","Vorbereitung öffnen")</x:f>
      </x:c>
    </x:row>
    <x:row r="468" ht="65" customHeight="1">
      <x:c r="A468" s="142" t="n">
        <x:v>9</x:v>
      </x:c>
      <x:c r="B468" s="115" t="str">
        <x:v>Sprechen und Zuhören</x:v>
      </x:c>
      <x:c r="C468" s="148" t="n">
        <x:v>80</x:v>
      </x:c>
      <x:c r="D468" s="115" t="str">
        <x:v>Sachtexte, Diagramme und Exzerpte: präsentieren und reflektieren</x:v>
      </x:c>
      <x:c r="E468" s="115" t="str">
        <x:v>Produkt kurz vorstellen; Rückmeldung anhand weniger Kriterien geben und annehmen. HSA-orientiert: überschaubare Materialien, klarer Schreibrahmen, gesicherte Grundoperatoren und lebensweltlicher Bezug.</x:v>
      </x:c>
      <x:c r="F468" s="115" t="str">
        <x:v>Produkt überzeugend präsentieren; Arbeitsprozess, Quellenwahl und Wirkung kritisch reflektieren. RSA-orientiert: umfangreichere Materialien, selbstständige Auswahl, differenzierte Textbelege und komplexere Schreibaufträge.</x:v>
      </x:c>
      <x:c r="G468" s="115" t="str">
        <x:v>de_k9_st80_sachtexte_reflexion</x:v>
      </x:c>
      <x:c r="H468" s="176" t="e">
        <x:f>HYPERLINK("schueler/de_k9_st80_sachtexte_reflexion_app.html","Lernmodul öffnen")</x:f>
      </x:c>
      <x:c r="I468" s="177" t="e">
        <x:f>HYPERLINK("lehrer/de_k9_st80_sachtexte_reflexion_orga.html","Vorbereitung öffnen")</x:f>
      </x:c>
    </x:row>
    <x:row r="469" ht="65" customHeight="1">
      <x:c r="A469" s="142" t="n">
        <x:v>9</x:v>
      </x:c>
      <x:c r="B469" s="115" t="str">
        <x:v>Sprechen und Zuhören</x:v>
      </x:c>
      <x:c r="C469" s="148" t="n">
        <x:v>81</x:v>
      </x:c>
      <x:c r="D469" s="115" t="str">
        <x:v>Debatte, Referat und mündliche Prüfung: Vorwissen und Positionen klären</x:v>
      </x:c>
      <x:c r="E469" s="115" t="str">
        <x:v>Eigene Erfahrungen zu argumentierendes und informierendes Sprechen benennen; zentrale Begriffe mit Beispielen klären. HSA-orientiert: überschaubare Materialien, klarer Schreibrahmen, gesicherte Grundoperatoren und lebensweltlicher Bezug.</x:v>
      </x:c>
      <x:c r="F469" s="115" t="str">
        <x:v>Vorwissen zu argumentierendes und informierendes Sprechen strukturieren; erste Positionen formulieren und mögliche Konflikte benennen. RSA-orientiert: umfangreichere Materialien, selbstständige Auswahl, differenzierte Textbelege und komplexere Schreibaufträge.</x:v>
      </x:c>
      <x:c r="G469" s="115" t="str">
        <x:v>de_k9_st81_muendlich_einstieg</x:v>
      </x:c>
      <x:c r="H469" s="176" t="e">
        <x:f>HYPERLINK("schueler/de_k9_st81_muendlich_einstieg_app.html","Lernmodul öffnen")</x:f>
      </x:c>
      <x:c r="I469" s="177" t="e">
        <x:f>HYPERLINK("lehrer/de_k9_st81_muendlich_einstieg_orga.html","Vorbereitung öffnen")</x:f>
      </x:c>
    </x:row>
    <x:row r="470" ht="65" customHeight="1">
      <x:c r="A470" s="142" t="n">
        <x:v>9</x:v>
      </x:c>
      <x:c r="B470" s="115" t="str">
        <x:v>Lesen/Umgang mit Texten</x:v>
      </x:c>
      <x:c r="C470" s="148" t="n">
        <x:v>82</x:v>
      </x:c>
      <x:c r="D470" s="115" t="str">
        <x:v>Debatte, Referat und mündliche Prüfung: Quellen und Materialien erschließen</x:v>
      </x:c>
      <x:c r="E470" s="115" t="str">
        <x:v>Kurze Materialien lesen oder ansehen; Hauptaussagen mit Leitfragen festhalten. HSA-orientiert: überschaubare Materialien, klarer Schreibrahmen, gesicherte Grundoperatoren und lebensweltlicher Bezug.</x:v>
      </x:c>
      <x:c r="F470" s="115" t="str">
        <x:v>Unterschiedliche Materialien selbstständig erschließen; Aussage, Intention und Kontext bestimmen. RSA-orientiert: umfangreichere Materialien, selbstständige Auswahl, differenzierte Textbelege und komplexere Schreibaufträge.</x:v>
      </x:c>
      <x:c r="G470" s="115" t="str">
        <x:v>de_k9_st82_muendlich_quellen</x:v>
      </x:c>
      <x:c r="H470" s="176" t="e">
        <x:f>HYPERLINK("schueler/de_k9_st82_muendlich_quellen_app.html","Lernmodul öffnen")</x:f>
      </x:c>
      <x:c r="I470" s="177" t="e">
        <x:f>HYPERLINK("lehrer/de_k9_st82_muendlich_quellen_orga.html","Vorbereitung öffnen")</x:f>
      </x:c>
    </x:row>
    <x:row r="471" ht="65" customHeight="1">
      <x:c r="A471" s="142" t="n">
        <x:v>9</x:v>
      </x:c>
      <x:c r="B471" s="115" t="str">
        <x:v>Lesen/Umgang mit Texten</x:v>
      </x:c>
      <x:c r="C471" s="148" t="n">
        <x:v>83</x:v>
      </x:c>
      <x:c r="D471" s="115" t="str">
        <x:v>Debatte, Referat und mündliche Prüfung: Qualitätskriterien anwenden</x:v>
      </x:c>
      <x:c r="E471" s="115" t="str">
        <x:v>Redegliederung, Belege, Gesprächsregeln und Visualisierung in einer Checkliste anwenden und Auffälligkeiten markieren. HSA-orientiert: überschaubare Materialien, klarer Schreibrahmen, gesicherte Grundoperatoren und lebensweltlicher Bezug.</x:v>
      </x:c>
      <x:c r="F471" s="115" t="str">
        <x:v>Redegliederung, Belege, Gesprächsregeln und Visualisierung gewichten, auf Grenzfälle anwenden und begründete Qualitätsurteile formulieren. RSA-orientiert: umfangreichere Materialien, selbstständige Auswahl, differenzierte Textbelege und komplexere Schreibaufträge.</x:v>
      </x:c>
      <x:c r="G471" s="115" t="str">
        <x:v>de_k9_st83_muendlich_kriterien</x:v>
      </x:c>
      <x:c r="H471" s="176" t="e">
        <x:f>HYPERLINK("schueler/de_k9_st83_muendlich_kriterien_app.html","Lernmodul öffnen")</x:f>
      </x:c>
      <x:c r="I471" s="177" t="e">
        <x:f>HYPERLINK("lehrer/de_k9_st83_muendlich_kriterien_orga.html","Vorbereitung öffnen")</x:f>
      </x:c>
    </x:row>
    <x:row r="472" ht="65" customHeight="1">
      <x:c r="A472" s="142" t="n">
        <x:v>9</x:v>
      </x:c>
      <x:c r="B472" s="115" t="str">
        <x:v>Lesen/Umgang mit Texten</x:v>
      </x:c>
      <x:c r="C472" s="148" t="n">
        <x:v>84</x:v>
      </x:c>
      <x:c r="D472" s="115" t="str">
        <x:v>Debatte, Referat und mündliche Prüfung: Darstellungen vergleichen</x:v>
      </x:c>
      <x:c r="E472" s="115" t="str">
        <x:v>Kurzreferat, debatte und prüfungsgespräch nach vorgegebenen Merkmalen vergleichen. HSA-orientiert: überschaubare Materialien, klarer Schreibrahmen, gesicherte Grundoperatoren und lebensweltlicher Bezug.</x:v>
      </x:c>
      <x:c r="F472" s="115" t="str">
        <x:v>Kurzreferat, debatte und prüfungsgespräch hinsichtlich Informationsauswahl, Gestaltung, Wirkung und Interessen vergleichen. RSA-orientiert: umfangreichere Materialien, selbstständige Auswahl, differenzierte Textbelege und komplexere Schreibaufträge.</x:v>
      </x:c>
      <x:c r="G472" s="115" t="str">
        <x:v>de_k9_st84_muendlich_vergleichen</x:v>
      </x:c>
      <x:c r="H472" s="176" t="e">
        <x:f>HYPERLINK("schueler/de_k9_st84_muendlich_vergleichen_app.html","Lernmodul öffnen")</x:f>
      </x:c>
      <x:c r="I472" s="177" t="e">
        <x:f>HYPERLINK("lehrer/de_k9_st84_muendlich_vergleichen_orga.html","Vorbereitung öffnen")</x:f>
      </x:c>
    </x:row>
    <x:row r="473" ht="65" customHeight="1">
      <x:c r="A473" s="142" t="n">
        <x:v>9</x:v>
      </x:c>
      <x:c r="B473" s="115" t="str">
        <x:v>Schreiben</x:v>
      </x:c>
      <x:c r="C473" s="148" t="n">
        <x:v>85</x:v>
      </x:c>
      <x:c r="D473" s="115" t="str">
        <x:v>Debatte, Referat und mündliche Prüfung: Informationen prüfen und ordnen</x:v>
      </x:c>
      <x:c r="E473" s="115" t="str">
        <x:v>Informationen aus vorgegebenen Quellen auswählen; Fundstellen notieren und geordnet ablegen. HSA-orientiert: überschaubare Materialien, klarer Schreibrahmen, gesicherte Grundoperatoren und lebensweltlicher Bezug.</x:v>
      </x:c>
      <x:c r="F473" s="115" t="str">
        <x:v>Recherchefrage entwickeln; Quellen prüfen, Informationen abgleichen und korrekt dokumentieren. RSA-orientiert: umfangreichere Materialien, selbstständige Auswahl, differenzierte Textbelege und komplexere Schreibaufträge.</x:v>
      </x:c>
      <x:c r="G473" s="115" t="str">
        <x:v>de_k9_st85_muendlich_recherche</x:v>
      </x:c>
      <x:c r="H473" s="176" t="e">
        <x:f>HYPERLINK("schueler/de_k9_st85_muendlich_recherche_app.html","Lernmodul öffnen")</x:f>
      </x:c>
      <x:c r="I473" s="177" t="e">
        <x:f>HYPERLINK("lehrer/de_k9_st85_muendlich_recherche_orga.html","Vorbereitung öffnen")</x:f>
      </x:c>
    </x:row>
    <x:row r="474" ht="65" customHeight="1">
      <x:c r="A474" s="142" t="n">
        <x:v>9</x:v>
      </x:c>
      <x:c r="B474" s="115" t="str">
        <x:v>Schreiben</x:v>
      </x:c>
      <x:c r="C474" s="148" t="n">
        <x:v>86</x:v>
      </x:c>
      <x:c r="D474" s="115" t="str">
        <x:v>Debatte, Referat und mündliche Prüfung: Produkt planen</x:v>
      </x:c>
      <x:c r="E474" s="115" t="str">
        <x:v>Für mündliche Leistung einen vorgegebenen Arbeitsplan ergänzen; Aufgaben verteilen. HSA-orientiert: überschaubare Materialien, klarer Schreibrahmen, gesicherte Grundoperatoren und lebensweltlicher Bezug.</x:v>
      </x:c>
      <x:c r="F474" s="115" t="str">
        <x:v>Für mündliche Leistung Zielgruppe, Aufbau, Medienwahl, Zeitplan und Qualitätskontrolle selbstständig festlegen. RSA-orientiert: umfangreichere Materialien, selbstständige Auswahl, differenzierte Textbelege und komplexere Schreibaufträge.</x:v>
      </x:c>
      <x:c r="G474" s="115" t="str">
        <x:v>de_k9_st86_muendlich_planen</x:v>
      </x:c>
      <x:c r="H474" s="176" t="e">
        <x:f>HYPERLINK("schueler/de_k9_st86_muendlich_planen_app.html","Lernmodul öffnen")</x:f>
      </x:c>
      <x:c r="I474" s="177" t="e">
        <x:f>HYPERLINK("lehrer/de_k9_st86_muendlich_planen_orga.html","Vorbereitung öffnen")</x:f>
      </x:c>
    </x:row>
    <x:row r="475" ht="65" customHeight="1">
      <x:c r="A475" s="142" t="n">
        <x:v>9</x:v>
      </x:c>
      <x:c r="B475" s="115" t="str">
        <x:v>Schreiben</x:v>
      </x:c>
      <x:c r="C475" s="148" t="n">
        <x:v>87</x:v>
      </x:c>
      <x:c r="D475" s="115" t="str">
        <x:v>Debatte, Referat und mündliche Prüfung: Produkt erstellen</x:v>
      </x:c>
      <x:c r="E475" s="115" t="str">
        <x:v>Mündliche leistung mit Vorlage und klaren Teilaufträgen erstellen. HSA-orientiert: überschaubare Materialien, klarer Schreibrahmen, gesicherte Grundoperatoren und lebensweltlicher Bezug.</x:v>
      </x:c>
      <x:c r="F475" s="115" t="str">
        <x:v>Mündliche leistung selbstständig, adressatengerecht und quellenbewusst erstellen. RSA-orientiert: umfangreichere Materialien, selbstständige Auswahl, differenzierte Textbelege und komplexere Schreibaufträge.</x:v>
      </x:c>
      <x:c r="G475" s="115" t="str">
        <x:v>de_k9_st87_muendlich_erstellen</x:v>
      </x:c>
      <x:c r="H475" s="176" t="e">
        <x:f>HYPERLINK("schueler/de_k9_st87_muendlich_erstellen_app.html","Lernmodul öffnen")</x:f>
      </x:c>
      <x:c r="I475" s="177" t="e">
        <x:f>HYPERLINK("lehrer/de_k9_st87_muendlich_erstellen_orga.html","Vorbereitung öffnen")</x:f>
      </x:c>
    </x:row>
    <x:row r="476" ht="65" customHeight="1">
      <x:c r="A476" s="142" t="n">
        <x:v>9</x:v>
      </x:c>
      <x:c r="B476" s="115" t="str">
        <x:v>Sprechen und Zuhören</x:v>
      </x:c>
      <x:c r="C476" s="148" t="n">
        <x:v>88</x:v>
      </x:c>
      <x:c r="D476" s="115" t="str">
        <x:v>Debatte, Referat und mündliche Prüfung: präsentieren und reflektieren</x:v>
      </x:c>
      <x:c r="E476" s="115" t="str">
        <x:v>Produkt kurz vorstellen; Rückmeldung anhand weniger Kriterien geben und annehmen. HSA-orientiert: überschaubare Materialien, klarer Schreibrahmen, gesicherte Grundoperatoren und lebensweltlicher Bezug.</x:v>
      </x:c>
      <x:c r="F476" s="115" t="str">
        <x:v>Produkt überzeugend präsentieren; Arbeitsprozess, Quellenwahl und Wirkung kritisch reflektieren. RSA-orientiert: umfangreichere Materialien, selbstständige Auswahl, differenzierte Textbelege und komplexere Schreibaufträge.</x:v>
      </x:c>
      <x:c r="G476" s="115" t="str">
        <x:v>de_k9_st88_muendlich_reflexion</x:v>
      </x:c>
      <x:c r="H476" s="176" t="e">
        <x:f>HYPERLINK("schueler/de_k9_st88_muendlich_reflexion_app.html","Lernmodul öffnen")</x:f>
      </x:c>
      <x:c r="I476" s="177" t="e">
        <x:f>HYPERLINK("lehrer/de_k9_st88_muendlich_reflexion_orga.html","Vorbereitung öffnen")</x:f>
      </x:c>
    </x:row>
    <x:row r="477" ht="65" customHeight="1">
      <x:c r="A477" s="142" t="n">
        <x:v>9</x:v>
      </x:c>
      <x:c r="B477" s="115" t="str">
        <x:v>Sprechen und Zuhören</x:v>
      </x:c>
      <x:c r="C477" s="148" t="n">
        <x:v>89</x:v>
      </x:c>
      <x:c r="D477" s="115" t="str">
        <x:v>Prüfungsvorbereitung HSA/RSA: Vorwissen und Positionen klären</x:v>
      </x:c>
      <x:c r="E477" s="115" t="str">
        <x:v>Eigene Erfahrungen zu integrierte Abschlussaufgaben benennen; zentrale Begriffe mit Beispielen klären. HSA-orientiert: überschaubare Materialien, klarer Schreibrahmen, gesicherte Grundoperatoren und lebensweltlicher Bezug.</x:v>
      </x:c>
      <x:c r="F477" s="115" t="str">
        <x:v>Vorwissen zu integrierte Abschlussaufgaben strukturieren; erste Positionen formulieren und mögliche Konflikte benennen. RSA-orientiert: umfangreichere Materialien, selbstständige Auswahl, differenzierte Textbelege und komplexere Schreibaufträge.</x:v>
      </x:c>
      <x:c r="G477" s="115" t="str">
        <x:v>de_k9_st89_pruefung_einstieg</x:v>
      </x:c>
      <x:c r="H477" s="176" t="e">
        <x:f>HYPERLINK("schueler/de_k9_st89_pruefung_einstieg_app.html","Lernmodul öffnen")</x:f>
      </x:c>
      <x:c r="I477" s="177" t="e">
        <x:f>HYPERLINK("lehrer/de_k9_st89_pruefung_einstieg_orga.html","Vorbereitung öffnen")</x:f>
      </x:c>
    </x:row>
    <x:row r="478" ht="65" customHeight="1">
      <x:c r="A478" s="142" t="n">
        <x:v>9</x:v>
      </x:c>
      <x:c r="B478" s="115" t="str">
        <x:v>Lesen/Umgang mit Texten</x:v>
      </x:c>
      <x:c r="C478" s="148" t="n">
        <x:v>90</x:v>
      </x:c>
      <x:c r="D478" s="115" t="str">
        <x:v>Prüfungsvorbereitung HSA/RSA: Quellen und Materialien erschließen</x:v>
      </x:c>
      <x:c r="E478" s="115" t="str">
        <x:v>Kurze Materialien lesen oder ansehen; Hauptaussagen mit Leitfragen festhalten. HSA-orientiert: überschaubare Materialien, klarer Schreibrahmen, gesicherte Grundoperatoren und lebensweltlicher Bezug.</x:v>
      </x:c>
      <x:c r="F478" s="115" t="str">
        <x:v>Unterschiedliche Materialien selbstständig erschließen; Aussage, Intention und Kontext bestimmen. RSA-orientiert: umfangreichere Materialien, selbstständige Auswahl, differenzierte Textbelege und komplexere Schreibaufträge.</x:v>
      </x:c>
      <x:c r="G478" s="115" t="str">
        <x:v>de_k9_st90_pruefung_quellen</x:v>
      </x:c>
      <x:c r="H478" s="176" t="e">
        <x:f>HYPERLINK("schueler/de_k9_st90_pruefung_quellen_app.html","Lernmodul öffnen")</x:f>
      </x:c>
      <x:c r="I478" s="177" t="e">
        <x:f>HYPERLINK("lehrer/de_k9_st90_pruefung_quellen_orga.html","Vorbereitung öffnen")</x:f>
      </x:c>
    </x:row>
    <x:row r="479" ht="65" customHeight="1">
      <x:c r="A479" s="142" t="n">
        <x:v>9</x:v>
      </x:c>
      <x:c r="B479" s="115" t="str">
        <x:v>Lesen/Umgang mit Texten</x:v>
      </x:c>
      <x:c r="C479" s="148" t="n">
        <x:v>91</x:v>
      </x:c>
      <x:c r="D479" s="115" t="str">
        <x:v>Prüfungsvorbereitung HSA/RSA: Qualitätskriterien anwenden</x:v>
      </x:c>
      <x:c r="E479" s="115" t="str">
        <x:v>Aufgaben lesen, Zeit einteilen, Ergebnisse prüfen in einer Checkliste anwenden und Auffälligkeiten markieren. HSA-orientiert: überschaubare Materialien, klarer Schreibrahmen, gesicherte Grundoperatoren und lebensweltlicher Bezug.</x:v>
      </x:c>
      <x:c r="F479" s="115" t="str">
        <x:v>Aufgaben lesen, Zeit einteilen, Ergebnisse prüfen gewichten, auf Grenzfälle anwenden und begründete Qualitätsurteile formulieren. RSA-orientiert: umfangreichere Materialien, selbstständige Auswahl, differenzierte Textbelege und komplexere Schreibaufträge.</x:v>
      </x:c>
      <x:c r="G479" s="115" t="str">
        <x:v>de_k9_st91_pruefung_kriterien</x:v>
      </x:c>
      <x:c r="H479" s="176" t="e">
        <x:f>HYPERLINK("schueler/de_k9_st91_pruefung_kriterien_app.html","Lernmodul öffnen")</x:f>
      </x:c>
      <x:c r="I479" s="177" t="e">
        <x:f>HYPERLINK("lehrer/de_k9_st91_pruefung_kriterien_orga.html","Vorbereitung öffnen")</x:f>
      </x:c>
    </x:row>
    <x:row r="480" ht="65" customHeight="1">
      <x:c r="A480" s="142" t="n">
        <x:v>9</x:v>
      </x:c>
      <x:c r="B480" s="115" t="str">
        <x:v>Lesen/Umgang mit Texten</x:v>
      </x:c>
      <x:c r="C480" s="148" t="n">
        <x:v>92</x:v>
      </x:c>
      <x:c r="D480" s="115" t="str">
        <x:v>Prüfungsvorbereitung HSA/RSA: Darstellungen vergleichen</x:v>
      </x:c>
      <x:c r="E480" s="115" t="str">
        <x:v>Unterschiedliche anforderungsniveaus und lösungswege nach vorgegebenen Merkmalen vergleichen. HSA-orientiert: überschaubare Materialien, klarer Schreibrahmen, gesicherte Grundoperatoren und lebensweltlicher Bezug.</x:v>
      </x:c>
      <x:c r="F480" s="115" t="str">
        <x:v>Unterschiedliche anforderungsniveaus und lösungswege hinsichtlich Informationsauswahl, Gestaltung, Wirkung und Interessen vergleichen. RSA-orientiert: umfangreichere Materialien, selbstständige Auswahl, differenzierte Textbelege und komplexere Schreibaufträge.</x:v>
      </x:c>
      <x:c r="G480" s="115" t="str">
        <x:v>de_k9_st92_pruefung_vergleichen</x:v>
      </x:c>
      <x:c r="H480" s="176" t="e">
        <x:f>HYPERLINK("schueler/de_k9_st92_pruefung_vergleichen_app.html","Lernmodul öffnen")</x:f>
      </x:c>
      <x:c r="I480" s="177" t="e">
        <x:f>HYPERLINK("lehrer/de_k9_st92_pruefung_vergleichen_orga.html","Vorbereitung öffnen")</x:f>
      </x:c>
    </x:row>
    <x:row r="481" ht="65" customHeight="1">
      <x:c r="A481" s="142" t="n">
        <x:v>9</x:v>
      </x:c>
      <x:c r="B481" s="115" t="str">
        <x:v>Schreiben</x:v>
      </x:c>
      <x:c r="C481" s="148" t="n">
        <x:v>93</x:v>
      </x:c>
      <x:c r="D481" s="115" t="str">
        <x:v>Prüfungsvorbereitung HSA/RSA: Informationen prüfen und ordnen</x:v>
      </x:c>
      <x:c r="E481" s="115" t="str">
        <x:v>Informationen aus vorgegebenen Quellen auswählen; Fundstellen notieren und geordnet ablegen. HSA-orientiert: überschaubare Materialien, klarer Schreibrahmen, gesicherte Grundoperatoren und lebensweltlicher Bezug.</x:v>
      </x:c>
      <x:c r="F481" s="115" t="str">
        <x:v>Recherchefrage entwickeln; Quellen prüfen, Informationen abgleichen und korrekt dokumentieren. RSA-orientiert: umfangreichere Materialien, selbstständige Auswahl, differenzierte Textbelege und komplexere Schreibaufträge.</x:v>
      </x:c>
      <x:c r="G481" s="115" t="str">
        <x:v>de_k9_st93_pruefung_recherche</x:v>
      </x:c>
      <x:c r="H481" s="176" t="e">
        <x:f>HYPERLINK("schueler/de_k9_st93_pruefung_recherche_app.html","Lernmodul öffnen")</x:f>
      </x:c>
      <x:c r="I481" s="177" t="e">
        <x:f>HYPERLINK("lehrer/de_k9_st93_pruefung_recherche_orga.html","Vorbereitung öffnen")</x:f>
      </x:c>
    </x:row>
    <x:row r="482" ht="65" customHeight="1">
      <x:c r="A482" s="142" t="n">
        <x:v>9</x:v>
      </x:c>
      <x:c r="B482" s="115" t="str">
        <x:v>Schreiben</x:v>
      </x:c>
      <x:c r="C482" s="148" t="n">
        <x:v>94</x:v>
      </x:c>
      <x:c r="D482" s="115" t="str">
        <x:v>Prüfungsvorbereitung HSA/RSA: Produkt planen</x:v>
      </x:c>
      <x:c r="E482" s="115" t="str">
        <x:v>Für Prüfungssimulation einen vorgegebenen Arbeitsplan ergänzen; Aufgaben verteilen. HSA-orientiert: überschaubare Materialien, klarer Schreibrahmen, gesicherte Grundoperatoren und lebensweltlicher Bezug.</x:v>
      </x:c>
      <x:c r="F482" s="115" t="str">
        <x:v>Für Prüfungssimulation Zielgruppe, Aufbau, Medienwahl, Zeitplan und Qualitätskontrolle selbstständig festlegen. RSA-orientiert: umfangreichere Materialien, selbstständige Auswahl, differenzierte Textbelege und komplexere Schreibaufträge.</x:v>
      </x:c>
      <x:c r="G482" s="115" t="str">
        <x:v>de_k9_st94_pruefung_planen</x:v>
      </x:c>
      <x:c r="H482" s="176" t="e">
        <x:f>HYPERLINK("schueler/de_k9_st94_pruefung_planen_app.html","Lernmodul öffnen")</x:f>
      </x:c>
      <x:c r="I482" s="177" t="e">
        <x:f>HYPERLINK("lehrer/de_k9_st94_pruefung_planen_orga.html","Vorbereitung öffnen")</x:f>
      </x:c>
    </x:row>
    <x:row r="483" ht="65" customHeight="1">
      <x:c r="A483" s="142" t="n">
        <x:v>9</x:v>
      </x:c>
      <x:c r="B483" s="115" t="str">
        <x:v>Schreiben</x:v>
      </x:c>
      <x:c r="C483" s="148" t="n">
        <x:v>95</x:v>
      </x:c>
      <x:c r="D483" s="115" t="str">
        <x:v>Prüfungsvorbereitung HSA/RSA: Produkt erstellen</x:v>
      </x:c>
      <x:c r="E483" s="115" t="str">
        <x:v>Prüfungssimulation mit Vorlage und klaren Teilaufträgen erstellen. HSA-orientiert: überschaubare Materialien, klarer Schreibrahmen, gesicherte Grundoperatoren und lebensweltlicher Bezug.</x:v>
      </x:c>
      <x:c r="F483" s="115" t="str">
        <x:v>Prüfungssimulation selbstständig, adressatengerecht und quellenbewusst erstellen. RSA-orientiert: umfangreichere Materialien, selbstständige Auswahl, differenzierte Textbelege und komplexere Schreibaufträge.</x:v>
      </x:c>
      <x:c r="G483" s="115" t="str">
        <x:v>de_k9_st95_pruefung_erstellen</x:v>
      </x:c>
      <x:c r="H483" s="176" t="e">
        <x:f>HYPERLINK("schueler/de_k9_st95_pruefung_erstellen_app.html","Lernmodul öffnen")</x:f>
      </x:c>
      <x:c r="I483" s="177" t="e">
        <x:f>HYPERLINK("lehrer/de_k9_st95_pruefung_erstellen_orga.html","Vorbereitung öffnen")</x:f>
      </x:c>
    </x:row>
    <x:row r="484" ht="65" customHeight="1">
      <x:c r="A484" s="142" t="n">
        <x:v>9</x:v>
      </x:c>
      <x:c r="B484" s="115" t="str">
        <x:v>Sprechen und Zuhören</x:v>
      </x:c>
      <x:c r="C484" s="148" t="n">
        <x:v>96</x:v>
      </x:c>
      <x:c r="D484" s="115" t="str">
        <x:v>Prüfungsvorbereitung HSA/RSA: präsentieren und reflektieren</x:v>
      </x:c>
      <x:c r="E484" s="115" t="str">
        <x:v>Produkt kurz vorstellen; Rückmeldung anhand weniger Kriterien geben und annehmen. HSA-orientiert: überschaubare Materialien, klarer Schreibrahmen, gesicherte Grundoperatoren und lebensweltlicher Bezug.</x:v>
      </x:c>
      <x:c r="F484" s="115" t="str">
        <x:v>Produkt überzeugend präsentieren; Arbeitsprozess, Quellenwahl und Wirkung kritisch reflektieren. RSA-orientiert: umfangreichere Materialien, selbstständige Auswahl, differenzierte Textbelege und komplexere Schreibaufträge.</x:v>
      </x:c>
      <x:c r="G484" s="115" t="str">
        <x:v>de_k9_st96_pruefung_reflexion</x:v>
      </x:c>
      <x:c r="H484" s="176" t="e">
        <x:f>HYPERLINK("schueler/de_k9_st96_pruefung_reflexion_app.html","Lernmodul öffnen")</x:f>
      </x:c>
      <x:c r="I484" s="177" t="e">
        <x:f>HYPERLINK("lehrer/de_k9_st96_pruefung_reflexion_orga.html","Vorbereitung öffnen")</x:f>
      </x:c>
    </x:row>
    <x:row r="485" ht="65" customHeight="1">
      <x:c r="A485" s="142" t="n">
        <x:v>10</x:v>
      </x:c>
      <x:c r="B485" s="115" t="str">
        <x:v>Sprechen und Zuhören</x:v>
      </x:c>
      <x:c r="C485" s="148" t="n">
        <x:v>1</x:v>
      </x:c>
      <x:c r="D485" s="115" t="str">
        <x:v>Diagnose und Prüfungsstrategie: Vorwissen und Positionen klären</x:v>
      </x:c>
      <x:c r="E485" s="115" t="str">
        <x:v>Eigene Erfahrungen zu Anforderungen der Abschlussprüfung benennen; zentrale Begriffe mit Beispielen klären. Grundlegende Sicherung für Lernende mit HSA-Niveau beziehungsweise zusätzlichem Förderbedarf; kurze Materialien und feste Arbeitsschritte.</x:v>
      </x:c>
      <x:c r="F485" s="115" t="str">
        <x:v>Vorwissen zu Anforderungen der Abschlussprüfung strukturieren; erste Positionen formulieren und mögliche Konflikte benennen. RSA-orientiert: vollständige Anforderungsbreite der Klassenstufe 10, selbstständige Planung, Analyse und reflektierte Bewertung.</x:v>
      </x:c>
      <x:c r="G485" s="115" t="str">
        <x:v>de_k10_st01_diagnose_einstieg</x:v>
      </x:c>
      <x:c r="H485" s="176" t="e">
        <x:f>HYPERLINK("schueler/de_k10_st01_diagnose_einstieg_app.html","Lernmodul öffnen")</x:f>
      </x:c>
      <x:c r="I485" s="177" t="e">
        <x:f>HYPERLINK("lehrer/de_k10_st01_diagnose_einstieg_orga.html","Vorbereitung öffnen")</x:f>
      </x:c>
    </x:row>
    <x:row r="486" ht="65" customHeight="1">
      <x:c r="A486" s="142" t="n">
        <x:v>10</x:v>
      </x:c>
      <x:c r="B486" s="115" t="str">
        <x:v>Lesen/Umgang mit Texten</x:v>
      </x:c>
      <x:c r="C486" s="148" t="n">
        <x:v>2</x:v>
      </x:c>
      <x:c r="D486" s="115" t="str">
        <x:v>Diagnose und Prüfungsstrategie: Quellen und Materialien erschließen</x:v>
      </x:c>
      <x:c r="E486" s="115" t="str">
        <x:v>Kurze Materialien lesen oder ansehen; Hauptaussagen mit Leitfragen festhalten. Grundlegende Sicherung für Lernende mit HSA-Niveau beziehungsweise zusätzlichem Förderbedarf; kurze Materialien und feste Arbeitsschritte.</x:v>
      </x:c>
      <x:c r="F486" s="115" t="str">
        <x:v>Unterschiedliche Materialien selbstständig erschließen; Aussage, Intention und Kontext bestimmen. RSA-orientiert: vollständige Anforderungsbreite der Klassenstufe 10, selbstständige Planung, Analyse und reflektierte Bewertung.</x:v>
      </x:c>
      <x:c r="G486" s="115" t="str">
        <x:v>de_k10_st02_diagnose_quellen</x:v>
      </x:c>
      <x:c r="H486" s="176" t="e">
        <x:f>HYPERLINK("schueler/de_k10_st02_diagnose_quellen_app.html","Lernmodul öffnen")</x:f>
      </x:c>
      <x:c r="I486" s="177" t="e">
        <x:f>HYPERLINK("lehrer/de_k10_st02_diagnose_quellen_orga.html","Vorbereitung öffnen")</x:f>
      </x:c>
    </x:row>
    <x:row r="487" ht="65" customHeight="1">
      <x:c r="A487" s="142" t="n">
        <x:v>10</x:v>
      </x:c>
      <x:c r="B487" s="115" t="str">
        <x:v>Lesen/Umgang mit Texten</x:v>
      </x:c>
      <x:c r="C487" s="148" t="n">
        <x:v>3</x:v>
      </x:c>
      <x:c r="D487" s="115" t="str">
        <x:v>Diagnose und Prüfungsstrategie: Qualitätskriterien anwenden</x:v>
      </x:c>
      <x:c r="E487" s="115" t="str">
        <x:v>Operatoren, Materialauswahl, Zeitmanagement und Bewertungskriterien in einer Checkliste anwenden und Auffälligkeiten markieren. Grundlegende Sicherung für Lernende mit HSA-Niveau beziehungsweise zusätzlichem Förderbedarf; kurze Materialien und feste Arbeitsschritte.</x:v>
      </x:c>
      <x:c r="F487" s="115" t="str">
        <x:v>Operatoren, Materialauswahl, Zeitmanagement und Bewertungskriterien gewichten, auf Grenzfälle anwenden und begründete Qualitätsurteile formulieren. RSA-orientiert: vollständige Anforderungsbreite der Klassenstufe 10, selbstständige Planung, Analyse und reflektierte Bewertung.</x:v>
      </x:c>
      <x:c r="G487" s="115" t="str">
        <x:v>de_k10_st03_diagnose_kriterien</x:v>
      </x:c>
      <x:c r="H487" s="176" t="e">
        <x:f>HYPERLINK("schueler/de_k10_st03_diagnose_kriterien_app.html","Lernmodul öffnen")</x:f>
      </x:c>
      <x:c r="I487" s="177" t="e">
        <x:f>HYPERLINK("lehrer/de_k10_st03_diagnose_kriterien_orga.html","Vorbereitung öffnen")</x:f>
      </x:c>
    </x:row>
    <x:row r="488" ht="65" customHeight="1">
      <x:c r="A488" s="142" t="n">
        <x:v>10</x:v>
      </x:c>
      <x:c r="B488" s="115" t="str">
        <x:v>Lesen/Umgang mit Texten</x:v>
      </x:c>
      <x:c r="C488" s="148" t="n">
        <x:v>4</x:v>
      </x:c>
      <x:c r="D488" s="115" t="str">
        <x:v>Diagnose und Prüfungsstrategie: Darstellungen vergleichen</x:v>
      </x:c>
      <x:c r="E488" s="115" t="str">
        <x:v>Basisaufgabe und komplexe rsa-aufgabe nach vorgegebenen Merkmalen vergleichen. Grundlegende Sicherung für Lernende mit HSA-Niveau beziehungsweise zusätzlichem Förderbedarf; kurze Materialien und feste Arbeitsschritte.</x:v>
      </x:c>
      <x:c r="F488" s="115" t="str">
        <x:v>Basisaufgabe und komplexe rsa-aufgabe hinsichtlich Informationsauswahl, Gestaltung, Wirkung und Interessen vergleichen. RSA-orientiert: vollständige Anforderungsbreite der Klassenstufe 10, selbstständige Planung, Analyse und reflektierte Bewertung.</x:v>
      </x:c>
      <x:c r="G488" s="115" t="str">
        <x:v>de_k10_st04_diagnose_vergleichen</x:v>
      </x:c>
      <x:c r="H488" s="176" t="e">
        <x:f>HYPERLINK("schueler/de_k10_st04_diagnose_vergleichen_app.html","Lernmodul öffnen")</x:f>
      </x:c>
      <x:c r="I488" s="177" t="e">
        <x:f>HYPERLINK("lehrer/de_k10_st04_diagnose_vergleichen_orga.html","Vorbereitung öffnen")</x:f>
      </x:c>
    </x:row>
    <x:row r="489" ht="65" customHeight="1">
      <x:c r="A489" s="142" t="n">
        <x:v>10</x:v>
      </x:c>
      <x:c r="B489" s="115" t="str">
        <x:v>Schreiben</x:v>
      </x:c>
      <x:c r="C489" s="148" t="n">
        <x:v>5</x:v>
      </x:c>
      <x:c r="D489" s="115" t="str">
        <x:v>Diagnose und Prüfungsstrategie: Informationen prüfen und ordnen</x:v>
      </x:c>
      <x:c r="E489" s="115" t="str">
        <x:v>Informationen aus vorgegebenen Quellen auswählen; Fundstellen notieren und geordnet ablegen. Grundlegende Sicherung für Lernende mit HSA-Niveau beziehungsweise zusätzlichem Förderbedarf; kurze Materialien und feste Arbeitsschritte.</x:v>
      </x:c>
      <x:c r="F489" s="115" t="str">
        <x:v>Recherchefrage entwickeln; Quellen prüfen, Informationen abgleichen und korrekt dokumentieren. RSA-orientiert: vollständige Anforderungsbreite der Klassenstufe 10, selbstständige Planung, Analyse und reflektierte Bewertung.</x:v>
      </x:c>
      <x:c r="G489" s="115" t="str">
        <x:v>de_k10_st05_diagnose_recherche</x:v>
      </x:c>
      <x:c r="H489" s="176" t="e">
        <x:f>HYPERLINK("schueler/de_k10_st05_diagnose_recherche_app.html","Lernmodul öffnen")</x:f>
      </x:c>
      <x:c r="I489" s="177" t="e">
        <x:f>HYPERLINK("lehrer/de_k10_st05_diagnose_recherche_orga.html","Vorbereitung öffnen")</x:f>
      </x:c>
    </x:row>
    <x:row r="490" ht="65" customHeight="1">
      <x:c r="A490" s="142" t="n">
        <x:v>10</x:v>
      </x:c>
      <x:c r="B490" s="115" t="str">
        <x:v>Schreiben</x:v>
      </x:c>
      <x:c r="C490" s="148" t="n">
        <x:v>6</x:v>
      </x:c>
      <x:c r="D490" s="115" t="str">
        <x:v>Diagnose und Prüfungsstrategie: Produkt planen</x:v>
      </x:c>
      <x:c r="E490" s="115" t="str">
        <x:v>Für individueller Arbeitsplan einen vorgegebenen Arbeitsplan ergänzen; Aufgaben verteilen. Grundlegende Sicherung für Lernende mit HSA-Niveau beziehungsweise zusätzlichem Förderbedarf; kurze Materialien und feste Arbeitsschritte.</x:v>
      </x:c>
      <x:c r="F490" s="115" t="str">
        <x:v>Für individueller Arbeitsplan Zielgruppe, Aufbau, Medienwahl, Zeitplan und Qualitätskontrolle selbstständig festlegen. RSA-orientiert: vollständige Anforderungsbreite der Klassenstufe 10, selbstständige Planung, Analyse und reflektierte Bewertung.</x:v>
      </x:c>
      <x:c r="G490" s="115" t="str">
        <x:v>de_k10_st06_diagnose_planen</x:v>
      </x:c>
      <x:c r="H490" s="176" t="e">
        <x:f>HYPERLINK("schueler/de_k10_st06_diagnose_planen_app.html","Lernmodul öffnen")</x:f>
      </x:c>
      <x:c r="I490" s="177" t="e">
        <x:f>HYPERLINK("lehrer/de_k10_st06_diagnose_planen_orga.html","Vorbereitung öffnen")</x:f>
      </x:c>
    </x:row>
    <x:row r="491" ht="65" customHeight="1">
      <x:c r="A491" s="142" t="n">
        <x:v>10</x:v>
      </x:c>
      <x:c r="B491" s="115" t="str">
        <x:v>Schreiben</x:v>
      </x:c>
      <x:c r="C491" s="148" t="n">
        <x:v>7</x:v>
      </x:c>
      <x:c r="D491" s="115" t="str">
        <x:v>Diagnose und Prüfungsstrategie: Produkt erstellen</x:v>
      </x:c>
      <x:c r="E491" s="115" t="str">
        <x:v>Individueller arbeitsplan mit Vorlage und klaren Teilaufträgen erstellen. Grundlegende Sicherung für Lernende mit HSA-Niveau beziehungsweise zusätzlichem Förderbedarf; kurze Materialien und feste Arbeitsschritte.</x:v>
      </x:c>
      <x:c r="F491" s="115" t="str">
        <x:v>Individueller arbeitsplan selbstständig, adressatengerecht und quellenbewusst erstellen. RSA-orientiert: vollständige Anforderungsbreite der Klassenstufe 10, selbstständige Planung, Analyse und reflektierte Bewertung.</x:v>
      </x:c>
      <x:c r="G491" s="115" t="str">
        <x:v>de_k10_st07_diagnose_erstellen</x:v>
      </x:c>
      <x:c r="H491" s="176" t="e">
        <x:f>HYPERLINK("schueler/de_k10_st07_diagnose_erstellen_app.html","Lernmodul öffnen")</x:f>
      </x:c>
      <x:c r="I491" s="177" t="e">
        <x:f>HYPERLINK("lehrer/de_k10_st07_diagnose_erstellen_orga.html","Vorbereitung öffnen")</x:f>
      </x:c>
    </x:row>
    <x:row r="492" ht="65" customHeight="1">
      <x:c r="A492" s="142" t="n">
        <x:v>10</x:v>
      </x:c>
      <x:c r="B492" s="115" t="str">
        <x:v>Sprechen und Zuhören</x:v>
      </x:c>
      <x:c r="C492" s="148" t="n">
        <x:v>8</x:v>
      </x:c>
      <x:c r="D492" s="115" t="str">
        <x:v>Diagnose und Prüfungsstrategie: präsentieren und reflektieren</x:v>
      </x:c>
      <x:c r="E492" s="115" t="str">
        <x:v>Produkt kurz vorstellen; Rückmeldung anhand weniger Kriterien geben und annehmen. Grundlegende Sicherung für Lernende mit HSA-Niveau beziehungsweise zusätzlichem Förderbedarf; kurze Materialien und feste Arbeitsschritte.</x:v>
      </x:c>
      <x:c r="F492" s="115" t="str">
        <x:v>Produkt überzeugend präsentieren; Arbeitsprozess, Quellenwahl und Wirkung kritisch reflektieren. RSA-orientiert: vollständige Anforderungsbreite der Klassenstufe 10, selbstständige Planung, Analyse und reflektierte Bewertung.</x:v>
      </x:c>
      <x:c r="G492" s="115" t="str">
        <x:v>de_k10_st08_diagnose_reflexion</x:v>
      </x:c>
      <x:c r="H492" s="176" t="e">
        <x:f>HYPERLINK("schueler/de_k10_st08_diagnose_reflexion_app.html","Lernmodul öffnen")</x:f>
      </x:c>
      <x:c r="I492" s="177" t="e">
        <x:f>HYPERLINK("lehrer/de_k10_st08_diagnose_reflexion_orga.html","Vorbereitung öffnen")</x:f>
      </x:c>
    </x:row>
    <x:row r="493" ht="65" customHeight="1">
      <x:c r="A493" s="142" t="n">
        <x:v>10</x:v>
      </x:c>
      <x:c r="B493" s="115" t="str">
        <x:v>Sprechen und Zuhören</x:v>
      </x:c>
      <x:c r="C493" s="148" t="n">
        <x:v>9</x:v>
      </x:c>
      <x:c r="D493" s="115" t="str">
        <x:v>Klassisches Drama: Hör- oder Leseeinstieg gestalten</x:v>
      </x:c>
      <x:c r="E493" s="115" t="str">
        <x:v>Einstieg über Bild, Hörtext oder kurzen Auszug; Vorwissen zu Drama der Klassik oder des Sturm und Drang sammeln und zentrale Wörter klären. Grundlegende Sicherung für Lernende mit HSA-Niveau beziehungsweise zusätzlichem Förderbedarf; kurze Materialien und feste Arbeitsschritte.</x:v>
      </x:c>
      <x:c r="F493" s="115" t="str">
        <x:v>Aus Titel, Kontext und Gestaltung Erwartungen an Drama der Klassik oder des Sturm und Drang ableiten; erste Hypothesen formulieren und begründen. RSA-orientiert: vollständige Anforderungsbreite der Klassenstufe 10, selbstständige Planung, Analyse und reflektierte Bewertung.</x:v>
      </x:c>
      <x:c r="G493" s="115" t="str">
        <x:v>de_k10_st09_drama_klassik_einstieg</x:v>
      </x:c>
      <x:c r="H493" s="176" t="e">
        <x:f>HYPERLINK("schueler/de_k10_st09_drama_klassik_einstieg_app.html","Lernmodul öffnen")</x:f>
      </x:c>
      <x:c r="I493" s="177" t="e">
        <x:f>HYPERLINK("lehrer/de_k10_st09_drama_klassik_einstieg_orga.html","Vorbereitung öffnen")</x:f>
      </x:c>
    </x:row>
    <x:row r="494" ht="65" customHeight="1">
      <x:c r="A494" s="142" t="n">
        <x:v>10</x:v>
      </x:c>
      <x:c r="B494" s="115" t="str">
        <x:v>Lesen/Umgang mit Texten</x:v>
      </x:c>
      <x:c r="C494" s="148" t="n">
        <x:v>10</x:v>
      </x:c>
      <x:c r="D494" s="115" t="str">
        <x:v>Klassisches Drama: den Text mit Lesestrategien erschließen</x:v>
      </x:c>
      <x:c r="E494" s="115" t="str">
        <x:v>Text abschnittsweise lesen; Schlüsselwörter markieren und den Inhalt mit Leitfragen sichern. Grundlegende Sicherung für Lernende mit HSA-Niveau beziehungsweise zusätzlichem Förderbedarf; kurze Materialien und feste Arbeitsschritte.</x:v>
      </x:c>
      <x:c r="F494" s="115" t="str">
        <x:v>Lesetechnik passend zum Ziel wählen; Sinnabschnitte, Schlüsselstellen und offene Fragen selbstständig festhalten. RSA-orientiert: vollständige Anforderungsbreite der Klassenstufe 10, selbstständige Planung, Analyse und reflektierte Bewertung.</x:v>
      </x:c>
      <x:c r="G494" s="115" t="str">
        <x:v>de_k10_st10_drama_klassik_erschliessen</x:v>
      </x:c>
      <x:c r="H494" s="176" t="e">
        <x:f>HYPERLINK("schueler/de_k10_st10_drama_klassik_erschliessen_app.html","Lernmodul öffnen")</x:f>
      </x:c>
      <x:c r="I494" s="177" t="e">
        <x:f>HYPERLINK("lehrer/de_k10_st10_drama_klassik_erschliessen_orga.html","Vorbereitung öffnen")</x:f>
      </x:c>
    </x:row>
    <x:row r="495" ht="65" customHeight="1">
      <x:c r="A495" s="142" t="n">
        <x:v>10</x:v>
      </x:c>
      <x:c r="B495" s="115" t="str">
        <x:v>Lesen/Umgang mit Texten</x:v>
      </x:c>
      <x:c r="C495" s="148" t="n">
        <x:v>11</x:v>
      </x:c>
      <x:c r="D495" s="115" t="str">
        <x:v>Klassisches Drama: Gattungsmerkmale erkennen</x:v>
      </x:c>
      <x:c r="E495" s="115" t="str">
        <x:v>Merkmale wie Akt, Szene, Konflikt, Figurenkonstellation mithilfe einer Checkliste zuordnen und an Textstellen zeigen. Grundlegende Sicherung für Lernende mit HSA-Niveau beziehungsweise zusätzlichem Förderbedarf; kurze Materialien und feste Arbeitsschritte.</x:v>
      </x:c>
      <x:c r="F495" s="115" t="str">
        <x:v>Merkmale wie Akt, Szene, Konflikt, Figurenkonstellation textnah belegen und ihre Funktion für Aufbau und Wirkung erklären. RSA-orientiert: vollständige Anforderungsbreite der Klassenstufe 10, selbstständige Planung, Analyse und reflektierte Bewertung.</x:v>
      </x:c>
      <x:c r="G495" s="115" t="str">
        <x:v>de_k10_st11_drama_klassik_merkmale</x:v>
      </x:c>
      <x:c r="H495" s="176" t="e">
        <x:f>HYPERLINK("schueler/de_k10_st11_drama_klassik_merkmale_app.html","Lernmodul öffnen")</x:f>
      </x:c>
      <x:c r="I495" s="177" t="e">
        <x:f>HYPERLINK("lehrer/de_k10_st11_drama_klassik_merkmale_orga.html","Vorbereitung öffnen")</x:f>
      </x:c>
    </x:row>
    <x:row r="496" ht="65" customHeight="1">
      <x:c r="A496" s="142" t="n">
        <x:v>10</x:v>
      </x:c>
      <x:c r="B496" s="115" t="str">
        <x:v>Lesen/Umgang mit Texten</x:v>
      </x:c>
      <x:c r="C496" s="148" t="n">
        <x:v>12</x:v>
      </x:c>
      <x:c r="D496" s="115" t="str">
        <x:v>Klassisches Drama: Figuren, Handlung und Konflikt untersuchen</x:v>
      </x:c>
      <x:c r="E496" s="115" t="str">
        <x:v>Epochenbezug, Menschenbild und Dramaturgie mit Figurenkarten oder Handlungsstreifen ordnen; einfache Belege auswählen. Grundlegende Sicherung für Lernende mit HSA-Niveau beziehungsweise zusätzlichem Förderbedarf; kurze Materialien und feste Arbeitsschritte.</x:v>
      </x:c>
      <x:c r="F496" s="115" t="str">
        <x:v>Epochenbezug, Menschenbild und Dramaturgie in ihrem Zusammenhang untersuchen; Schlussfolgerungen mit passenden Textbelegen absichern. RSA-orientiert: vollständige Anforderungsbreite der Klassenstufe 10, selbstständige Planung, Analyse und reflektierte Bewertung.</x:v>
      </x:c>
      <x:c r="G496" s="115" t="str">
        <x:v>de_k10_st12_drama_klassik_figuren_handlung</x:v>
      </x:c>
      <x:c r="H496" s="176" t="e">
        <x:f>HYPERLINK("schueler/de_k10_st12_drama_klassik_figuren_handlung_app.html","Lernmodul öffnen")</x:f>
      </x:c>
      <x:c r="I496" s="177" t="e">
        <x:f>HYPERLINK("lehrer/de_k10_st12_drama_klassik_figuren_handlung_orga.html","Vorbereitung öffnen")</x:f>
      </x:c>
    </x:row>
    <x:row r="497" ht="65" customHeight="1">
      <x:c r="A497" s="142" t="n">
        <x:v>10</x:v>
      </x:c>
      <x:c r="B497" s="115" t="str">
        <x:v>Sprache untersuchen</x:v>
      </x:c>
      <x:c r="C497" s="148" t="n">
        <x:v>13</x:v>
      </x:c>
      <x:c r="D497" s="115" t="str">
        <x:v>Klassisches Drama: Sprache und Wirkung untersuchen</x:v>
      </x:c>
      <x:c r="E497" s="115" t="str">
        <x:v>Beispiele für Dialogführung, Monolog, rhetorische Mittel markieren und ihre Wirkung mit vorgegebenen Begriffen beschreiben. Grundlegende Sicherung für Lernende mit HSA-Niveau beziehungsweise zusätzlichem Förderbedarf; kurze Materialien und feste Arbeitsschritte.</x:v>
      </x:c>
      <x:c r="F497" s="115" t="str">
        <x:v>Dialogführung, Monolog, rhetorische Mittel fachsprachlich analysieren und auf Figurenzeichnung, Stimmung oder Aussage beziehen. RSA-orientiert: vollständige Anforderungsbreite der Klassenstufe 10, selbstständige Planung, Analyse und reflektierte Bewertung.</x:v>
      </x:c>
      <x:c r="G497" s="115" t="str">
        <x:v>de_k10_st13_drama_klassik_sprache_wirkung</x:v>
      </x:c>
      <x:c r="H497" s="176" t="e">
        <x:f>HYPERLINK("schueler/de_k10_st13_drama_klassik_sprache_wirkung_app.html","Lernmodul öffnen")</x:f>
      </x:c>
      <x:c r="I497" s="177" t="e">
        <x:f>HYPERLINK("lehrer/de_k10_st13_drama_klassik_sprache_wirkung_orga.html","Vorbereitung öffnen")</x:f>
      </x:c>
    </x:row>
    <x:row r="498" ht="65" customHeight="1">
      <x:c r="A498" s="142" t="n">
        <x:v>10</x:v>
      </x:c>
      <x:c r="B498" s="115" t="str">
        <x:v>Schreiben</x:v>
      </x:c>
      <x:c r="C498" s="148" t="n">
        <x:v>14</x:v>
      </x:c>
      <x:c r="D498" s="115" t="str">
        <x:v>Klassisches Drama: eine Deutung oder Perspektive vorbereiten</x:v>
      </x:c>
      <x:c r="E498" s="115" t="str">
        <x:v>Eine zentrale Aussage mit Satzstartern formulieren; Beleg und Erklärung in einem Schreibrahmen verbinden. Grundlegende Sicherung für Lernende mit HSA-Niveau beziehungsweise zusätzlichem Förderbedarf; kurze Materialien und feste Arbeitsschritte.</x:v>
      </x:c>
      <x:c r="F498" s="115" t="str">
        <x:v>Eine schlüssige Deutungshypothese entwickeln; mehrere Belege auswählen, ordnen und gegeneinander abwägen. RSA-orientiert: vollständige Anforderungsbreite der Klassenstufe 10, selbstständige Planung, Analyse und reflektierte Bewertung.</x:v>
      </x:c>
      <x:c r="G498" s="115" t="str">
        <x:v>de_k10_st14_drama_klassik_deutung_planen</x:v>
      </x:c>
      <x:c r="H498" s="176" t="e">
        <x:f>HYPERLINK("schueler/de_k10_st14_drama_klassik_deutung_planen_app.html","Lernmodul öffnen")</x:f>
      </x:c>
      <x:c r="I498" s="177" t="e">
        <x:f>HYPERLINK("lehrer/de_k10_st14_drama_klassik_deutung_planen_orga.html","Vorbereitung öffnen")</x:f>
      </x:c>
    </x:row>
    <x:row r="499" ht="65" customHeight="1">
      <x:c r="A499" s="142" t="n">
        <x:v>10</x:v>
      </x:c>
      <x:c r="B499" s="115" t="str">
        <x:v>Schreiben</x:v>
      </x:c>
      <x:c r="C499" s="148" t="n">
        <x:v>15</x:v>
      </x:c>
      <x:c r="D499" s="115" t="str">
        <x:v>Klassisches Drama: Szenenanalyse gestalten</x:v>
      </x:c>
      <x:c r="E499" s="115" t="str">
        <x:v>Szenenanalyse nach klaren Vorgaben erstellen; Hilfekarten und Wortbank nutzen. Grundlegende Sicherung für Lernende mit HSA-Niveau beziehungsweise zusätzlichem Förderbedarf; kurze Materialien und feste Arbeitsschritte.</x:v>
      </x:c>
      <x:c r="F499" s="115" t="str">
        <x:v>Szenenanalyse eigenständig, textnah und sprachlich variabel gestalten; Wirkung bewusst planen. RSA-orientiert: vollständige Anforderungsbreite der Klassenstufe 10, selbstständige Planung, Analyse und reflektierte Bewertung.</x:v>
      </x:c>
      <x:c r="G499" s="115" t="str">
        <x:v>de_k10_st15_drama_klassik_produkt</x:v>
      </x:c>
      <x:c r="H499" s="176" t="e">
        <x:f>HYPERLINK("schueler/de_k10_st15_drama_klassik_produkt_app.html","Lernmodul öffnen")</x:f>
      </x:c>
      <x:c r="I499" s="177" t="e">
        <x:f>HYPERLINK("lehrer/de_k10_st15_drama_klassik_produkt_orga.html","Vorbereitung öffnen")</x:f>
      </x:c>
    </x:row>
    <x:row r="500" ht="65" customHeight="1">
      <x:c r="A500" s="142" t="n">
        <x:v>10</x:v>
      </x:c>
      <x:c r="B500" s="115" t="str">
        <x:v>Sprechen und Zuhören</x:v>
      </x:c>
      <x:c r="C500" s="148" t="n">
        <x:v>16</x:v>
      </x:c>
      <x:c r="D500" s="115" t="str">
        <x:v>Klassisches Drama: Ergebnisse präsentieren und reflektieren</x:v>
      </x:c>
      <x:c r="E500" s="115" t="str">
        <x:v>Ergebnis kurz vorstellen; zwei vereinbarte Kriterien für Rückmeldung anwenden. Grundlegende Sicherung für Lernende mit HSA-Niveau beziehungsweise zusätzlichem Förderbedarf; kurze Materialien und feste Arbeitsschritte.</x:v>
      </x:c>
      <x:c r="F500" s="115" t="str">
        <x:v>Ergebnis adressatenbezogen präsentieren; Rückmeldungen begründen und die eigene Deutung oder Gestaltung überarbeiten. RSA-orientiert: vollständige Anforderungsbreite der Klassenstufe 10, selbstständige Planung, Analyse und reflektierte Bewertung.</x:v>
      </x:c>
      <x:c r="G500" s="115" t="str">
        <x:v>de_k10_st16_drama_klassik_praesentieren</x:v>
      </x:c>
      <x:c r="H500" s="176" t="e">
        <x:f>HYPERLINK("schueler/de_k10_st16_drama_klassik_praesentieren_app.html","Lernmodul öffnen")</x:f>
      </x:c>
      <x:c r="I500" s="177" t="e">
        <x:f>HYPERLINK("lehrer/de_k10_st16_drama_klassik_praesentieren_orga.html","Vorbereitung öffnen")</x:f>
      </x:c>
    </x:row>
    <x:row r="501" ht="65" customHeight="1">
      <x:c r="A501" s="142" t="n">
        <x:v>10</x:v>
      </x:c>
      <x:c r="B501" s="115" t="str">
        <x:v>Sprechen und Zuhören</x:v>
      </x:c>
      <x:c r="C501" s="148" t="n">
        <x:v>17</x:v>
      </x:c>
      <x:c r="D501" s="115" t="str">
        <x:v>Modernes oder episches Drama: Hör- oder Leseeinstieg gestalten</x:v>
      </x:c>
      <x:c r="E501" s="115" t="str">
        <x:v>Einstieg über Bild, Hörtext oder kurzen Auszug; Vorwissen zu modernes beziehungsweise episches Drama sammeln und zentrale Wörter klären. Grundlegende Sicherung für Lernende mit HSA-Niveau beziehungsweise zusätzlichem Förderbedarf; kurze Materialien und feste Arbeitsschritte.</x:v>
      </x:c>
      <x:c r="F501" s="115" t="str">
        <x:v>Aus Titel, Kontext und Gestaltung Erwartungen an modernes beziehungsweise episches Drama ableiten; erste Hypothesen formulieren und begründen. RSA-orientiert: vollständige Anforderungsbreite der Klassenstufe 10, selbstständige Planung, Analyse und reflektierte Bewertung.</x:v>
      </x:c>
      <x:c r="G501" s="115" t="str">
        <x:v>de_k10_st17_drama_modern_einstieg</x:v>
      </x:c>
      <x:c r="H501" s="176" t="e">
        <x:f>HYPERLINK("schueler/de_k10_st17_drama_modern_einstieg_app.html","Lernmodul öffnen")</x:f>
      </x:c>
      <x:c r="I501" s="177" t="e">
        <x:f>HYPERLINK("lehrer/de_k10_st17_drama_modern_einstieg_orga.html","Vorbereitung öffnen")</x:f>
      </x:c>
    </x:row>
    <x:row r="502" ht="65" customHeight="1">
      <x:c r="A502" s="142" t="n">
        <x:v>10</x:v>
      </x:c>
      <x:c r="B502" s="115" t="str">
        <x:v>Lesen/Umgang mit Texten</x:v>
      </x:c>
      <x:c r="C502" s="148" t="n">
        <x:v>18</x:v>
      </x:c>
      <x:c r="D502" s="115" t="str">
        <x:v>Modernes oder episches Drama: den Text mit Lesestrategien erschließen</x:v>
      </x:c>
      <x:c r="E502" s="115" t="str">
        <x:v>Text abschnittsweise lesen; Schlüsselwörter markieren und den Inhalt mit Leitfragen sichern. Grundlegende Sicherung für Lernende mit HSA-Niveau beziehungsweise zusätzlichem Förderbedarf; kurze Materialien und feste Arbeitsschritte.</x:v>
      </x:c>
      <x:c r="F502" s="115" t="str">
        <x:v>Lesetechnik passend zum Ziel wählen; Sinnabschnitte, Schlüsselstellen und offene Fragen selbstständig festhalten. RSA-orientiert: vollständige Anforderungsbreite der Klassenstufe 10, selbstständige Planung, Analyse und reflektierte Bewertung.</x:v>
      </x:c>
      <x:c r="G502" s="115" t="str">
        <x:v>de_k10_st18_drama_modern_erschliessen</x:v>
      </x:c>
      <x:c r="H502" s="176" t="e">
        <x:f>HYPERLINK("schueler/de_k10_st18_drama_modern_erschliessen_app.html","Lernmodul öffnen")</x:f>
      </x:c>
      <x:c r="I502" s="177" t="e">
        <x:f>HYPERLINK("lehrer/de_k10_st18_drama_modern_erschliessen_orga.html","Vorbereitung öffnen")</x:f>
      </x:c>
    </x:row>
    <x:row r="503" ht="65" customHeight="1">
      <x:c r="A503" s="142" t="n">
        <x:v>10</x:v>
      </x:c>
      <x:c r="B503" s="115" t="str">
        <x:v>Lesen/Umgang mit Texten</x:v>
      </x:c>
      <x:c r="C503" s="148" t="n">
        <x:v>19</x:v>
      </x:c>
      <x:c r="D503" s="115" t="str">
        <x:v>Modernes oder episches Drama: Gattungsmerkmale erkennen</x:v>
      </x:c>
      <x:c r="E503" s="115" t="str">
        <x:v>Merkmale wie offene Form, Verfremdung, gesellschaftlicher Konflikt mithilfe einer Checkliste zuordnen und an Textstellen zeigen. Grundlegende Sicherung für Lernende mit HSA-Niveau beziehungsweise zusätzlichem Förderbedarf; kurze Materialien und feste Arbeitsschritte.</x:v>
      </x:c>
      <x:c r="F503" s="115" t="str">
        <x:v>Merkmale wie offene Form, Verfremdung, gesellschaftlicher Konflikt textnah belegen und ihre Funktion für Aufbau und Wirkung erklären. RSA-orientiert: vollständige Anforderungsbreite der Klassenstufe 10, selbstständige Planung, Analyse und reflektierte Bewertung.</x:v>
      </x:c>
      <x:c r="G503" s="115" t="str">
        <x:v>de_k10_st19_drama_modern_merkmale</x:v>
      </x:c>
      <x:c r="H503" s="176" t="e">
        <x:f>HYPERLINK("schueler/de_k10_st19_drama_modern_merkmale_app.html","Lernmodul öffnen")</x:f>
      </x:c>
      <x:c r="I503" s="177" t="e">
        <x:f>HYPERLINK("lehrer/de_k10_st19_drama_modern_merkmale_orga.html","Vorbereitung öffnen")</x:f>
      </x:c>
    </x:row>
    <x:row r="504" ht="65" customHeight="1">
      <x:c r="A504" s="142" t="n">
        <x:v>10</x:v>
      </x:c>
      <x:c r="B504" s="115" t="str">
        <x:v>Lesen/Umgang mit Texten</x:v>
      </x:c>
      <x:c r="C504" s="148" t="n">
        <x:v>20</x:v>
      </x:c>
      <x:c r="D504" s="115" t="str">
        <x:v>Modernes oder episches Drama: Figuren, Handlung und Konflikt untersuchen</x:v>
      </x:c>
      <x:c r="E504" s="115" t="str">
        <x:v>Dramenkonzept, Inszenierung und Wirkung mit Figurenkarten oder Handlungsstreifen ordnen; einfache Belege auswählen. Grundlegende Sicherung für Lernende mit HSA-Niveau beziehungsweise zusätzlichem Förderbedarf; kurze Materialien und feste Arbeitsschritte.</x:v>
      </x:c>
      <x:c r="F504" s="115" t="str">
        <x:v>Dramenkonzept, Inszenierung und Wirkung in ihrem Zusammenhang untersuchen; Schlussfolgerungen mit passenden Textbelegen absichern. RSA-orientiert: vollständige Anforderungsbreite der Klassenstufe 10, selbstständige Planung, Analyse und reflektierte Bewertung.</x:v>
      </x:c>
      <x:c r="G504" s="115" t="str">
        <x:v>de_k10_st20_drama_modern_figuren_handlung</x:v>
      </x:c>
      <x:c r="H504" s="176" t="e">
        <x:f>HYPERLINK("schueler/de_k10_st20_drama_modern_figuren_handlung_app.html","Lernmodul öffnen")</x:f>
      </x:c>
      <x:c r="I504" s="177" t="e">
        <x:f>HYPERLINK("lehrer/de_k10_st20_drama_modern_figuren_handlung_orga.html","Vorbereitung öffnen")</x:f>
      </x:c>
    </x:row>
    <x:row r="505" ht="65" customHeight="1">
      <x:c r="A505" s="142" t="n">
        <x:v>10</x:v>
      </x:c>
      <x:c r="B505" s="115" t="str">
        <x:v>Sprache untersuchen</x:v>
      </x:c>
      <x:c r="C505" s="148" t="n">
        <x:v>21</x:v>
      </x:c>
      <x:c r="D505" s="115" t="str">
        <x:v>Modernes oder episches Drama: Sprache und Wirkung untersuchen</x:v>
      </x:c>
      <x:c r="E505" s="115" t="str">
        <x:v>Beispiele für Regieanweisung, Montage, kommentierende Elemente markieren und ihre Wirkung mit vorgegebenen Begriffen beschreiben. Grundlegende Sicherung für Lernende mit HSA-Niveau beziehungsweise zusätzlichem Förderbedarf; kurze Materialien und feste Arbeitsschritte.</x:v>
      </x:c>
      <x:c r="F505" s="115" t="str">
        <x:v>Regieanweisung, Montage, kommentierende Elemente fachsprachlich analysieren und auf Figurenzeichnung, Stimmung oder Aussage beziehen. RSA-orientiert: vollständige Anforderungsbreite der Klassenstufe 10, selbstständige Planung, Analyse und reflektierte Bewertung.</x:v>
      </x:c>
      <x:c r="G505" s="115" t="str">
        <x:v>de_k10_st21_drama_modern_sprache_wirkung</x:v>
      </x:c>
      <x:c r="H505" s="176" t="e">
        <x:f>HYPERLINK("schueler/de_k10_st21_drama_modern_sprache_wirkung_app.html","Lernmodul öffnen")</x:f>
      </x:c>
      <x:c r="I505" s="177" t="e">
        <x:f>HYPERLINK("lehrer/de_k10_st21_drama_modern_sprache_wirkung_orga.html","Vorbereitung öffnen")</x:f>
      </x:c>
    </x:row>
    <x:row r="506" ht="65" customHeight="1">
      <x:c r="A506" s="142" t="n">
        <x:v>10</x:v>
      </x:c>
      <x:c r="B506" s="115" t="str">
        <x:v>Schreiben</x:v>
      </x:c>
      <x:c r="C506" s="148" t="n">
        <x:v>22</x:v>
      </x:c>
      <x:c r="D506" s="115" t="str">
        <x:v>Modernes oder episches Drama: eine Deutung oder Perspektive vorbereiten</x:v>
      </x:c>
      <x:c r="E506" s="115" t="str">
        <x:v>Eine zentrale Aussage mit Satzstartern formulieren; Beleg und Erklärung in einem Schreibrahmen verbinden. Grundlegende Sicherung für Lernende mit HSA-Niveau beziehungsweise zusätzlichem Förderbedarf; kurze Materialien und feste Arbeitsschritte.</x:v>
      </x:c>
      <x:c r="F506" s="115" t="str">
        <x:v>Eine schlüssige Deutungshypothese entwickeln; mehrere Belege auswählen, ordnen und gegeneinander abwägen. RSA-orientiert: vollständige Anforderungsbreite der Klassenstufe 10, selbstständige Planung, Analyse und reflektierte Bewertung.</x:v>
      </x:c>
      <x:c r="G506" s="115" t="str">
        <x:v>de_k10_st22_drama_modern_deutung_planen</x:v>
      </x:c>
      <x:c r="H506" s="176" t="e">
        <x:f>HYPERLINK("schueler/de_k10_st22_drama_modern_deutung_planen_app.html","Lernmodul öffnen")</x:f>
      </x:c>
      <x:c r="I506" s="177" t="e">
        <x:f>HYPERLINK("lehrer/de_k10_st22_drama_modern_deutung_planen_orga.html","Vorbereitung öffnen")</x:f>
      </x:c>
    </x:row>
    <x:row r="507" ht="65" customHeight="1">
      <x:c r="A507" s="142" t="n">
        <x:v>10</x:v>
      </x:c>
      <x:c r="B507" s="115" t="str">
        <x:v>Schreiben</x:v>
      </x:c>
      <x:c r="C507" s="148" t="n">
        <x:v>23</x:v>
      </x:c>
      <x:c r="D507" s="115" t="str">
        <x:v>Modernes oder episches Drama: Inszenierungsvergleich gestalten</x:v>
      </x:c>
      <x:c r="E507" s="115" t="str">
        <x:v>Inszenierungsvergleich nach klaren Vorgaben erstellen; Hilfekarten und Wortbank nutzen. Grundlegende Sicherung für Lernende mit HSA-Niveau beziehungsweise zusätzlichem Förderbedarf; kurze Materialien und feste Arbeitsschritte.</x:v>
      </x:c>
      <x:c r="F507" s="115" t="str">
        <x:v>Inszenierungsvergleich eigenständig, textnah und sprachlich variabel gestalten; Wirkung bewusst planen. RSA-orientiert: vollständige Anforderungsbreite der Klassenstufe 10, selbstständige Planung, Analyse und reflektierte Bewertung.</x:v>
      </x:c>
      <x:c r="G507" s="115" t="str">
        <x:v>de_k10_st23_drama_modern_produkt</x:v>
      </x:c>
      <x:c r="H507" s="176" t="e">
        <x:f>HYPERLINK("schueler/de_k10_st23_drama_modern_produkt_app.html","Lernmodul öffnen")</x:f>
      </x:c>
      <x:c r="I507" s="177" t="e">
        <x:f>HYPERLINK("lehrer/de_k10_st23_drama_modern_produkt_orga.html","Vorbereitung öffnen")</x:f>
      </x:c>
    </x:row>
    <x:row r="508" ht="65" customHeight="1">
      <x:c r="A508" s="142" t="n">
        <x:v>10</x:v>
      </x:c>
      <x:c r="B508" s="115" t="str">
        <x:v>Sprechen und Zuhören</x:v>
      </x:c>
      <x:c r="C508" s="148" t="n">
        <x:v>24</x:v>
      </x:c>
      <x:c r="D508" s="115" t="str">
        <x:v>Modernes oder episches Drama: Ergebnisse präsentieren und reflektieren</x:v>
      </x:c>
      <x:c r="E508" s="115" t="str">
        <x:v>Ergebnis kurz vorstellen; zwei vereinbarte Kriterien für Rückmeldung anwenden. Grundlegende Sicherung für Lernende mit HSA-Niveau beziehungsweise zusätzlichem Förderbedarf; kurze Materialien und feste Arbeitsschritte.</x:v>
      </x:c>
      <x:c r="F508" s="115" t="str">
        <x:v>Ergebnis adressatenbezogen präsentieren; Rückmeldungen begründen und die eigene Deutung oder Gestaltung überarbeiten. RSA-orientiert: vollständige Anforderungsbreite der Klassenstufe 10, selbstständige Planung, Analyse und reflektierte Bewertung.</x:v>
      </x:c>
      <x:c r="G508" s="115" t="str">
        <x:v>de_k10_st24_drama_modern_praesentieren</x:v>
      </x:c>
      <x:c r="H508" s="176" t="e">
        <x:f>HYPERLINK("schueler/de_k10_st24_drama_modern_praesentieren_app.html","Lernmodul öffnen")</x:f>
      </x:c>
      <x:c r="I508" s="177" t="e">
        <x:f>HYPERLINK("lehrer/de_k10_st24_drama_modern_praesentieren_orga.html","Vorbereitung öffnen")</x:f>
      </x:c>
    </x:row>
    <x:row r="509" ht="65" customHeight="1">
      <x:c r="A509" s="142" t="n">
        <x:v>10</x:v>
      </x:c>
      <x:c r="B509" s="115" t="str">
        <x:v>Lesen/Umgang mit Texten</x:v>
      </x:c>
      <x:c r="C509" s="148" t="n">
        <x:v>25</x:v>
      </x:c>
      <x:c r="D509" s="115" t="str">
        <x:v>Dialektisch erörtern: Beispieltexte untersuchen</x:v>
      </x:c>
      <x:c r="E509" s="115" t="str">
        <x:v>Ein Beispiel für dialektische Erörterung lesen; Aufbau und typische Formulierungen farbig kennzeichnen. Grundlegende Sicherung für Lernende mit HSA-Niveau beziehungsweise zusätzlichem Förderbedarf; kurze Materialien und feste Arbeitsschritte.</x:v>
      </x:c>
      <x:c r="F509" s="115" t="str">
        <x:v>Mehrere Beispiele für dialektische Erörterung vergleichen; Funktion, Adressat und Qualitätsunterschiede herausarbeiten. RSA-orientiert: vollständige Anforderungsbreite der Klassenstufe 10, selbstständige Planung, Analyse und reflektierte Bewertung.</x:v>
      </x:c>
      <x:c r="G509" s="115" t="str">
        <x:v>de_k10_st25_eroerterung_dialektisch_beispiel</x:v>
      </x:c>
      <x:c r="H509" s="176" t="e">
        <x:f>HYPERLINK("schueler/de_k10_st25_eroerterung_dialektisch_beispiel_app.html","Lernmodul öffnen")</x:f>
      </x:c>
      <x:c r="I509" s="177" t="e">
        <x:f>HYPERLINK("lehrer/de_k10_st25_eroerterung_dialektisch_beispiel_orga.html","Vorbereitung öffnen")</x:f>
      </x:c>
    </x:row>
    <x:row r="510" ht="65" customHeight="1">
      <x:c r="A510" s="142" t="n">
        <x:v>10</x:v>
      </x:c>
      <x:c r="B510" s="115" t="str">
        <x:v>Schreiben</x:v>
      </x:c>
      <x:c r="C510" s="148" t="n">
        <x:v>26</x:v>
      </x:c>
      <x:c r="D510" s="115" t="str">
        <x:v>Dialektisch erörtern: Schreibziel und Kriterien klären</x:v>
      </x:c>
      <x:c r="E510" s="115" t="str">
        <x:v>Schreibziel „Pro- und Contra-Argumente geordnet abwägen“ verstehen; eine kurze Kriterienliste auf ein Beispiel anwenden. Grundlegende Sicherung für Lernende mit HSA-Niveau beziehungsweise zusätzlichem Förderbedarf; kurze Materialien und feste Arbeitsschritte.</x:v>
      </x:c>
      <x:c r="F510" s="115" t="str">
        <x:v>Schreibziel „Pro- und Contra-Argumente geordnet abwägen“ präzisieren; Kriterien gewichten und auf unterschiedliche Schreibsituationen übertragen. RSA-orientiert: vollständige Anforderungsbreite der Klassenstufe 10, selbstständige Planung, Analyse und reflektierte Bewertung.</x:v>
      </x:c>
      <x:c r="G510" s="115" t="str">
        <x:v>de_k10_st26_eroerterung_dialektisch_kriterien</x:v>
      </x:c>
      <x:c r="H510" s="176" t="e">
        <x:f>HYPERLINK("schueler/de_k10_st26_eroerterung_dialektisch_kriterien_app.html","Lernmodul öffnen")</x:f>
      </x:c>
      <x:c r="I510" s="177" t="e">
        <x:f>HYPERLINK("lehrer/de_k10_st26_eroerterung_dialektisch_kriterien_orga.html","Vorbereitung öffnen")</x:f>
      </x:c>
    </x:row>
    <x:row r="511" ht="65" customHeight="1">
      <x:c r="A511" s="142" t="n">
        <x:v>10</x:v>
      </x:c>
      <x:c r="B511" s="115" t="str">
        <x:v>Lesen/Umgang mit Texten</x:v>
      </x:c>
      <x:c r="C511" s="148" t="n">
        <x:v>27</x:v>
      </x:c>
      <x:c r="D511" s="115" t="str">
        <x:v>Dialektisch erörtern: Inhalte auswählen und ordnen</x:v>
      </x:c>
      <x:c r="E511" s="115" t="str">
        <x:v>Kriterien, Gewichtung, Gegenargumente und Urteil mit Leitfragen sammeln und in einer vorgegebenen Reihenfolge ordnen. Grundlegende Sicherung für Lernende mit HSA-Niveau beziehungsweise zusätzlichem Förderbedarf; kurze Materialien und feste Arbeitsschritte.</x:v>
      </x:c>
      <x:c r="F511" s="115" t="str">
        <x:v>Kriterien, Gewichtung, Gegenargumente und Urteil selbstständig auswählen, gewichten und in einer passenden Gliederung strukturieren. RSA-orientiert: vollständige Anforderungsbreite der Klassenstufe 10, selbstständige Planung, Analyse und reflektierte Bewertung.</x:v>
      </x:c>
      <x:c r="G511" s="115" t="str">
        <x:v>de_k10_st27_eroerterung_dialektisch_inhalte_ordnen</x:v>
      </x:c>
      <x:c r="H511" s="176" t="e">
        <x:f>HYPERLINK("schueler/de_k10_st27_eroerterung_dialektisch_inhalte_ordnen_app.html","Lernmodul öffnen")</x:f>
      </x:c>
      <x:c r="I511" s="177" t="e">
        <x:f>HYPERLINK("lehrer/de_k10_st27_eroerterung_dialektisch_inhalte_ordnen_orga.html","Vorbereitung öffnen")</x:f>
      </x:c>
    </x:row>
    <x:row r="512" ht="65" customHeight="1">
      <x:c r="A512" s="142" t="n">
        <x:v>10</x:v>
      </x:c>
      <x:c r="B512" s="115" t="str">
        <x:v>Sprache untersuchen</x:v>
      </x:c>
      <x:c r="C512" s="148" t="n">
        <x:v>28</x:v>
      </x:c>
      <x:c r="D512" s="115" t="str">
        <x:v>Dialektisch erörtern: passende sprachliche Mittel verwenden</x:v>
      </x:c>
      <x:c r="E512" s="115" t="str">
        <x:v>argumentative Verknüpfungen, präziser Stil, Schlussfolgerung in Übungen erkennen und nach Satzmustern anwenden. Grundlegende Sicherung für Lernende mit HSA-Niveau beziehungsweise zusätzlichem Förderbedarf; kurze Materialien und feste Arbeitsschritte.</x:v>
      </x:c>
      <x:c r="F512" s="115" t="str">
        <x:v>argumentative Verknüpfungen, präziser Stil, Schlussfolgerung hinsichtlich Wirkung und Angemessenheit prüfen und gezielt variieren. RSA-orientiert: vollständige Anforderungsbreite der Klassenstufe 10, selbstständige Planung, Analyse und reflektierte Bewertung.</x:v>
      </x:c>
      <x:c r="G512" s="115" t="str">
        <x:v>de_k10_st28_eroerterung_dialektisch_sprachmittel</x:v>
      </x:c>
      <x:c r="H512" s="176" t="e">
        <x:f>HYPERLINK("schueler/de_k10_st28_eroerterung_dialektisch_sprachmittel_app.html","Lernmodul öffnen")</x:f>
      </x:c>
      <x:c r="I512" s="177" t="e">
        <x:f>HYPERLINK("lehrer/de_k10_st28_eroerterung_dialektisch_sprachmittel_orga.html","Vorbereitung öffnen")</x:f>
      </x:c>
    </x:row>
    <x:row r="513" ht="65" customHeight="1">
      <x:c r="A513" s="142" t="n">
        <x:v>10</x:v>
      </x:c>
      <x:c r="B513" s="115" t="str">
        <x:v>Schreiben</x:v>
      </x:c>
      <x:c r="C513" s="148" t="n">
        <x:v>29</x:v>
      </x:c>
      <x:c r="D513" s="115" t="str">
        <x:v>Dialektisch erörtern: einen Schreibplan erstellen</x:v>
      </x:c>
      <x:c r="E513" s="115" t="str">
        <x:v>Einen vorstrukturierten Schreibplan ausfüllen; Einleitung, Hauptteil und Schluss festlegen. Grundlegende Sicherung für Lernende mit HSA-Niveau beziehungsweise zusätzlichem Förderbedarf; kurze Materialien und feste Arbeitsschritte.</x:v>
      </x:c>
      <x:c r="F513" s="115" t="str">
        <x:v>Einen eigenen Schreibplan mit Teilzielen, Belegen und sprachlichen Mitteln entwickeln. RSA-orientiert: vollständige Anforderungsbreite der Klassenstufe 10, selbstständige Planung, Analyse und reflektierte Bewertung.</x:v>
      </x:c>
      <x:c r="G513" s="115" t="str">
        <x:v>de_k10_st29_eroerterung_dialektisch_schreibplan</x:v>
      </x:c>
      <x:c r="H513" s="176" t="e">
        <x:f>HYPERLINK("schueler/de_k10_st29_eroerterung_dialektisch_schreibplan_app.html","Lernmodul öffnen")</x:f>
      </x:c>
      <x:c r="I513" s="177" t="e">
        <x:f>HYPERLINK("lehrer/de_k10_st29_eroerterung_dialektisch_schreibplan_orga.html","Vorbereitung öffnen")</x:f>
      </x:c>
    </x:row>
    <x:row r="514" ht="65" customHeight="1">
      <x:c r="A514" s="142" t="n">
        <x:v>10</x:v>
      </x:c>
      <x:c r="B514" s="115" t="str">
        <x:v>Schreiben</x:v>
      </x:c>
      <x:c r="C514" s="148" t="n">
        <x:v>30</x:v>
      </x:c>
      <x:c r="D514" s="115" t="str">
        <x:v>Dialektisch erörtern: einen ersten Textentwurf verfassen</x:v>
      </x:c>
      <x:c r="E514" s="115" t="str">
        <x:v>Dialektische erörterung mithilfe von Schreibrahmen, Satzanfängen und Wortbank verfassen. Grundlegende Sicherung für Lernende mit HSA-Niveau beziehungsweise zusätzlichem Förderbedarf; kurze Materialien und feste Arbeitsschritte.</x:v>
      </x:c>
      <x:c r="F514" s="115" t="str">
        <x:v>Dialektische erörterung selbstständig, adressatenbezogen und sprachlich differenziert verfassen. RSA-orientiert: vollständige Anforderungsbreite der Klassenstufe 10, selbstständige Planung, Analyse und reflektierte Bewertung.</x:v>
      </x:c>
      <x:c r="G514" s="115" t="str">
        <x:v>de_k10_st30_eroerterung_dialektisch_entwurf</x:v>
      </x:c>
      <x:c r="H514" s="176" t="e">
        <x:f>HYPERLINK("schueler/de_k10_st30_eroerterung_dialektisch_entwurf_app.html","Lernmodul öffnen")</x:f>
      </x:c>
      <x:c r="I514" s="177" t="e">
        <x:f>HYPERLINK("lehrer/de_k10_st30_eroerterung_dialektisch_entwurf_orga.html","Vorbereitung öffnen")</x:f>
      </x:c>
    </x:row>
    <x:row r="515" ht="65" customHeight="1">
      <x:c r="A515" s="142" t="n">
        <x:v>10</x:v>
      </x:c>
      <x:c r="B515" s="115" t="str">
        <x:v>Schreiben</x:v>
      </x:c>
      <x:c r="C515" s="148" t="n">
        <x:v>31</x:v>
      </x:c>
      <x:c r="D515" s="115" t="str">
        <x:v>Dialektisch erörtern: Text kriteriengeleitet überarbeiten</x:v>
      </x:c>
      <x:c r="E515" s="115" t="str">
        <x:v>Text mit einer kurzen Prüfliste überarbeiten; einen inhaltlichen und einen sprachlichen Fehler verbessern. Grundlegende Sicherung für Lernende mit HSA-Niveau beziehungsweise zusätzlichem Förderbedarf; kurze Materialien und feste Arbeitsschritte.</x:v>
      </x:c>
      <x:c r="F515" s="115" t="str">
        <x:v>Text in mehreren Überarbeitungsschritten prüfen; Aufbau, Kohärenz, Stil und Normrichtigkeit gezielt optimieren. RSA-orientiert: vollständige Anforderungsbreite der Klassenstufe 10, selbstständige Planung, Analyse und reflektierte Bewertung.</x:v>
      </x:c>
      <x:c r="G515" s="115" t="str">
        <x:v>de_k10_st31_eroerterung_dialektisch_ueberarbeiten</x:v>
      </x:c>
      <x:c r="H515" s="176" t="e">
        <x:f>HYPERLINK("schueler/de_k10_st31_eroerterung_dialektisch_ueberarbeiten_app.html","Lernmodul öffnen")</x:f>
      </x:c>
      <x:c r="I515" s="177" t="e">
        <x:f>HYPERLINK("lehrer/de_k10_st31_eroerterung_dialektisch_ueberarbeiten_orga.html","Vorbereitung öffnen")</x:f>
      </x:c>
    </x:row>
    <x:row r="516" ht="65" customHeight="1">
      <x:c r="A516" s="142" t="n">
        <x:v>10</x:v>
      </x:c>
      <x:c r="B516" s="115" t="str">
        <x:v>Sprechen und Zuhören</x:v>
      </x:c>
      <x:c r="C516" s="148" t="n">
        <x:v>32</x:v>
      </x:c>
      <x:c r="D516" s="115" t="str">
        <x:v>Dialektisch erörtern: Texte vorstellen und bewerten</x:v>
      </x:c>
      <x:c r="E516" s="115" t="str">
        <x:v>Ausgewählte Passage vorlesen oder erläutern; Rückmeldung mit einfachen Satzmustern geben. Grundlegende Sicherung für Lernende mit HSA-Niveau beziehungsweise zusätzlichem Förderbedarf; kurze Materialien und feste Arbeitsschritte.</x:v>
      </x:c>
      <x:c r="F516" s="115" t="str">
        <x:v>Textwirkung und Schreibentscheidungen erläutern; differenziertes Peer-Feedback geben und begründet annehmen. RSA-orientiert: vollständige Anforderungsbreite der Klassenstufe 10, selbstständige Planung, Analyse und reflektierte Bewertung.</x:v>
      </x:c>
      <x:c r="G516" s="115" t="str">
        <x:v>de_k10_st32_eroerterung_dialektisch_vorstellen</x:v>
      </x:c>
      <x:c r="H516" s="176" t="e">
        <x:f>HYPERLINK("schueler/de_k10_st32_eroerterung_dialektisch_vorstellen_app.html","Lernmodul öffnen")</x:f>
      </x:c>
      <x:c r="I516" s="177" t="e">
        <x:f>HYPERLINK("lehrer/de_k10_st32_eroerterung_dialektisch_vorstellen_orga.html","Vorbereitung öffnen")</x:f>
      </x:c>
    </x:row>
    <x:row r="517" ht="65" customHeight="1">
      <x:c r="A517" s="142" t="n">
        <x:v>10</x:v>
      </x:c>
      <x:c r="B517" s="115" t="str">
        <x:v>Lesen/Umgang mit Texten</x:v>
      </x:c>
      <x:c r="C517" s="148" t="n">
        <x:v>33</x:v>
      </x:c>
      <x:c r="D517" s="115" t="str">
        <x:v>Textgebunden erörtern und kommentieren: Beispieltexte untersuchen</x:v>
      </x:c>
      <x:c r="E517" s="115" t="str">
        <x:v>Ein Beispiel für textgebundene Erörterung und Kommentar lesen; Aufbau und typische Formulierungen farbig kennzeichnen. Grundlegende Sicherung für Lernende mit HSA-Niveau beziehungsweise zusätzlichem Förderbedarf; kurze Materialien und feste Arbeitsschritte.</x:v>
      </x:c>
      <x:c r="F517" s="115" t="str">
        <x:v>Mehrere Beispiele für textgebundene Erörterung und Kommentar vergleichen; Funktion, Adressat und Qualitätsunterschiede herausarbeiten. RSA-orientiert: vollständige Anforderungsbreite der Klassenstufe 10, selbstständige Planung, Analyse und reflektierte Bewertung.</x:v>
      </x:c>
      <x:c r="G517" s="115" t="str">
        <x:v>de_k10_st33_textgebunden_beispiel</x:v>
      </x:c>
      <x:c r="H517" s="176" t="e">
        <x:f>HYPERLINK("schueler/de_k10_st33_textgebunden_beispiel_app.html","Lernmodul öffnen")</x:f>
      </x:c>
      <x:c r="I517" s="177" t="e">
        <x:f>HYPERLINK("lehrer/de_k10_st33_textgebunden_beispiel_orga.html","Vorbereitung öffnen")</x:f>
      </x:c>
    </x:row>
    <x:row r="518" ht="65" customHeight="1">
      <x:c r="A518" s="142" t="n">
        <x:v>10</x:v>
      </x:c>
      <x:c r="B518" s="115" t="str">
        <x:v>Schreiben</x:v>
      </x:c>
      <x:c r="C518" s="148" t="n">
        <x:v>34</x:v>
      </x:c>
      <x:c r="D518" s="115" t="str">
        <x:v>Textgebunden erörtern und kommentieren: Schreibziel und Kriterien klären</x:v>
      </x:c>
      <x:c r="E518" s="115" t="str">
        <x:v>Schreibziel „Aussagen eines Ausgangstextes erfassen und dazu Stellung nehmen“ verstehen; eine kurze Kriterienliste auf ein Beispiel anwenden. Grundlegende Sicherung für Lernende mit HSA-Niveau beziehungsweise zusätzlichem Förderbedarf; kurze Materialien und feste Arbeitsschritte.</x:v>
      </x:c>
      <x:c r="F518" s="115" t="str">
        <x:v>Schreibziel „Aussagen eines Ausgangstextes erfassen und dazu Stellung nehmen“ präzisieren; Kriterien gewichten und auf unterschiedliche Schreibsituationen übertragen. RSA-orientiert: vollständige Anforderungsbreite der Klassenstufe 10, selbstständige Planung, Analyse und reflektierte Bewertung.</x:v>
      </x:c>
      <x:c r="G518" s="115" t="str">
        <x:v>de_k10_st34_textgebunden_kriterien</x:v>
      </x:c>
      <x:c r="H518" s="176" t="e">
        <x:f>HYPERLINK("schueler/de_k10_st34_textgebunden_kriterien_app.html","Lernmodul öffnen")</x:f>
      </x:c>
      <x:c r="I518" s="177" t="e">
        <x:f>HYPERLINK("lehrer/de_k10_st34_textgebunden_kriterien_orga.html","Vorbereitung öffnen")</x:f>
      </x:c>
    </x:row>
    <x:row r="519" ht="65" customHeight="1">
      <x:c r="A519" s="142" t="n">
        <x:v>10</x:v>
      </x:c>
      <x:c r="B519" s="115" t="str">
        <x:v>Lesen/Umgang mit Texten</x:v>
      </x:c>
      <x:c r="C519" s="148" t="n">
        <x:v>35</x:v>
      </x:c>
      <x:c r="D519" s="115" t="str">
        <x:v>Textgebunden erörtern und kommentieren: Inhalte auswählen und ordnen</x:v>
      </x:c>
      <x:c r="E519" s="115" t="str">
        <x:v>Argumentationsgang, Intention, Gegenposition und Transfer mit Leitfragen sammeln und in einer vorgegebenen Reihenfolge ordnen. Grundlegende Sicherung für Lernende mit HSA-Niveau beziehungsweise zusätzlichem Förderbedarf; kurze Materialien und feste Arbeitsschritte.</x:v>
      </x:c>
      <x:c r="F519" s="115" t="str">
        <x:v>Argumentationsgang, Intention, Gegenposition und Transfer selbstständig auswählen, gewichten und in einer passenden Gliederung strukturieren. RSA-orientiert: vollständige Anforderungsbreite der Klassenstufe 10, selbstständige Planung, Analyse und reflektierte Bewertung.</x:v>
      </x:c>
      <x:c r="G519" s="115" t="str">
        <x:v>de_k10_st35_textgebunden_inhalte_ordnen</x:v>
      </x:c>
      <x:c r="H519" s="176" t="e">
        <x:f>HYPERLINK("schueler/de_k10_st35_textgebunden_inhalte_ordnen_app.html","Lernmodul öffnen")</x:f>
      </x:c>
      <x:c r="I519" s="177" t="e">
        <x:f>HYPERLINK("lehrer/de_k10_st35_textgebunden_inhalte_ordnen_orga.html","Vorbereitung öffnen")</x:f>
      </x:c>
    </x:row>
    <x:row r="520" ht="65" customHeight="1">
      <x:c r="A520" s="142" t="n">
        <x:v>10</x:v>
      </x:c>
      <x:c r="B520" s="115" t="str">
        <x:v>Sprache untersuchen</x:v>
      </x:c>
      <x:c r="C520" s="148" t="n">
        <x:v>36</x:v>
      </x:c>
      <x:c r="D520" s="115" t="str">
        <x:v>Textgebunden erörtern und kommentieren: passende sprachliche Mittel verwenden</x:v>
      </x:c>
      <x:c r="E520" s="115" t="str">
        <x:v>Zitiertechnik, Distanzmarker, pointierte Wertung in Übungen erkennen und nach Satzmustern anwenden. Grundlegende Sicherung für Lernende mit HSA-Niveau beziehungsweise zusätzlichem Förderbedarf; kurze Materialien und feste Arbeitsschritte.</x:v>
      </x:c>
      <x:c r="F520" s="115" t="str">
        <x:v>Zitiertechnik, Distanzmarker, pointierte Wertung hinsichtlich Wirkung und Angemessenheit prüfen und gezielt variieren. RSA-orientiert: vollständige Anforderungsbreite der Klassenstufe 10, selbstständige Planung, Analyse und reflektierte Bewertung.</x:v>
      </x:c>
      <x:c r="G520" s="115" t="str">
        <x:v>de_k10_st36_textgebunden_sprachmittel</x:v>
      </x:c>
      <x:c r="H520" s="176" t="e">
        <x:f>HYPERLINK("schueler/de_k10_st36_textgebunden_sprachmittel_app.html","Lernmodul öffnen")</x:f>
      </x:c>
      <x:c r="I520" s="177" t="e">
        <x:f>HYPERLINK("lehrer/de_k10_st36_textgebunden_sprachmittel_orga.html","Vorbereitung öffnen")</x:f>
      </x:c>
    </x:row>
    <x:row r="521" ht="65" customHeight="1">
      <x:c r="A521" s="142" t="n">
        <x:v>10</x:v>
      </x:c>
      <x:c r="B521" s="115" t="str">
        <x:v>Schreiben</x:v>
      </x:c>
      <x:c r="C521" s="148" t="n">
        <x:v>37</x:v>
      </x:c>
      <x:c r="D521" s="115" t="str">
        <x:v>Textgebunden erörtern und kommentieren: einen Schreibplan erstellen</x:v>
      </x:c>
      <x:c r="E521" s="115" t="str">
        <x:v>Einen vorstrukturierten Schreibplan ausfüllen; Einleitung, Hauptteil und Schluss festlegen. Grundlegende Sicherung für Lernende mit HSA-Niveau beziehungsweise zusätzlichem Förderbedarf; kurze Materialien und feste Arbeitsschritte.</x:v>
      </x:c>
      <x:c r="F521" s="115" t="str">
        <x:v>Einen eigenen Schreibplan mit Teilzielen, Belegen und sprachlichen Mitteln entwickeln. RSA-orientiert: vollständige Anforderungsbreite der Klassenstufe 10, selbstständige Planung, Analyse und reflektierte Bewertung.</x:v>
      </x:c>
      <x:c r="G521" s="115" t="str">
        <x:v>de_k10_st37_textgebunden_schreibplan</x:v>
      </x:c>
      <x:c r="H521" s="176" t="e">
        <x:f>HYPERLINK("schueler/de_k10_st37_textgebunden_schreibplan_app.html","Lernmodul öffnen")</x:f>
      </x:c>
      <x:c r="I521" s="177" t="e">
        <x:f>HYPERLINK("lehrer/de_k10_st37_textgebunden_schreibplan_orga.html","Vorbereitung öffnen")</x:f>
      </x:c>
    </x:row>
    <x:row r="522" ht="65" customHeight="1">
      <x:c r="A522" s="142" t="n">
        <x:v>10</x:v>
      </x:c>
      <x:c r="B522" s="115" t="str">
        <x:v>Schreiben</x:v>
      </x:c>
      <x:c r="C522" s="148" t="n">
        <x:v>38</x:v>
      </x:c>
      <x:c r="D522" s="115" t="str">
        <x:v>Textgebunden erörtern und kommentieren: einen ersten Textentwurf verfassen</x:v>
      </x:c>
      <x:c r="E522" s="115" t="str">
        <x:v>Textgebundene erörterung mithilfe von Schreibrahmen, Satzanfängen und Wortbank verfassen. Grundlegende Sicherung für Lernende mit HSA-Niveau beziehungsweise zusätzlichem Förderbedarf; kurze Materialien und feste Arbeitsschritte.</x:v>
      </x:c>
      <x:c r="F522" s="115" t="str">
        <x:v>Textgebundene erörterung selbstständig, adressatenbezogen und sprachlich differenziert verfassen. RSA-orientiert: vollständige Anforderungsbreite der Klassenstufe 10, selbstständige Planung, Analyse und reflektierte Bewertung.</x:v>
      </x:c>
      <x:c r="G522" s="115" t="str">
        <x:v>de_k10_st38_textgebunden_entwurf</x:v>
      </x:c>
      <x:c r="H522" s="176" t="e">
        <x:f>HYPERLINK("schueler/de_k10_st38_textgebunden_entwurf_app.html","Lernmodul öffnen")</x:f>
      </x:c>
      <x:c r="I522" s="177" t="e">
        <x:f>HYPERLINK("lehrer/de_k10_st38_textgebunden_entwurf_orga.html","Vorbereitung öffnen")</x:f>
      </x:c>
    </x:row>
    <x:row r="523" ht="65" customHeight="1">
      <x:c r="A523" s="142" t="n">
        <x:v>10</x:v>
      </x:c>
      <x:c r="B523" s="115" t="str">
        <x:v>Schreiben</x:v>
      </x:c>
      <x:c r="C523" s="148" t="n">
        <x:v>39</x:v>
      </x:c>
      <x:c r="D523" s="115" t="str">
        <x:v>Textgebunden erörtern und kommentieren: Text kriteriengeleitet überarbeiten</x:v>
      </x:c>
      <x:c r="E523" s="115" t="str">
        <x:v>Text mit einer kurzen Prüfliste überarbeiten; einen inhaltlichen und einen sprachlichen Fehler verbessern. Grundlegende Sicherung für Lernende mit HSA-Niveau beziehungsweise zusätzlichem Förderbedarf; kurze Materialien und feste Arbeitsschritte.</x:v>
      </x:c>
      <x:c r="F523" s="115" t="str">
        <x:v>Text in mehreren Überarbeitungsschritten prüfen; Aufbau, Kohärenz, Stil und Normrichtigkeit gezielt optimieren. RSA-orientiert: vollständige Anforderungsbreite der Klassenstufe 10, selbstständige Planung, Analyse und reflektierte Bewertung.</x:v>
      </x:c>
      <x:c r="G523" s="115" t="str">
        <x:v>de_k10_st39_textgebunden_ueberarbeiten</x:v>
      </x:c>
      <x:c r="H523" s="176" t="e">
        <x:f>HYPERLINK("schueler/de_k10_st39_textgebunden_ueberarbeiten_app.html","Lernmodul öffnen")</x:f>
      </x:c>
      <x:c r="I523" s="177" t="e">
        <x:f>HYPERLINK("lehrer/de_k10_st39_textgebunden_ueberarbeiten_orga.html","Vorbereitung öffnen")</x:f>
      </x:c>
    </x:row>
    <x:row r="524" ht="65" customHeight="1">
      <x:c r="A524" s="142" t="n">
        <x:v>10</x:v>
      </x:c>
      <x:c r="B524" s="115" t="str">
        <x:v>Sprechen und Zuhören</x:v>
      </x:c>
      <x:c r="C524" s="148" t="n">
        <x:v>40</x:v>
      </x:c>
      <x:c r="D524" s="115" t="str">
        <x:v>Textgebunden erörtern und kommentieren: Texte vorstellen und bewerten</x:v>
      </x:c>
      <x:c r="E524" s="115" t="str">
        <x:v>Ausgewählte Passage vorlesen oder erläutern; Rückmeldung mit einfachen Satzmustern geben. Grundlegende Sicherung für Lernende mit HSA-Niveau beziehungsweise zusätzlichem Förderbedarf; kurze Materialien und feste Arbeitsschritte.</x:v>
      </x:c>
      <x:c r="F524" s="115" t="str">
        <x:v>Textwirkung und Schreibentscheidungen erläutern; differenziertes Peer-Feedback geben und begründet annehmen. RSA-orientiert: vollständige Anforderungsbreite der Klassenstufe 10, selbstständige Planung, Analyse und reflektierte Bewertung.</x:v>
      </x:c>
      <x:c r="G524" s="115" t="str">
        <x:v>de_k10_st40_textgebunden_vorstellen</x:v>
      </x:c>
      <x:c r="H524" s="176" t="e">
        <x:f>HYPERLINK("schueler/de_k10_st40_textgebunden_vorstellen_app.html","Lernmodul öffnen")</x:f>
      </x:c>
      <x:c r="I524" s="177" t="e">
        <x:f>HYPERLINK("lehrer/de_k10_st40_textgebunden_vorstellen_orga.html","Vorbereitung öffnen")</x:f>
      </x:c>
    </x:row>
    <x:row r="525" ht="65" customHeight="1">
      <x:c r="A525" s="142" t="n">
        <x:v>10</x:v>
      </x:c>
      <x:c r="B525" s="115" t="str">
        <x:v>Sprechen und Zuhören</x:v>
      </x:c>
      <x:c r="C525" s="148" t="n">
        <x:v>41</x:v>
      </x:c>
      <x:c r="D525" s="115" t="str">
        <x:v>Literarische Texte vergleichen: Hör- oder Leseeinstieg gestalten</x:v>
      </x:c>
      <x:c r="E525" s="115" t="str">
        <x:v>Einstieg über Bild, Hörtext oder kurzen Auszug; Vorwissen zu epische, lyrische oder dramatische Texte sammeln und zentrale Wörter klären. Grundlegende Sicherung für Lernende mit HSA-Niveau beziehungsweise zusätzlichem Förderbedarf; kurze Materialien und feste Arbeitsschritte.</x:v>
      </x:c>
      <x:c r="F525" s="115" t="str">
        <x:v>Aus Titel, Kontext und Gestaltung Erwartungen an epische, lyrische oder dramatische Texte ableiten; erste Hypothesen formulieren und begründen. RSA-orientiert: vollständige Anforderungsbreite der Klassenstufe 10, selbstständige Planung, Analyse und reflektierte Bewertung.</x:v>
      </x:c>
      <x:c r="G525" s="115" t="str">
        <x:v>de_k10_st41_literaturvergleich_einstieg</x:v>
      </x:c>
      <x:c r="H525" s="176" t="e">
        <x:f>HYPERLINK("schueler/de_k10_st41_literaturvergleich_einstieg_app.html","Lernmodul öffnen")</x:f>
      </x:c>
      <x:c r="I525" s="177" t="e">
        <x:f>HYPERLINK("lehrer/de_k10_st41_literaturvergleich_einstieg_orga.html","Vorbereitung öffnen")</x:f>
      </x:c>
    </x:row>
    <x:row r="526" ht="65" customHeight="1">
      <x:c r="A526" s="142" t="n">
        <x:v>10</x:v>
      </x:c>
      <x:c r="B526" s="115" t="str">
        <x:v>Lesen/Umgang mit Texten</x:v>
      </x:c>
      <x:c r="C526" s="148" t="n">
        <x:v>42</x:v>
      </x:c>
      <x:c r="D526" s="115" t="str">
        <x:v>Literarische Texte vergleichen: den Text mit Lesestrategien erschließen</x:v>
      </x:c>
      <x:c r="E526" s="115" t="str">
        <x:v>Text abschnittsweise lesen; Schlüsselwörter markieren und den Inhalt mit Leitfragen sichern. Grundlegende Sicherung für Lernende mit HSA-Niveau beziehungsweise zusätzlichem Förderbedarf; kurze Materialien und feste Arbeitsschritte.</x:v>
      </x:c>
      <x:c r="F526" s="115" t="str">
        <x:v>Lesetechnik passend zum Ziel wählen; Sinnabschnitte, Schlüsselstellen und offene Fragen selbstständig festhalten. RSA-orientiert: vollständige Anforderungsbreite der Klassenstufe 10, selbstständige Planung, Analyse und reflektierte Bewertung.</x:v>
      </x:c>
      <x:c r="G526" s="115" t="str">
        <x:v>de_k10_st42_literaturvergleich_erschliessen</x:v>
      </x:c>
      <x:c r="H526" s="176" t="e">
        <x:f>HYPERLINK("schueler/de_k10_st42_literaturvergleich_erschliessen_app.html","Lernmodul öffnen")</x:f>
      </x:c>
      <x:c r="I526" s="177" t="e">
        <x:f>HYPERLINK("lehrer/de_k10_st42_literaturvergleich_erschliessen_orga.html","Vorbereitung öffnen")</x:f>
      </x:c>
    </x:row>
    <x:row r="527" ht="65" customHeight="1">
      <x:c r="A527" s="142" t="n">
        <x:v>10</x:v>
      </x:c>
      <x:c r="B527" s="115" t="str">
        <x:v>Lesen/Umgang mit Texten</x:v>
      </x:c>
      <x:c r="C527" s="148" t="n">
        <x:v>43</x:v>
      </x:c>
      <x:c r="D527" s="115" t="str">
        <x:v>Literarische Texte vergleichen: Gattungsmerkmale erkennen</x:v>
      </x:c>
      <x:c r="E527" s="115" t="str">
        <x:v>Merkmale wie Thema, Figuren, Form und zentrale Aussage mithilfe einer Checkliste zuordnen und an Textstellen zeigen. Grundlegende Sicherung für Lernende mit HSA-Niveau beziehungsweise zusätzlichem Förderbedarf; kurze Materialien und feste Arbeitsschritte.</x:v>
      </x:c>
      <x:c r="F527" s="115" t="str">
        <x:v>Merkmale wie Thema, Figuren, Form und zentrale Aussage textnah belegen und ihre Funktion für Aufbau und Wirkung erklären. RSA-orientiert: vollständige Anforderungsbreite der Klassenstufe 10, selbstständige Planung, Analyse und reflektierte Bewertung.</x:v>
      </x:c>
      <x:c r="G527" s="115" t="str">
        <x:v>de_k10_st43_literaturvergleich_merkmale</x:v>
      </x:c>
      <x:c r="H527" s="176" t="e">
        <x:f>HYPERLINK("schueler/de_k10_st43_literaturvergleich_merkmale_app.html","Lernmodul öffnen")</x:f>
      </x:c>
      <x:c r="I527" s="177" t="e">
        <x:f>HYPERLINK("lehrer/de_k10_st43_literaturvergleich_merkmale_orga.html","Vorbereitung öffnen")</x:f>
      </x:c>
    </x:row>
    <x:row r="528" ht="65" customHeight="1">
      <x:c r="A528" s="142" t="n">
        <x:v>10</x:v>
      </x:c>
      <x:c r="B528" s="115" t="str">
        <x:v>Lesen/Umgang mit Texten</x:v>
      </x:c>
      <x:c r="C528" s="148" t="n">
        <x:v>44</x:v>
      </x:c>
      <x:c r="D528" s="115" t="str">
        <x:v>Literarische Texte vergleichen: Figuren, Handlung und Konflikt untersuchen</x:v>
      </x:c>
      <x:c r="E528" s="115" t="str">
        <x:v>Motiv, Epoche, Gestaltung und Deutungsansätze mit Figurenkarten oder Handlungsstreifen ordnen; einfache Belege auswählen. Grundlegende Sicherung für Lernende mit HSA-Niveau beziehungsweise zusätzlichem Förderbedarf; kurze Materialien und feste Arbeitsschritte.</x:v>
      </x:c>
      <x:c r="F528" s="115" t="str">
        <x:v>Motiv, Epoche, Gestaltung und Deutungsansätze in ihrem Zusammenhang untersuchen; Schlussfolgerungen mit passenden Textbelegen absichern. RSA-orientiert: vollständige Anforderungsbreite der Klassenstufe 10, selbstständige Planung, Analyse und reflektierte Bewertung.</x:v>
      </x:c>
      <x:c r="G528" s="115" t="str">
        <x:v>de_k10_st44_literaturvergleich_figuren_handlung</x:v>
      </x:c>
      <x:c r="H528" s="176" t="e">
        <x:f>HYPERLINK("schueler/de_k10_st44_literaturvergleich_figuren_handlung_app.html","Lernmodul öffnen")</x:f>
      </x:c>
      <x:c r="I528" s="177" t="e">
        <x:f>HYPERLINK("lehrer/de_k10_st44_literaturvergleich_figuren_handlung_orga.html","Vorbereitung öffnen")</x:f>
      </x:c>
    </x:row>
    <x:row r="529" ht="65" customHeight="1">
      <x:c r="A529" s="142" t="n">
        <x:v>10</x:v>
      </x:c>
      <x:c r="B529" s="115" t="str">
        <x:v>Sprache untersuchen</x:v>
      </x:c>
      <x:c r="C529" s="148" t="n">
        <x:v>45</x:v>
      </x:c>
      <x:c r="D529" s="115" t="str">
        <x:v>Literarische Texte vergleichen: Sprache und Wirkung untersuchen</x:v>
      </x:c>
      <x:c r="E529" s="115" t="str">
        <x:v>Beispiele für Fachsprache, Textbelege, Vergleichsstrukturen markieren und ihre Wirkung mit vorgegebenen Begriffen beschreiben. Grundlegende Sicherung für Lernende mit HSA-Niveau beziehungsweise zusätzlichem Förderbedarf; kurze Materialien und feste Arbeitsschritte.</x:v>
      </x:c>
      <x:c r="F529" s="115" t="str">
        <x:v>Fachsprache, Textbelege, Vergleichsstrukturen fachsprachlich analysieren und auf Figurenzeichnung, Stimmung oder Aussage beziehen. RSA-orientiert: vollständige Anforderungsbreite der Klassenstufe 10, selbstständige Planung, Analyse und reflektierte Bewertung.</x:v>
      </x:c>
      <x:c r="G529" s="115" t="str">
        <x:v>de_k10_st45_literaturvergleich_sprache_wirkung</x:v>
      </x:c>
      <x:c r="H529" s="176" t="e">
        <x:f>HYPERLINK("schueler/de_k10_st45_literaturvergleich_sprache_wirkung_app.html","Lernmodul öffnen")</x:f>
      </x:c>
      <x:c r="I529" s="177" t="e">
        <x:f>HYPERLINK("lehrer/de_k10_st45_literaturvergleich_sprache_wirkung_orga.html","Vorbereitung öffnen")</x:f>
      </x:c>
    </x:row>
    <x:row r="530" ht="65" customHeight="1">
      <x:c r="A530" s="142" t="n">
        <x:v>10</x:v>
      </x:c>
      <x:c r="B530" s="115" t="str">
        <x:v>Schreiben</x:v>
      </x:c>
      <x:c r="C530" s="148" t="n">
        <x:v>46</x:v>
      </x:c>
      <x:c r="D530" s="115" t="str">
        <x:v>Literarische Texte vergleichen: eine Deutung oder Perspektive vorbereiten</x:v>
      </x:c>
      <x:c r="E530" s="115" t="str">
        <x:v>Eine zentrale Aussage mit Satzstartern formulieren; Beleg und Erklärung in einem Schreibrahmen verbinden. Grundlegende Sicherung für Lernende mit HSA-Niveau beziehungsweise zusätzlichem Förderbedarf; kurze Materialien und feste Arbeitsschritte.</x:v>
      </x:c>
      <x:c r="F530" s="115" t="str">
        <x:v>Eine schlüssige Deutungshypothese entwickeln; mehrere Belege auswählen, ordnen und gegeneinander abwägen. RSA-orientiert: vollständige Anforderungsbreite der Klassenstufe 10, selbstständige Planung, Analyse und reflektierte Bewertung.</x:v>
      </x:c>
      <x:c r="G530" s="115" t="str">
        <x:v>de_k10_st46_literaturvergleich_deutung_planen</x:v>
      </x:c>
      <x:c r="H530" s="176" t="e">
        <x:f>HYPERLINK("schueler/de_k10_st46_literaturvergleich_deutung_planen_app.html","Lernmodul öffnen")</x:f>
      </x:c>
      <x:c r="I530" s="177" t="e">
        <x:f>HYPERLINK("lehrer/de_k10_st46_literaturvergleich_deutung_planen_orga.html","Vorbereitung öffnen")</x:f>
      </x:c>
    </x:row>
    <x:row r="531" ht="65" customHeight="1">
      <x:c r="A531" s="142" t="n">
        <x:v>10</x:v>
      </x:c>
      <x:c r="B531" s="115" t="str">
        <x:v>Schreiben</x:v>
      </x:c>
      <x:c r="C531" s="148" t="n">
        <x:v>47</x:v>
      </x:c>
      <x:c r="D531" s="115" t="str">
        <x:v>Literarische Texte vergleichen: vergleichende Interpretation gestalten</x:v>
      </x:c>
      <x:c r="E531" s="115" t="str">
        <x:v>Vergleichende interpretation nach klaren Vorgaben erstellen; Hilfekarten und Wortbank nutzen. Grundlegende Sicherung für Lernende mit HSA-Niveau beziehungsweise zusätzlichem Förderbedarf; kurze Materialien und feste Arbeitsschritte.</x:v>
      </x:c>
      <x:c r="F531" s="115" t="str">
        <x:v>Vergleichende interpretation eigenständig, textnah und sprachlich variabel gestalten; Wirkung bewusst planen. RSA-orientiert: vollständige Anforderungsbreite der Klassenstufe 10, selbstständige Planung, Analyse und reflektierte Bewertung.</x:v>
      </x:c>
      <x:c r="G531" s="115" t="str">
        <x:v>de_k10_st47_literaturvergleich_produkt</x:v>
      </x:c>
      <x:c r="H531" s="176" t="e">
        <x:f>HYPERLINK("schueler/de_k10_st47_literaturvergleich_produkt_app.html","Lernmodul öffnen")</x:f>
      </x:c>
      <x:c r="I531" s="177" t="e">
        <x:f>HYPERLINK("lehrer/de_k10_st47_literaturvergleich_produkt_orga.html","Vorbereitung öffnen")</x:f>
      </x:c>
    </x:row>
    <x:row r="532" ht="65" customHeight="1">
      <x:c r="A532" s="142" t="n">
        <x:v>10</x:v>
      </x:c>
      <x:c r="B532" s="115" t="str">
        <x:v>Sprechen und Zuhören</x:v>
      </x:c>
      <x:c r="C532" s="148" t="n">
        <x:v>48</x:v>
      </x:c>
      <x:c r="D532" s="115" t="str">
        <x:v>Literarische Texte vergleichen: Ergebnisse präsentieren und reflektieren</x:v>
      </x:c>
      <x:c r="E532" s="115" t="str">
        <x:v>Ergebnis kurz vorstellen; zwei vereinbarte Kriterien für Rückmeldung anwenden. Grundlegende Sicherung für Lernende mit HSA-Niveau beziehungsweise zusätzlichem Förderbedarf; kurze Materialien und feste Arbeitsschritte.</x:v>
      </x:c>
      <x:c r="F532" s="115" t="str">
        <x:v>Ergebnis adressatenbezogen präsentieren; Rückmeldungen begründen und die eigene Deutung oder Gestaltung überarbeiten. RSA-orientiert: vollständige Anforderungsbreite der Klassenstufe 10, selbstständige Planung, Analyse und reflektierte Bewertung.</x:v>
      </x:c>
      <x:c r="G532" s="115" t="str">
        <x:v>de_k10_st48_literaturvergleich_praesentieren</x:v>
      </x:c>
      <x:c r="H532" s="176" t="e">
        <x:f>HYPERLINK("schueler/de_k10_st48_literaturvergleich_praesentieren_app.html","Lernmodul öffnen")</x:f>
      </x:c>
      <x:c r="I532" s="177" t="e">
        <x:f>HYPERLINK("lehrer/de_k10_st48_literaturvergleich_praesentieren_orga.html","Vorbereitung öffnen")</x:f>
      </x:c>
    </x:row>
    <x:row r="533" ht="65" customHeight="1">
      <x:c r="A533" s="142" t="n">
        <x:v>10</x:v>
      </x:c>
      <x:c r="B533" s="115" t="str">
        <x:v>Sprechen und Zuhören</x:v>
      </x:c>
      <x:c r="C533" s="148" t="n">
        <x:v>49</x:v>
      </x:c>
      <x:c r="D533" s="115" t="str">
        <x:v>Medienkritik: KI, Algorithmen und Öffentlichkeit: Vorwissen und Positionen klären</x:v>
      </x:c>
      <x:c r="E533" s="115" t="str">
        <x:v>Eigene Erfahrungen zu digitale Informations- und Textproduktion benennen; zentrale Begriffe mit Beispielen klären. Grundlegende Sicherung für Lernende mit HSA-Niveau beziehungsweise zusätzlichem Förderbedarf; kurze Materialien und feste Arbeitsschritte.</x:v>
      </x:c>
      <x:c r="F533" s="115" t="str">
        <x:v>Vorwissen zu digitale Informations- und Textproduktion strukturieren; erste Positionen formulieren und mögliche Konflikte benennen. RSA-orientiert: vollständige Anforderungsbreite der Klassenstufe 10, selbstständige Planung, Analyse und reflektierte Bewertung.</x:v>
      </x:c>
      <x:c r="G533" s="115" t="str">
        <x:v>de_k10_st49_ki_medien_einstieg</x:v>
      </x:c>
      <x:c r="H533" s="176" t="e">
        <x:f>HYPERLINK("schueler/de_k10_st49_ki_medien_einstieg_app.html","Lernmodul öffnen")</x:f>
      </x:c>
      <x:c r="I533" s="177" t="e">
        <x:f>HYPERLINK("lehrer/de_k10_st49_ki_medien_einstieg_orga.html","Vorbereitung öffnen")</x:f>
      </x:c>
    </x:row>
    <x:row r="534" ht="65" customHeight="1">
      <x:c r="A534" s="142" t="n">
        <x:v>10</x:v>
      </x:c>
      <x:c r="B534" s="115" t="str">
        <x:v>Lesen/Umgang mit Texten</x:v>
      </x:c>
      <x:c r="C534" s="148" t="n">
        <x:v>50</x:v>
      </x:c>
      <x:c r="D534" s="115" t="str">
        <x:v>Medienkritik: KI, Algorithmen und Öffentlichkeit: Quellen und Materialien erschließen</x:v>
      </x:c>
      <x:c r="E534" s="115" t="str">
        <x:v>Kurze Materialien lesen oder ansehen; Hauptaussagen mit Leitfragen festhalten. Grundlegende Sicherung für Lernende mit HSA-Niveau beziehungsweise zusätzlichem Förderbedarf; kurze Materialien und feste Arbeitsschritte.</x:v>
      </x:c>
      <x:c r="F534" s="115" t="str">
        <x:v>Unterschiedliche Materialien selbstständig erschließen; Aussage, Intention und Kontext bestimmen. RSA-orientiert: vollständige Anforderungsbreite der Klassenstufe 10, selbstständige Planung, Analyse und reflektierte Bewertung.</x:v>
      </x:c>
      <x:c r="G534" s="115" t="str">
        <x:v>de_k10_st50_ki_medien_quellen</x:v>
      </x:c>
      <x:c r="H534" s="176" t="e">
        <x:f>HYPERLINK("schueler/de_k10_st50_ki_medien_quellen_app.html","Lernmodul öffnen")</x:f>
      </x:c>
      <x:c r="I534" s="177" t="e">
        <x:f>HYPERLINK("lehrer/de_k10_st50_ki_medien_quellen_orga.html","Vorbereitung öffnen")</x:f>
      </x:c>
    </x:row>
    <x:row r="535" ht="65" customHeight="1">
      <x:c r="A535" s="142" t="n">
        <x:v>10</x:v>
      </x:c>
      <x:c r="B535" s="115" t="str">
        <x:v>Lesen/Umgang mit Texten</x:v>
      </x:c>
      <x:c r="C535" s="148" t="n">
        <x:v>51</x:v>
      </x:c>
      <x:c r="D535" s="115" t="str">
        <x:v>Medienkritik: KI, Algorithmen und Öffentlichkeit: Qualitätskriterien anwenden</x:v>
      </x:c>
      <x:c r="E535" s="115" t="str">
        <x:v>Quelle, Urheberschaft, Kennzeichnung, Datenschutz und Plausibilität in einer Checkliste anwenden und Auffälligkeiten markieren. Grundlegende Sicherung für Lernende mit HSA-Niveau beziehungsweise zusätzlichem Förderbedarf; kurze Materialien und feste Arbeitsschritte.</x:v>
      </x:c>
      <x:c r="F535" s="115" t="str">
        <x:v>Quelle, Urheberschaft, Kennzeichnung, Datenschutz und Plausibilität gewichten, auf Grenzfälle anwenden und begründete Qualitätsurteile formulieren. RSA-orientiert: vollständige Anforderungsbreite der Klassenstufe 10, selbstständige Planung, Analyse und reflektierte Bewertung.</x:v>
      </x:c>
      <x:c r="G535" s="115" t="str">
        <x:v>de_k10_st51_ki_medien_kriterien</x:v>
      </x:c>
      <x:c r="H535" s="176" t="e">
        <x:f>HYPERLINK("schueler/de_k10_st51_ki_medien_kriterien_app.html","Lernmodul öffnen")</x:f>
      </x:c>
      <x:c r="I535" s="177" t="e">
        <x:f>HYPERLINK("lehrer/de_k10_st51_ki_medien_kriterien_orga.html","Vorbereitung öffnen")</x:f>
      </x:c>
    </x:row>
    <x:row r="536" ht="65" customHeight="1">
      <x:c r="A536" s="142" t="n">
        <x:v>10</x:v>
      </x:c>
      <x:c r="B536" s="115" t="str">
        <x:v>Lesen/Umgang mit Texten</x:v>
      </x:c>
      <x:c r="C536" s="148" t="n">
        <x:v>52</x:v>
      </x:c>
      <x:c r="D536" s="115" t="str">
        <x:v>Medienkritik: KI, Algorithmen und Öffentlichkeit: Darstellungen vergleichen</x:v>
      </x:c>
      <x:c r="E536" s="115" t="str">
        <x:v>Menschlich und maschinell erzeugte beiträge nach vorgegebenen Merkmalen vergleichen. Grundlegende Sicherung für Lernende mit HSA-Niveau beziehungsweise zusätzlichem Förderbedarf; kurze Materialien und feste Arbeitsschritte.</x:v>
      </x:c>
      <x:c r="F536" s="115" t="str">
        <x:v>Menschlich und maschinell erzeugte beiträge hinsichtlich Informationsauswahl, Gestaltung, Wirkung und Interessen vergleichen. RSA-orientiert: vollständige Anforderungsbreite der Klassenstufe 10, selbstständige Planung, Analyse und reflektierte Bewertung.</x:v>
      </x:c>
      <x:c r="G536" s="115" t="str">
        <x:v>de_k10_st52_ki_medien_vergleichen</x:v>
      </x:c>
      <x:c r="H536" s="176" t="e">
        <x:f>HYPERLINK("schueler/de_k10_st52_ki_medien_vergleichen_app.html","Lernmodul öffnen")</x:f>
      </x:c>
      <x:c r="I536" s="177" t="e">
        <x:f>HYPERLINK("lehrer/de_k10_st52_ki_medien_vergleichen_orga.html","Vorbereitung öffnen")</x:f>
      </x:c>
    </x:row>
    <x:row r="537" ht="65" customHeight="1">
      <x:c r="A537" s="142" t="n">
        <x:v>10</x:v>
      </x:c>
      <x:c r="B537" s="115" t="str">
        <x:v>Schreiben</x:v>
      </x:c>
      <x:c r="C537" s="148" t="n">
        <x:v>53</x:v>
      </x:c>
      <x:c r="D537" s="115" t="str">
        <x:v>Medienkritik: KI, Algorithmen und Öffentlichkeit: Informationen prüfen und ordnen</x:v>
      </x:c>
      <x:c r="E537" s="115" t="str">
        <x:v>Informationen aus vorgegebenen Quellen auswählen; Fundstellen notieren und geordnet ablegen. Grundlegende Sicherung für Lernende mit HSA-Niveau beziehungsweise zusätzlichem Förderbedarf; kurze Materialien und feste Arbeitsschritte.</x:v>
      </x:c>
      <x:c r="F537" s="115" t="str">
        <x:v>Recherchefrage entwickeln; Quellen prüfen, Informationen abgleichen und korrekt dokumentieren. RSA-orientiert: vollständige Anforderungsbreite der Klassenstufe 10, selbstständige Planung, Analyse und reflektierte Bewertung.</x:v>
      </x:c>
      <x:c r="G537" s="115" t="str">
        <x:v>de_k10_st53_ki_medien_recherche</x:v>
      </x:c>
      <x:c r="H537" s="176" t="e">
        <x:f>HYPERLINK("schueler/de_k10_st53_ki_medien_recherche_app.html","Lernmodul öffnen")</x:f>
      </x:c>
      <x:c r="I537" s="177" t="e">
        <x:f>HYPERLINK("lehrer/de_k10_st53_ki_medien_recherche_orga.html","Vorbereitung öffnen")</x:f>
      </x:c>
    </x:row>
    <x:row r="538" ht="65" customHeight="1">
      <x:c r="A538" s="142" t="n">
        <x:v>10</x:v>
      </x:c>
      <x:c r="B538" s="115" t="str">
        <x:v>Schreiben</x:v>
      </x:c>
      <x:c r="C538" s="148" t="n">
        <x:v>54</x:v>
      </x:c>
      <x:c r="D538" s="115" t="str">
        <x:v>Medienkritik: KI, Algorithmen und Öffentlichkeit: Produkt planen</x:v>
      </x:c>
      <x:c r="E538" s="115" t="str">
        <x:v>Für kritischer Medienbeitrag einen vorgegebenen Arbeitsplan ergänzen; Aufgaben verteilen. Grundlegende Sicherung für Lernende mit HSA-Niveau beziehungsweise zusätzlichem Förderbedarf; kurze Materialien und feste Arbeitsschritte.</x:v>
      </x:c>
      <x:c r="F538" s="115" t="str">
        <x:v>Für kritischer Medienbeitrag Zielgruppe, Aufbau, Medienwahl, Zeitplan und Qualitätskontrolle selbstständig festlegen. RSA-orientiert: vollständige Anforderungsbreite der Klassenstufe 10, selbstständige Planung, Analyse und reflektierte Bewertung.</x:v>
      </x:c>
      <x:c r="G538" s="115" t="str">
        <x:v>de_k10_st54_ki_medien_planen</x:v>
      </x:c>
      <x:c r="H538" s="176" t="e">
        <x:f>HYPERLINK("schueler/de_k10_st54_ki_medien_planen_app.html","Lernmodul öffnen")</x:f>
      </x:c>
      <x:c r="I538" s="177" t="e">
        <x:f>HYPERLINK("lehrer/de_k10_st54_ki_medien_planen_orga.html","Vorbereitung öffnen")</x:f>
      </x:c>
    </x:row>
    <x:row r="539" ht="65" customHeight="1">
      <x:c r="A539" s="142" t="n">
        <x:v>10</x:v>
      </x:c>
      <x:c r="B539" s="115" t="str">
        <x:v>Schreiben</x:v>
      </x:c>
      <x:c r="C539" s="148" t="n">
        <x:v>55</x:v>
      </x:c>
      <x:c r="D539" s="115" t="str">
        <x:v>Medienkritik: KI, Algorithmen und Öffentlichkeit: Produkt erstellen</x:v>
      </x:c>
      <x:c r="E539" s="115" t="str">
        <x:v>Kritischer medienbeitrag mit Vorlage und klaren Teilaufträgen erstellen. Grundlegende Sicherung für Lernende mit HSA-Niveau beziehungsweise zusätzlichem Förderbedarf; kurze Materialien und feste Arbeitsschritte.</x:v>
      </x:c>
      <x:c r="F539" s="115" t="str">
        <x:v>Kritischer medienbeitrag selbstständig, adressatengerecht und quellenbewusst erstellen. RSA-orientiert: vollständige Anforderungsbreite der Klassenstufe 10, selbstständige Planung, Analyse und reflektierte Bewertung.</x:v>
      </x:c>
      <x:c r="G539" s="115" t="str">
        <x:v>de_k10_st55_ki_medien_erstellen</x:v>
      </x:c>
      <x:c r="H539" s="176" t="e">
        <x:f>HYPERLINK("schueler/de_k10_st55_ki_medien_erstellen_app.html","Lernmodul öffnen")</x:f>
      </x:c>
      <x:c r="I539" s="177" t="e">
        <x:f>HYPERLINK("lehrer/de_k10_st55_ki_medien_erstellen_orga.html","Vorbereitung öffnen")</x:f>
      </x:c>
    </x:row>
    <x:row r="540" ht="65" customHeight="1">
      <x:c r="A540" s="142" t="n">
        <x:v>10</x:v>
      </x:c>
      <x:c r="B540" s="115" t="str">
        <x:v>Sprechen und Zuhören</x:v>
      </x:c>
      <x:c r="C540" s="148" t="n">
        <x:v>56</x:v>
      </x:c>
      <x:c r="D540" s="115" t="str">
        <x:v>Medienkritik: KI, Algorithmen und Öffentlichkeit: präsentieren und reflektieren</x:v>
      </x:c>
      <x:c r="E540" s="115" t="str">
        <x:v>Produkt kurz vorstellen; Rückmeldung anhand weniger Kriterien geben und annehmen. Grundlegende Sicherung für Lernende mit HSA-Niveau beziehungsweise zusätzlichem Förderbedarf; kurze Materialien und feste Arbeitsschritte.</x:v>
      </x:c>
      <x:c r="F540" s="115" t="str">
        <x:v>Produkt überzeugend präsentieren; Arbeitsprozess, Quellenwahl und Wirkung kritisch reflektieren. RSA-orientiert: vollständige Anforderungsbreite der Klassenstufe 10, selbstständige Planung, Analyse und reflektierte Bewertung.</x:v>
      </x:c>
      <x:c r="G540" s="115" t="str">
        <x:v>de_k10_st56_ki_medien_reflexion</x:v>
      </x:c>
      <x:c r="H540" s="176" t="e">
        <x:f>HYPERLINK("schueler/de_k10_st56_ki_medien_reflexion_app.html","Lernmodul öffnen")</x:f>
      </x:c>
      <x:c r="I540" s="177" t="e">
        <x:f>HYPERLINK("lehrer/de_k10_st56_ki_medien_reflexion_orga.html","Vorbereitung öffnen")</x:f>
      </x:c>
    </x:row>
    <x:row r="541" ht="65" customHeight="1">
      <x:c r="A541" s="142" t="n">
        <x:v>10</x:v>
      </x:c>
      <x:c r="B541" s="115" t="str">
        <x:v>Sprache untersuchen</x:v>
      </x:c>
      <x:c r="C541" s="148" t="n">
        <x:v>57</x:v>
      </x:c>
      <x:c r="D541" s="115" t="str">
        <x:v>Rhetorik, Sprache und Wirkung: Lernstand feststellen</x:v>
      </x:c>
      <x:c r="E541" s="115" t="str">
        <x:v>Kurze Diagnose zu Rede, Kommentar und öffentliche Kommunikation bearbeiten; eigene Unsicherheiten markieren. Grundlegende Sicherung für Lernende mit HSA-Niveau beziehungsweise zusätzlichem Förderbedarf; kurze Materialien und feste Arbeitsschritte.</x:v>
      </x:c>
      <x:c r="F541" s="115" t="str">
        <x:v>Diagnose zu Rede, Kommentar und öffentliche Kommunikation auswerten; Fehlermuster benennen und persönliche Lernziele ableiten. RSA-orientiert: vollständige Anforderungsbreite der Klassenstufe 10, selbstständige Planung, Analyse und reflektierte Bewertung.</x:v>
      </x:c>
      <x:c r="G541" s="115" t="str">
        <x:v>de_k10_st57_rhetorik_diagnose</x:v>
      </x:c>
      <x:c r="H541" s="176" t="e">
        <x:f>HYPERLINK("schueler/de_k10_st57_rhetorik_diagnose_app.html","Lernmodul öffnen")</x:f>
      </x:c>
      <x:c r="I541" s="177" t="e">
        <x:f>HYPERLINK("lehrer/de_k10_st57_rhetorik_diagnose_orga.html","Vorbereitung öffnen")</x:f>
      </x:c>
    </x:row>
    <x:row r="542" ht="65" customHeight="1">
      <x:c r="A542" s="142" t="n">
        <x:v>10</x:v>
      </x:c>
      <x:c r="B542" s="115" t="str">
        <x:v>Sprache untersuchen</x:v>
      </x:c>
      <x:c r="C542" s="148" t="n">
        <x:v>58</x:v>
      </x:c>
      <x:c r="D542" s="115" t="str">
        <x:v>Rhetorik, Sprache und Wirkung: Grundbegriffe sichern</x:v>
      </x:c>
      <x:c r="E542" s="115" t="str">
        <x:v>Argumentationsmuster, rhetorische Mittel, Framing und Sprachregister an einfachen Beispielen erkennen und mit Merkkarten sichern. Grundlegende Sicherung für Lernende mit HSA-Niveau beziehungsweise zusätzlichem Förderbedarf; kurze Materialien und feste Arbeitsschritte.</x:v>
      </x:c>
      <x:c r="F542" s="115" t="str">
        <x:v>Argumentationsmuster, rhetorische Mittel, Framing und Sprachregister fachsprachlich erklären, voneinander abgrenzen und in komplexeren Beispielen bestimmen. RSA-orientiert: vollständige Anforderungsbreite der Klassenstufe 10, selbstständige Planung, Analyse und reflektierte Bewertung.</x:v>
      </x:c>
      <x:c r="G542" s="115" t="str">
        <x:v>de_k10_st58_rhetorik_grundbegriffe</x:v>
      </x:c>
      <x:c r="H542" s="176" t="e">
        <x:f>HYPERLINK("schueler/de_k10_st58_rhetorik_grundbegriffe_app.html","Lernmodul öffnen")</x:f>
      </x:c>
      <x:c r="I542" s="177" t="e">
        <x:f>HYPERLINK("lehrer/de_k10_st58_rhetorik_grundbegriffe_orga.html","Vorbereitung öffnen")</x:f>
      </x:c>
    </x:row>
    <x:row r="543" ht="65" customHeight="1">
      <x:c r="A543" s="142" t="n">
        <x:v>10</x:v>
      </x:c>
      <x:c r="B543" s="115" t="str">
        <x:v>Sprache untersuchen</x:v>
      </x:c>
      <x:c r="C543" s="148" t="n">
        <x:v>59</x:v>
      </x:c>
      <x:c r="D543" s="115" t="str">
        <x:v>Rhetorik, Sprache und Wirkung: Verfahren anwenden</x:v>
      </x:c>
      <x:c r="E543" s="115" t="str">
        <x:v>Sprach- und Wirkungsanalyse Schritt für Schritt anwenden; Entscheidungen mündlich begründen. Grundlegende Sicherung für Lernende mit HSA-Niveau beziehungsweise zusätzlichem Förderbedarf; kurze Materialien und feste Arbeitsschritte.</x:v>
      </x:c>
      <x:c r="F543" s="115" t="str">
        <x:v>Sprach- und Wirkungsanalyse selbstständig auswählen, kombinieren und auf Zweifelsfälle übertragen. RSA-orientiert: vollständige Anforderungsbreite der Klassenstufe 10, selbstständige Planung, Analyse und reflektierte Bewertung.</x:v>
      </x:c>
      <x:c r="G543" s="115" t="str">
        <x:v>de_k10_st59_rhetorik_verfahren</x:v>
      </x:c>
      <x:c r="H543" s="176" t="e">
        <x:f>HYPERLINK("schueler/de_k10_st59_rhetorik_verfahren_app.html","Lernmodul öffnen")</x:f>
      </x:c>
      <x:c r="I543" s="177" t="e">
        <x:f>HYPERLINK("lehrer/de_k10_st59_rhetorik_verfahren_orga.html","Vorbereitung öffnen")</x:f>
      </x:c>
    </x:row>
    <x:row r="544" ht="65" customHeight="1">
      <x:c r="A544" s="142" t="n">
        <x:v>10</x:v>
      </x:c>
      <x:c r="B544" s="115" t="str">
        <x:v>Sprache untersuchen</x:v>
      </x:c>
      <x:c r="C544" s="148" t="n">
        <x:v>60</x:v>
      </x:c>
      <x:c r="D544" s="115" t="str">
        <x:v>Rhetorik, Sprache und Wirkung: Formen und Funktionen untersuchen</x:v>
      </x:c>
      <x:c r="E544" s="115" t="str">
        <x:v>Formen bilden und ihre Aufgabe im Satz mit Leitfragen beschreiben. Grundlegende Sicherung für Lernende mit HSA-Niveau beziehungsweise zusätzlichem Förderbedarf; kurze Materialien und feste Arbeitsschritte.</x:v>
      </x:c>
      <x:c r="F544" s="115" t="str">
        <x:v>Form, Funktion und Wirkung im Satz oder Text untersuchen; alternative Formulierungen vergleichen. RSA-orientiert: vollständige Anforderungsbreite der Klassenstufe 10, selbstständige Planung, Analyse und reflektierte Bewertung.</x:v>
      </x:c>
      <x:c r="G544" s="115" t="str">
        <x:v>de_k10_st60_rhetorik_funktion</x:v>
      </x:c>
      <x:c r="H544" s="176" t="e">
        <x:f>HYPERLINK("schueler/de_k10_st60_rhetorik_funktion_app.html","Lernmodul öffnen")</x:f>
      </x:c>
      <x:c r="I544" s="177" t="e">
        <x:f>HYPERLINK("lehrer/de_k10_st60_rhetorik_funktion_orga.html","Vorbereitung öffnen")</x:f>
      </x:c>
    </x:row>
    <x:row r="545" ht="65" customHeight="1">
      <x:c r="A545" s="142" t="n">
        <x:v>10</x:v>
      </x:c>
      <x:c r="B545" s="115" t="str">
        <x:v>Schreiben</x:v>
      </x:c>
      <x:c r="C545" s="148" t="n">
        <x:v>61</x:v>
      </x:c>
      <x:c r="D545" s="115" t="str">
        <x:v>Rhetorik, Sprache und Wirkung: Wissen im eigenen Text nutzen</x:v>
      </x:c>
      <x:c r="E545" s="115" t="str">
        <x:v>Redeanalyse und eigene rede nach Vorgabe verfassen und die geübten Strukturen farbig markieren. Grundlegende Sicherung für Lernende mit HSA-Niveau beziehungsweise zusätzlichem Förderbedarf; kurze Materialien und feste Arbeitsschritte.</x:v>
      </x:c>
      <x:c r="F545" s="115" t="str">
        <x:v>Redeanalyse und eigene rede bewusst gestalten und sprachliche Entscheidungen kommentieren. RSA-orientiert: vollständige Anforderungsbreite der Klassenstufe 10, selbstständige Planung, Analyse und reflektierte Bewertung.</x:v>
      </x:c>
      <x:c r="G545" s="115" t="str">
        <x:v>de_k10_st61_rhetorik_anwenden</x:v>
      </x:c>
      <x:c r="H545" s="176" t="e">
        <x:f>HYPERLINK("schueler/de_k10_st61_rhetorik_anwenden_app.html","Lernmodul öffnen")</x:f>
      </x:c>
      <x:c r="I545" s="177" t="e">
        <x:f>HYPERLINK("lehrer/de_k10_st61_rhetorik_anwenden_orga.html","Vorbereitung öffnen")</x:f>
      </x:c>
    </x:row>
    <x:row r="546" ht="65" customHeight="1">
      <x:c r="A546" s="142" t="n">
        <x:v>10</x:v>
      </x:c>
      <x:c r="B546" s="115" t="str">
        <x:v>Sprache untersuchen</x:v>
      </x:c>
      <x:c r="C546" s="148" t="n">
        <x:v>62</x:v>
      </x:c>
      <x:c r="D546" s="115" t="str">
        <x:v>Rhetorik, Sprache und Wirkung: Fehler finden und korrigieren</x:v>
      </x:c>
      <x:c r="E546" s="115" t="str">
        <x:v>Typische Fehler in kurzen Sätzen finden; passende Regelkarte auswählen und korrigieren. Grundlegende Sicherung für Lernende mit HSA-Niveau beziehungsweise zusätzlichem Förderbedarf; kurze Materialien und feste Arbeitsschritte.</x:v>
      </x:c>
      <x:c r="F546" s="115" t="str">
        <x:v>Fehler systematisch diagnostizieren, Regelbezug herstellen und mehrere Korrekturmöglichkeiten bewerten. RSA-orientiert: vollständige Anforderungsbreite der Klassenstufe 10, selbstständige Planung, Analyse und reflektierte Bewertung.</x:v>
      </x:c>
      <x:c r="G546" s="115" t="str">
        <x:v>de_k10_st62_rhetorik_fehler</x:v>
      </x:c>
      <x:c r="H546" s="176" t="e">
        <x:f>HYPERLINK("schueler/de_k10_st62_rhetorik_fehler_app.html","Lernmodul öffnen")</x:f>
      </x:c>
      <x:c r="I546" s="177" t="e">
        <x:f>HYPERLINK("lehrer/de_k10_st62_rhetorik_fehler_orga.html","Vorbereitung öffnen")</x:f>
      </x:c>
    </x:row>
    <x:row r="547" ht="65" customHeight="1">
      <x:c r="A547" s="142" t="n">
        <x:v>10</x:v>
      </x:c>
      <x:c r="B547" s="115" t="str">
        <x:v>Sprache untersuchen</x:v>
      </x:c>
      <x:c r="C547" s="148" t="n">
        <x:v>63</x:v>
      </x:c>
      <x:c r="D547" s="115" t="str">
        <x:v>Rhetorik, Sprache und Wirkung: Transfer auf unbekannte Beispiele</x:v>
      </x:c>
      <x:c r="E547" s="115" t="str">
        <x:v>Neue Beispiele mit Hilfekarte bearbeiten und Lösungen vergleichen. Grundlegende Sicherung für Lernende mit HSA-Niveau beziehungsweise zusätzlichem Förderbedarf; kurze Materialien und feste Arbeitsschritte.</x:v>
      </x:c>
      <x:c r="F547" s="115" t="str">
        <x:v>Unbekannte und mehrdeutige Beispiele selbstständig analysieren; Grenzfälle begründet diskutieren. RSA-orientiert: vollständige Anforderungsbreite der Klassenstufe 10, selbstständige Planung, Analyse und reflektierte Bewertung.</x:v>
      </x:c>
      <x:c r="G547" s="115" t="str">
        <x:v>de_k10_st63_rhetorik_transfer</x:v>
      </x:c>
      <x:c r="H547" s="176" t="e">
        <x:f>HYPERLINK("schueler/de_k10_st63_rhetorik_transfer_app.html","Lernmodul öffnen")</x:f>
      </x:c>
      <x:c r="I547" s="177" t="e">
        <x:f>HYPERLINK("lehrer/de_k10_st63_rhetorik_transfer_orga.html","Vorbereitung öffnen")</x:f>
      </x:c>
    </x:row>
    <x:row r="548" ht="65" customHeight="1">
      <x:c r="A548" s="142" t="n">
        <x:v>10</x:v>
      </x:c>
      <x:c r="B548" s="115" t="str">
        <x:v>Schreiben</x:v>
      </x:c>
      <x:c r="C548" s="148" t="n">
        <x:v>64</x:v>
      </x:c>
      <x:c r="D548" s="115" t="str">
        <x:v>Rhetorik, Sprache und Wirkung: Lernprodukt und Kompetenzcheck</x:v>
      </x:c>
      <x:c r="E548" s="115" t="str">
        <x:v>Merkblatt oder Übungstext erstellen; Grundregeln in einem kurzen Kompetenzcheck anwenden. Grundlegende Sicherung für Lernende mit HSA-Niveau beziehungsweise zusätzlichem Förderbedarf; kurze Materialien und feste Arbeitsschritte.</x:v>
      </x:c>
      <x:c r="F548" s="115" t="str">
        <x:v>Erklärprodukt mit eigenen Beispielen erstellen; Regeln in einem anspruchsvollen Kompetenzcheck sicher anwenden. RSA-orientiert: vollständige Anforderungsbreite der Klassenstufe 10, selbstständige Planung, Analyse und reflektierte Bewertung.</x:v>
      </x:c>
      <x:c r="G548" s="115" t="str">
        <x:v>de_k10_st64_rhetorik_kompetenzcheck</x:v>
      </x:c>
      <x:c r="H548" s="176" t="e">
        <x:f>HYPERLINK("schueler/de_k10_st64_rhetorik_kompetenzcheck_app.html","Lernmodul öffnen")</x:f>
      </x:c>
      <x:c r="I548" s="177" t="e">
        <x:f>HYPERLINK("lehrer/de_k10_st64_rhetorik_kompetenzcheck_orga.html","Vorbereitung öffnen")</x:f>
      </x:c>
    </x:row>
    <x:row r="549" ht="65" customHeight="1">
      <x:c r="A549" s="142" t="n">
        <x:v>10</x:v>
      </x:c>
      <x:c r="B549" s="115" t="str">
        <x:v>Lesen/Umgang mit Texten</x:v>
      </x:c>
      <x:c r="C549" s="148" t="n">
        <x:v>65</x:v>
      </x:c>
      <x:c r="D549" s="115" t="str">
        <x:v>Berufliche Kommunikation: Beispieltexte untersuchen</x:v>
      </x:c>
      <x:c r="E549" s="115" t="str">
        <x:v>Ein Beispiel für Bewerbung, E-Mail, Protokoll und Beschwerde lesen; Aufbau und typische Formulierungen farbig kennzeichnen. Grundlegende Sicherung für Lernende mit HSA-Niveau beziehungsweise zusätzlichem Förderbedarf; kurze Materialien und feste Arbeitsschritte.</x:v>
      </x:c>
      <x:c r="F549" s="115" t="str">
        <x:v>Mehrere Beispiele für Bewerbung, E-Mail, Protokoll und Beschwerde vergleichen; Funktion, Adressat und Qualitätsunterschiede herausarbeiten. RSA-orientiert: vollständige Anforderungsbreite der Klassenstufe 10, selbstständige Planung, Analyse und reflektierte Bewertung.</x:v>
      </x:c>
      <x:c r="G549" s="115" t="str">
        <x:v>de_k10_st65_beruf_beispiel</x:v>
      </x:c>
      <x:c r="H549" s="176" t="e">
        <x:f>HYPERLINK("schueler/de_k10_st65_beruf_beispiel_app.html","Lernmodul öffnen")</x:f>
      </x:c>
      <x:c r="I549" s="177" t="e">
        <x:f>HYPERLINK("lehrer/de_k10_st65_beruf_beispiel_orga.html","Vorbereitung öffnen")</x:f>
      </x:c>
    </x:row>
    <x:row r="550" ht="65" customHeight="1">
      <x:c r="A550" s="142" t="n">
        <x:v>10</x:v>
      </x:c>
      <x:c r="B550" s="115" t="str">
        <x:v>Schreiben</x:v>
      </x:c>
      <x:c r="C550" s="148" t="n">
        <x:v>66</x:v>
      </x:c>
      <x:c r="D550" s="115" t="str">
        <x:v>Berufliche Kommunikation: Schreibziel und Kriterien klären</x:v>
      </x:c>
      <x:c r="E550" s="115" t="str">
        <x:v>Schreibziel „adressatenbezogen und normgerecht kommunizieren“ verstehen; eine kurze Kriterienliste auf ein Beispiel anwenden. Grundlegende Sicherung für Lernende mit HSA-Niveau beziehungsweise zusätzlichem Förderbedarf; kurze Materialien und feste Arbeitsschritte.</x:v>
      </x:c>
      <x:c r="F550" s="115" t="str">
        <x:v>Schreibziel „adressatenbezogen und normgerecht kommunizieren“ präzisieren; Kriterien gewichten und auf unterschiedliche Schreibsituationen übertragen. RSA-orientiert: vollständige Anforderungsbreite der Klassenstufe 10, selbstständige Planung, Analyse und reflektierte Bewertung.</x:v>
      </x:c>
      <x:c r="G550" s="115" t="str">
        <x:v>de_k10_st66_beruf_kriterien</x:v>
      </x:c>
      <x:c r="H550" s="176" t="e">
        <x:f>HYPERLINK("schueler/de_k10_st66_beruf_kriterien_app.html","Lernmodul öffnen")</x:f>
      </x:c>
      <x:c r="I550" s="177" t="e">
        <x:f>HYPERLINK("lehrer/de_k10_st66_beruf_kriterien_orga.html","Vorbereitung öffnen")</x:f>
      </x:c>
    </x:row>
    <x:row r="551" ht="65" customHeight="1">
      <x:c r="A551" s="142" t="n">
        <x:v>10</x:v>
      </x:c>
      <x:c r="B551" s="115" t="str">
        <x:v>Lesen/Umgang mit Texten</x:v>
      </x:c>
      <x:c r="C551" s="148" t="n">
        <x:v>67</x:v>
      </x:c>
      <x:c r="D551" s="115" t="str">
        <x:v>Berufliche Kommunikation: Inhalte auswählen und ordnen</x:v>
      </x:c>
      <x:c r="E551" s="115" t="str">
        <x:v>Anforderungsprofil, Gesprächssituation und Dokumentation mit Leitfragen sammeln und in einer vorgegebenen Reihenfolge ordnen. Grundlegende Sicherung für Lernende mit HSA-Niveau beziehungsweise zusätzlichem Förderbedarf; kurze Materialien und feste Arbeitsschritte.</x:v>
      </x:c>
      <x:c r="F551" s="115" t="str">
        <x:v>Anforderungsprofil, Gesprächssituation und Dokumentation selbstständig auswählen, gewichten und in einer passenden Gliederung strukturieren. RSA-orientiert: vollständige Anforderungsbreite der Klassenstufe 10, selbstständige Planung, Analyse und reflektierte Bewertung.</x:v>
      </x:c>
      <x:c r="G551" s="115" t="str">
        <x:v>de_k10_st67_beruf_inhalte_ordnen</x:v>
      </x:c>
      <x:c r="H551" s="176" t="e">
        <x:f>HYPERLINK("schueler/de_k10_st67_beruf_inhalte_ordnen_app.html","Lernmodul öffnen")</x:f>
      </x:c>
      <x:c r="I551" s="177" t="e">
        <x:f>HYPERLINK("lehrer/de_k10_st67_beruf_inhalte_ordnen_orga.html","Vorbereitung öffnen")</x:f>
      </x:c>
    </x:row>
    <x:row r="552" ht="65" customHeight="1">
      <x:c r="A552" s="142" t="n">
        <x:v>10</x:v>
      </x:c>
      <x:c r="B552" s="115" t="str">
        <x:v>Sprache untersuchen</x:v>
      </x:c>
      <x:c r="C552" s="148" t="n">
        <x:v>68</x:v>
      </x:c>
      <x:c r="D552" s="115" t="str">
        <x:v>Berufliche Kommunikation: passende sprachliche Mittel verwenden</x:v>
      </x:c>
      <x:c r="E552" s="115" t="str">
        <x:v>Fachsprache, Höflichkeit, Präzision, Textgestaltung in Übungen erkennen und nach Satzmustern anwenden. Grundlegende Sicherung für Lernende mit HSA-Niveau beziehungsweise zusätzlichem Förderbedarf; kurze Materialien und feste Arbeitsschritte.</x:v>
      </x:c>
      <x:c r="F552" s="115" t="str">
        <x:v>Fachsprache, Höflichkeit, Präzision, Textgestaltung hinsichtlich Wirkung und Angemessenheit prüfen und gezielt variieren. RSA-orientiert: vollständige Anforderungsbreite der Klassenstufe 10, selbstständige Planung, Analyse und reflektierte Bewertung.</x:v>
      </x:c>
      <x:c r="G552" s="115" t="str">
        <x:v>de_k10_st68_beruf_sprachmittel</x:v>
      </x:c>
      <x:c r="H552" s="176" t="e">
        <x:f>HYPERLINK("schueler/de_k10_st68_beruf_sprachmittel_app.html","Lernmodul öffnen")</x:f>
      </x:c>
      <x:c r="I552" s="177" t="e">
        <x:f>HYPERLINK("lehrer/de_k10_st68_beruf_sprachmittel_orga.html","Vorbereitung öffnen")</x:f>
      </x:c>
    </x:row>
    <x:row r="553" ht="65" customHeight="1">
      <x:c r="A553" s="142" t="n">
        <x:v>10</x:v>
      </x:c>
      <x:c r="B553" s="115" t="str">
        <x:v>Schreiben</x:v>
      </x:c>
      <x:c r="C553" s="148" t="n">
        <x:v>69</x:v>
      </x:c>
      <x:c r="D553" s="115" t="str">
        <x:v>Berufliche Kommunikation: einen Schreibplan erstellen</x:v>
      </x:c>
      <x:c r="E553" s="115" t="str">
        <x:v>Einen vorstrukturierten Schreibplan ausfüllen; Einleitung, Hauptteil und Schluss festlegen. Grundlegende Sicherung für Lernende mit HSA-Niveau beziehungsweise zusätzlichem Förderbedarf; kurze Materialien und feste Arbeitsschritte.</x:v>
      </x:c>
      <x:c r="F553" s="115" t="str">
        <x:v>Einen eigenen Schreibplan mit Teilzielen, Belegen und sprachlichen Mitteln entwickeln. RSA-orientiert: vollständige Anforderungsbreite der Klassenstufe 10, selbstständige Planung, Analyse und reflektierte Bewertung.</x:v>
      </x:c>
      <x:c r="G553" s="115" t="str">
        <x:v>de_k10_st69_beruf_schreibplan</x:v>
      </x:c>
      <x:c r="H553" s="176" t="e">
        <x:f>HYPERLINK("schueler/de_k10_st69_beruf_schreibplan_app.html","Lernmodul öffnen")</x:f>
      </x:c>
      <x:c r="I553" s="177" t="e">
        <x:f>HYPERLINK("lehrer/de_k10_st69_beruf_schreibplan_orga.html","Vorbereitung öffnen")</x:f>
      </x:c>
    </x:row>
    <x:row r="554" ht="65" customHeight="1">
      <x:c r="A554" s="142" t="n">
        <x:v>10</x:v>
      </x:c>
      <x:c r="B554" s="115" t="str">
        <x:v>Schreiben</x:v>
      </x:c>
      <x:c r="C554" s="148" t="n">
        <x:v>70</x:v>
      </x:c>
      <x:c r="D554" s="115" t="str">
        <x:v>Berufliche Kommunikation: einen ersten Textentwurf verfassen</x:v>
      </x:c>
      <x:c r="E554" s="115" t="str">
        <x:v>Bewerbungs- und kommunikationsmappe mithilfe von Schreibrahmen, Satzanfängen und Wortbank verfassen. Grundlegende Sicherung für Lernende mit HSA-Niveau beziehungsweise zusätzlichem Förderbedarf; kurze Materialien und feste Arbeitsschritte.</x:v>
      </x:c>
      <x:c r="F554" s="115" t="str">
        <x:v>Bewerbungs- und kommunikationsmappe selbstständig, adressatenbezogen und sprachlich differenziert verfassen. RSA-orientiert: vollständige Anforderungsbreite der Klassenstufe 10, selbstständige Planung, Analyse und reflektierte Bewertung.</x:v>
      </x:c>
      <x:c r="G554" s="115" t="str">
        <x:v>de_k10_st70_beruf_entwurf</x:v>
      </x:c>
      <x:c r="H554" s="176" t="e">
        <x:f>HYPERLINK("schueler/de_k10_st70_beruf_entwurf_app.html","Lernmodul öffnen")</x:f>
      </x:c>
      <x:c r="I554" s="177" t="e">
        <x:f>HYPERLINK("lehrer/de_k10_st70_beruf_entwurf_orga.html","Vorbereitung öffnen")</x:f>
      </x:c>
    </x:row>
    <x:row r="555" ht="65" customHeight="1">
      <x:c r="A555" s="142" t="n">
        <x:v>10</x:v>
      </x:c>
      <x:c r="B555" s="115" t="str">
        <x:v>Schreiben</x:v>
      </x:c>
      <x:c r="C555" s="148" t="n">
        <x:v>71</x:v>
      </x:c>
      <x:c r="D555" s="115" t="str">
        <x:v>Berufliche Kommunikation: Text kriteriengeleitet überarbeiten</x:v>
      </x:c>
      <x:c r="E555" s="115" t="str">
        <x:v>Text mit einer kurzen Prüfliste überarbeiten; einen inhaltlichen und einen sprachlichen Fehler verbessern. Grundlegende Sicherung für Lernende mit HSA-Niveau beziehungsweise zusätzlichem Förderbedarf; kurze Materialien und feste Arbeitsschritte.</x:v>
      </x:c>
      <x:c r="F555" s="115" t="str">
        <x:v>Text in mehreren Überarbeitungsschritten prüfen; Aufbau, Kohärenz, Stil und Normrichtigkeit gezielt optimieren. RSA-orientiert: vollständige Anforderungsbreite der Klassenstufe 10, selbstständige Planung, Analyse und reflektierte Bewertung.</x:v>
      </x:c>
      <x:c r="G555" s="115" t="str">
        <x:v>de_k10_st71_beruf_ueberarbeiten</x:v>
      </x:c>
      <x:c r="H555" s="176" t="e">
        <x:f>HYPERLINK("schueler/de_k10_st71_beruf_ueberarbeiten_app.html","Lernmodul öffnen")</x:f>
      </x:c>
      <x:c r="I555" s="177" t="e">
        <x:f>HYPERLINK("lehrer/de_k10_st71_beruf_ueberarbeiten_orga.html","Vorbereitung öffnen")</x:f>
      </x:c>
    </x:row>
    <x:row r="556" ht="65" customHeight="1">
      <x:c r="A556" s="142" t="n">
        <x:v>10</x:v>
      </x:c>
      <x:c r="B556" s="115" t="str">
        <x:v>Sprechen und Zuhören</x:v>
      </x:c>
      <x:c r="C556" s="148" t="n">
        <x:v>72</x:v>
      </x:c>
      <x:c r="D556" s="115" t="str">
        <x:v>Berufliche Kommunikation: Texte vorstellen und bewerten</x:v>
      </x:c>
      <x:c r="E556" s="115" t="str">
        <x:v>Ausgewählte Passage vorlesen oder erläutern; Rückmeldung mit einfachen Satzmustern geben. Grundlegende Sicherung für Lernende mit HSA-Niveau beziehungsweise zusätzlichem Förderbedarf; kurze Materialien und feste Arbeitsschritte.</x:v>
      </x:c>
      <x:c r="F556" s="115" t="str">
        <x:v>Textwirkung und Schreibentscheidungen erläutern; differenziertes Peer-Feedback geben und begründet annehmen. RSA-orientiert: vollständige Anforderungsbreite der Klassenstufe 10, selbstständige Planung, Analyse und reflektierte Bewertung.</x:v>
      </x:c>
      <x:c r="G556" s="115" t="str">
        <x:v>de_k10_st72_beruf_vorstellen</x:v>
      </x:c>
      <x:c r="H556" s="176" t="e">
        <x:f>HYPERLINK("schueler/de_k10_st72_beruf_vorstellen_app.html","Lernmodul öffnen")</x:f>
      </x:c>
      <x:c r="I556" s="177" t="e">
        <x:f>HYPERLINK("lehrer/de_k10_st72_beruf_vorstellen_orga.html","Vorbereitung öffnen")</x:f>
      </x:c>
    </x:row>
    <x:row r="557" ht="65" customHeight="1">
      <x:c r="A557" s="142" t="n">
        <x:v>10</x:v>
      </x:c>
      <x:c r="B557" s="115" t="str">
        <x:v>Sprechen und Zuhören</x:v>
      </x:c>
      <x:c r="C557" s="148" t="n">
        <x:v>73</x:v>
      </x:c>
      <x:c r="D557" s="115" t="str">
        <x:v>Liebeslyrik und politische Lyrik: Hör- oder Leseeinstieg gestalten</x:v>
      </x:c>
      <x:c r="E557" s="115" t="str">
        <x:v>Einstieg über Bild, Hörtext oder kurzen Auszug; Vorwissen zu Gedichte verschiedener Epochen sammeln und zentrale Wörter klären. Grundlegende Sicherung für Lernende mit HSA-Niveau beziehungsweise zusätzlichem Förderbedarf; kurze Materialien und feste Arbeitsschritte.</x:v>
      </x:c>
      <x:c r="F557" s="115" t="str">
        <x:v>Aus Titel, Kontext und Gestaltung Erwartungen an Gedichte verschiedener Epochen ableiten; erste Hypothesen formulieren und begründen. RSA-orientiert: vollständige Anforderungsbreite der Klassenstufe 10, selbstständige Planung, Analyse und reflektierte Bewertung.</x:v>
      </x:c>
      <x:c r="G557" s="115" t="str">
        <x:v>de_k10_st73_lyrik_einstieg</x:v>
      </x:c>
      <x:c r="H557" s="176" t="e">
        <x:f>HYPERLINK("schueler/de_k10_st73_lyrik_einstieg_app.html","Lernmodul öffnen")</x:f>
      </x:c>
      <x:c r="I557" s="177" t="e">
        <x:f>HYPERLINK("lehrer/de_k10_st73_lyrik_einstieg_orga.html","Vorbereitung öffnen")</x:f>
      </x:c>
    </x:row>
    <x:row r="558" ht="65" customHeight="1">
      <x:c r="A558" s="142" t="n">
        <x:v>10</x:v>
      </x:c>
      <x:c r="B558" s="115" t="str">
        <x:v>Lesen/Umgang mit Texten</x:v>
      </x:c>
      <x:c r="C558" s="148" t="n">
        <x:v>74</x:v>
      </x:c>
      <x:c r="D558" s="115" t="str">
        <x:v>Liebeslyrik und politische Lyrik: den Text mit Lesestrategien erschließen</x:v>
      </x:c>
      <x:c r="E558" s="115" t="str">
        <x:v>Text abschnittsweise lesen; Schlüsselwörter markieren und den Inhalt mit Leitfragen sichern. Grundlegende Sicherung für Lernende mit HSA-Niveau beziehungsweise zusätzlichem Förderbedarf; kurze Materialien und feste Arbeitsschritte.</x:v>
      </x:c>
      <x:c r="F558" s="115" t="str">
        <x:v>Lesetechnik passend zum Ziel wählen; Sinnabschnitte, Schlüsselstellen und offene Fragen selbstständig festhalten. RSA-orientiert: vollständige Anforderungsbreite der Klassenstufe 10, selbstständige Planung, Analyse und reflektierte Bewertung.</x:v>
      </x:c>
      <x:c r="G558" s="115" t="str">
        <x:v>de_k10_st74_lyrik_erschliessen</x:v>
      </x:c>
      <x:c r="H558" s="176" t="e">
        <x:f>HYPERLINK("schueler/de_k10_st74_lyrik_erschliessen_app.html","Lernmodul öffnen")</x:f>
      </x:c>
      <x:c r="I558" s="177" t="e">
        <x:f>HYPERLINK("lehrer/de_k10_st74_lyrik_erschliessen_orga.html","Vorbereitung öffnen")</x:f>
      </x:c>
    </x:row>
    <x:row r="559" ht="65" customHeight="1">
      <x:c r="A559" s="142" t="n">
        <x:v>10</x:v>
      </x:c>
      <x:c r="B559" s="115" t="str">
        <x:v>Lesen/Umgang mit Texten</x:v>
      </x:c>
      <x:c r="C559" s="148" t="n">
        <x:v>75</x:v>
      </x:c>
      <x:c r="D559" s="115" t="str">
        <x:v>Liebeslyrik und politische Lyrik: Gattungsmerkmale erkennen</x:v>
      </x:c>
      <x:c r="E559" s="115" t="str">
        <x:v>Merkmale wie Sprecher, Thema, Form und Stimmung mithilfe einer Checkliste zuordnen und an Textstellen zeigen. Grundlegende Sicherung für Lernende mit HSA-Niveau beziehungsweise zusätzlichem Förderbedarf; kurze Materialien und feste Arbeitsschritte.</x:v>
      </x:c>
      <x:c r="F559" s="115" t="str">
        <x:v>Merkmale wie Sprecher, Thema, Form und Stimmung textnah belegen und ihre Funktion für Aufbau und Wirkung erklären. RSA-orientiert: vollständige Anforderungsbreite der Klassenstufe 10, selbstständige Planung, Analyse und reflektierte Bewertung.</x:v>
      </x:c>
      <x:c r="G559" s="115" t="str">
        <x:v>de_k10_st75_lyrik_merkmale</x:v>
      </x:c>
      <x:c r="H559" s="176" t="e">
        <x:f>HYPERLINK("schueler/de_k10_st75_lyrik_merkmale_app.html","Lernmodul öffnen")</x:f>
      </x:c>
      <x:c r="I559" s="177" t="e">
        <x:f>HYPERLINK("lehrer/de_k10_st75_lyrik_merkmale_orga.html","Vorbereitung öffnen")</x:f>
      </x:c>
    </x:row>
    <x:row r="560" ht="65" customHeight="1">
      <x:c r="A560" s="142" t="n">
        <x:v>10</x:v>
      </x:c>
      <x:c r="B560" s="115" t="str">
        <x:v>Lesen/Umgang mit Texten</x:v>
      </x:c>
      <x:c r="C560" s="148" t="n">
        <x:v>76</x:v>
      </x:c>
      <x:c r="D560" s="115" t="str">
        <x:v>Liebeslyrik und politische Lyrik: Figuren, Handlung und Konflikt untersuchen</x:v>
      </x:c>
      <x:c r="E560" s="115" t="str">
        <x:v>Epochenvergleich, Motivgeschichte und Mehrdeutigkeit mit Figurenkarten oder Handlungsstreifen ordnen; einfache Belege auswählen. Grundlegende Sicherung für Lernende mit HSA-Niveau beziehungsweise zusätzlichem Förderbedarf; kurze Materialien und feste Arbeitsschritte.</x:v>
      </x:c>
      <x:c r="F560" s="115" t="str">
        <x:v>Epochenvergleich, Motivgeschichte und Mehrdeutigkeit in ihrem Zusammenhang untersuchen; Schlussfolgerungen mit passenden Textbelegen absichern. RSA-orientiert: vollständige Anforderungsbreite der Klassenstufe 10, selbstständige Planung, Analyse und reflektierte Bewertung.</x:v>
      </x:c>
      <x:c r="G560" s="115" t="str">
        <x:v>de_k10_st76_lyrik_figuren_handlung</x:v>
      </x:c>
      <x:c r="H560" s="176" t="e">
        <x:f>HYPERLINK("schueler/de_k10_st76_lyrik_figuren_handlung_app.html","Lernmodul öffnen")</x:f>
      </x:c>
      <x:c r="I560" s="177" t="e">
        <x:f>HYPERLINK("lehrer/de_k10_st76_lyrik_figuren_handlung_orga.html","Vorbereitung öffnen")</x:f>
      </x:c>
    </x:row>
    <x:row r="561" ht="65" customHeight="1">
      <x:c r="A561" s="142" t="n">
        <x:v>10</x:v>
      </x:c>
      <x:c r="B561" s="115" t="str">
        <x:v>Sprache untersuchen</x:v>
      </x:c>
      <x:c r="C561" s="148" t="n">
        <x:v>77</x:v>
      </x:c>
      <x:c r="D561" s="115" t="str">
        <x:v>Liebeslyrik und politische Lyrik: Sprache und Wirkung untersuchen</x:v>
      </x:c>
      <x:c r="E561" s="115" t="str">
        <x:v>Beispiele für Metrum, Bildlichkeit, rhetorische Mittel markieren und ihre Wirkung mit vorgegebenen Begriffen beschreiben. Grundlegende Sicherung für Lernende mit HSA-Niveau beziehungsweise zusätzlichem Förderbedarf; kurze Materialien und feste Arbeitsschritte.</x:v>
      </x:c>
      <x:c r="F561" s="115" t="str">
        <x:v>Metrum, Bildlichkeit, rhetorische Mittel fachsprachlich analysieren und auf Figurenzeichnung, Stimmung oder Aussage beziehen. RSA-orientiert: vollständige Anforderungsbreite der Klassenstufe 10, selbstständige Planung, Analyse und reflektierte Bewertung.</x:v>
      </x:c>
      <x:c r="G561" s="115" t="str">
        <x:v>de_k10_st77_lyrik_sprache_wirkung</x:v>
      </x:c>
      <x:c r="H561" s="176" t="e">
        <x:f>HYPERLINK("schueler/de_k10_st77_lyrik_sprache_wirkung_app.html","Lernmodul öffnen")</x:f>
      </x:c>
      <x:c r="I561" s="177" t="e">
        <x:f>HYPERLINK("lehrer/de_k10_st77_lyrik_sprache_wirkung_orga.html","Vorbereitung öffnen")</x:f>
      </x:c>
    </x:row>
    <x:row r="562" ht="65" customHeight="1">
      <x:c r="A562" s="142" t="n">
        <x:v>10</x:v>
      </x:c>
      <x:c r="B562" s="115" t="str">
        <x:v>Schreiben</x:v>
      </x:c>
      <x:c r="C562" s="148" t="n">
        <x:v>78</x:v>
      </x:c>
      <x:c r="D562" s="115" t="str">
        <x:v>Liebeslyrik und politische Lyrik: eine Deutung oder Perspektive vorbereiten</x:v>
      </x:c>
      <x:c r="E562" s="115" t="str">
        <x:v>Eine zentrale Aussage mit Satzstartern formulieren; Beleg und Erklärung in einem Schreibrahmen verbinden. Grundlegende Sicherung für Lernende mit HSA-Niveau beziehungsweise zusätzlichem Förderbedarf; kurze Materialien und feste Arbeitsschritte.</x:v>
      </x:c>
      <x:c r="F562" s="115" t="str">
        <x:v>Eine schlüssige Deutungshypothese entwickeln; mehrere Belege auswählen, ordnen und gegeneinander abwägen. RSA-orientiert: vollständige Anforderungsbreite der Klassenstufe 10, selbstständige Planung, Analyse und reflektierte Bewertung.</x:v>
      </x:c>
      <x:c r="G562" s="115" t="str">
        <x:v>de_k10_st78_lyrik_deutung_planen</x:v>
      </x:c>
      <x:c r="H562" s="176" t="e">
        <x:f>HYPERLINK("schueler/de_k10_st78_lyrik_deutung_planen_app.html","Lernmodul öffnen")</x:f>
      </x:c>
      <x:c r="I562" s="177" t="e">
        <x:f>HYPERLINK("lehrer/de_k10_st78_lyrik_deutung_planen_orga.html","Vorbereitung öffnen")</x:f>
      </x:c>
    </x:row>
    <x:row r="563" ht="65" customHeight="1">
      <x:c r="A563" s="142" t="n">
        <x:v>10</x:v>
      </x:c>
      <x:c r="B563" s="115" t="str">
        <x:v>Schreiben</x:v>
      </x:c>
      <x:c r="C563" s="148" t="n">
        <x:v>79</x:v>
      </x:c>
      <x:c r="D563" s="115" t="str">
        <x:v>Liebeslyrik und politische Lyrik: vergleichende Gedichtanalyse gestalten</x:v>
      </x:c>
      <x:c r="E563" s="115" t="str">
        <x:v>Vergleichende gedichtanalyse nach klaren Vorgaben erstellen; Hilfekarten und Wortbank nutzen. Grundlegende Sicherung für Lernende mit HSA-Niveau beziehungsweise zusätzlichem Förderbedarf; kurze Materialien und feste Arbeitsschritte.</x:v>
      </x:c>
      <x:c r="F563" s="115" t="str">
        <x:v>Vergleichende gedichtanalyse eigenständig, textnah und sprachlich variabel gestalten; Wirkung bewusst planen. RSA-orientiert: vollständige Anforderungsbreite der Klassenstufe 10, selbstständige Planung, Analyse und reflektierte Bewertung.</x:v>
      </x:c>
      <x:c r="G563" s="115" t="str">
        <x:v>de_k10_st79_lyrik_produkt</x:v>
      </x:c>
      <x:c r="H563" s="176" t="e">
        <x:f>HYPERLINK("schueler/de_k10_st79_lyrik_produkt_app.html","Lernmodul öffnen")</x:f>
      </x:c>
      <x:c r="I563" s="177" t="e">
        <x:f>HYPERLINK("lehrer/de_k10_st79_lyrik_produkt_orga.html","Vorbereitung öffnen")</x:f>
      </x:c>
    </x:row>
    <x:row r="564" ht="65" customHeight="1">
      <x:c r="A564" s="142" t="n">
        <x:v>10</x:v>
      </x:c>
      <x:c r="B564" s="115" t="str">
        <x:v>Sprechen und Zuhören</x:v>
      </x:c>
      <x:c r="C564" s="148" t="n">
        <x:v>80</x:v>
      </x:c>
      <x:c r="D564" s="115" t="str">
        <x:v>Liebeslyrik und politische Lyrik: Ergebnisse präsentieren und reflektieren</x:v>
      </x:c>
      <x:c r="E564" s="115" t="str">
        <x:v>Ergebnis kurz vorstellen; zwei vereinbarte Kriterien für Rückmeldung anwenden. Grundlegende Sicherung für Lernende mit HSA-Niveau beziehungsweise zusätzlichem Förderbedarf; kurze Materialien und feste Arbeitsschritte.</x:v>
      </x:c>
      <x:c r="F564" s="115" t="str">
        <x:v>Ergebnis adressatenbezogen präsentieren; Rückmeldungen begründen und die eigene Deutung oder Gestaltung überarbeiten. RSA-orientiert: vollständige Anforderungsbreite der Klassenstufe 10, selbstständige Planung, Analyse und reflektierte Bewertung.</x:v>
      </x:c>
      <x:c r="G564" s="115" t="str">
        <x:v>de_k10_st80_lyrik_praesentieren</x:v>
      </x:c>
      <x:c r="H564" s="176" t="e">
        <x:f>HYPERLINK("schueler/de_k10_st80_lyrik_praesentieren_app.html","Lernmodul öffnen")</x:f>
      </x:c>
      <x:c r="I564" s="177" t="e">
        <x:f>HYPERLINK("lehrer/de_k10_st80_lyrik_praesentieren_orga.html","Vorbereitung öffnen")</x:f>
      </x:c>
    </x:row>
    <x:row r="565" ht="65" customHeight="1">
      <x:c r="A565" s="142" t="n">
        <x:v>10</x:v>
      </x:c>
      <x:c r="B565" s="115" t="str">
        <x:v>Sprechen und Zuhören</x:v>
      </x:c>
      <x:c r="C565" s="148" t="n">
        <x:v>81</x:v>
      </x:c>
      <x:c r="D565" s="115" t="str">
        <x:v>Prüfungssimulation Deutsch: Vorwissen und Positionen klären</x:v>
      </x:c>
      <x:c r="E565" s="115" t="str">
        <x:v>Eigene Erfahrungen zu vollständige RSA-Prüfungsformate benennen; zentrale Begriffe mit Beispielen klären. Grundlegende Sicherung für Lernende mit HSA-Niveau beziehungsweise zusätzlichem Förderbedarf; kurze Materialien und feste Arbeitsschritte.</x:v>
      </x:c>
      <x:c r="F565" s="115" t="str">
        <x:v>Vorwissen zu vollständige RSA-Prüfungsformate strukturieren; erste Positionen formulieren und mögliche Konflikte benennen. RSA-orientiert: vollständige Anforderungsbreite der Klassenstufe 10, selbstständige Planung, Analyse und reflektierte Bewertung.</x:v>
      </x:c>
      <x:c r="G565" s="115" t="str">
        <x:v>de_k10_st81_simulation_einstieg</x:v>
      </x:c>
      <x:c r="H565" s="176" t="e">
        <x:f>HYPERLINK("schueler/de_k10_st81_simulation_einstieg_app.html","Lernmodul öffnen")</x:f>
      </x:c>
      <x:c r="I565" s="177" t="e">
        <x:f>HYPERLINK("lehrer/de_k10_st81_simulation_einstieg_orga.html","Vorbereitung öffnen")</x:f>
      </x:c>
    </x:row>
    <x:row r="566" ht="65" customHeight="1">
      <x:c r="A566" s="142" t="n">
        <x:v>10</x:v>
      </x:c>
      <x:c r="B566" s="115" t="str">
        <x:v>Lesen/Umgang mit Texten</x:v>
      </x:c>
      <x:c r="C566" s="148" t="n">
        <x:v>82</x:v>
      </x:c>
      <x:c r="D566" s="115" t="str">
        <x:v>Prüfungssimulation Deutsch: Quellen und Materialien erschließen</x:v>
      </x:c>
      <x:c r="E566" s="115" t="str">
        <x:v>Kurze Materialien lesen oder ansehen; Hauptaussagen mit Leitfragen festhalten. Grundlegende Sicherung für Lernende mit HSA-Niveau beziehungsweise zusätzlichem Förderbedarf; kurze Materialien und feste Arbeitsschritte.</x:v>
      </x:c>
      <x:c r="F566" s="115" t="str">
        <x:v>Unterschiedliche Materialien selbstständig erschließen; Aussage, Intention und Kontext bestimmen. RSA-orientiert: vollständige Anforderungsbreite der Klassenstufe 10, selbstständige Planung, Analyse und reflektierte Bewertung.</x:v>
      </x:c>
      <x:c r="G566" s="115" t="str">
        <x:v>de_k10_st82_simulation_quellen</x:v>
      </x:c>
      <x:c r="H566" s="176" t="e">
        <x:f>HYPERLINK("schueler/de_k10_st82_simulation_quellen_app.html","Lernmodul öffnen")</x:f>
      </x:c>
      <x:c r="I566" s="177" t="e">
        <x:f>HYPERLINK("lehrer/de_k10_st82_simulation_quellen_orga.html","Vorbereitung öffnen")</x:f>
      </x:c>
    </x:row>
    <x:row r="567" ht="65" customHeight="1">
      <x:c r="A567" s="142" t="n">
        <x:v>10</x:v>
      </x:c>
      <x:c r="B567" s="115" t="str">
        <x:v>Lesen/Umgang mit Texten</x:v>
      </x:c>
      <x:c r="C567" s="148" t="n">
        <x:v>83</x:v>
      </x:c>
      <x:c r="D567" s="115" t="str">
        <x:v>Prüfungssimulation Deutsch: Qualitätskriterien anwenden</x:v>
      </x:c>
      <x:c r="E567" s="115" t="str">
        <x:v>Aufgabenwahl, Planung, Textproduktion und Kontrolle in einer Checkliste anwenden und Auffälligkeiten markieren. Grundlegende Sicherung für Lernende mit HSA-Niveau beziehungsweise zusätzlichem Förderbedarf; kurze Materialien und feste Arbeitsschritte.</x:v>
      </x:c>
      <x:c r="F567" s="115" t="str">
        <x:v>Aufgabenwahl, Planung, Textproduktion und Kontrolle gewichten, auf Grenzfälle anwenden und begründete Qualitätsurteile formulieren. RSA-orientiert: vollständige Anforderungsbreite der Klassenstufe 10, selbstständige Planung, Analyse und reflektierte Bewertung.</x:v>
      </x:c>
      <x:c r="G567" s="115" t="str">
        <x:v>de_k10_st83_simulation_kriterien</x:v>
      </x:c>
      <x:c r="H567" s="176" t="e">
        <x:f>HYPERLINK("schueler/de_k10_st83_simulation_kriterien_app.html","Lernmodul öffnen")</x:f>
      </x:c>
      <x:c r="I567" s="177" t="e">
        <x:f>HYPERLINK("lehrer/de_k10_st83_simulation_kriterien_orga.html","Vorbereitung öffnen")</x:f>
      </x:c>
    </x:row>
    <x:row r="568" ht="65" customHeight="1">
      <x:c r="A568" s="142" t="n">
        <x:v>10</x:v>
      </x:c>
      <x:c r="B568" s="115" t="str">
        <x:v>Lesen/Umgang mit Texten</x:v>
      </x:c>
      <x:c r="C568" s="148" t="n">
        <x:v>84</x:v>
      </x:c>
      <x:c r="D568" s="115" t="str">
        <x:v>Prüfungssimulation Deutsch: Darstellungen vergleichen</x:v>
      </x:c>
      <x:c r="E568" s="115" t="str">
        <x:v>Verschiedene aufgabenprofile und bewertungskriterien nach vorgegebenen Merkmalen vergleichen. Grundlegende Sicherung für Lernende mit HSA-Niveau beziehungsweise zusätzlichem Förderbedarf; kurze Materialien und feste Arbeitsschritte.</x:v>
      </x:c>
      <x:c r="F568" s="115" t="str">
        <x:v>Verschiedene aufgabenprofile und bewertungskriterien hinsichtlich Informationsauswahl, Gestaltung, Wirkung und Interessen vergleichen. RSA-orientiert: vollständige Anforderungsbreite der Klassenstufe 10, selbstständige Planung, Analyse und reflektierte Bewertung.</x:v>
      </x:c>
      <x:c r="G568" s="115" t="str">
        <x:v>de_k10_st84_simulation_vergleichen</x:v>
      </x:c>
      <x:c r="H568" s="176" t="e">
        <x:f>HYPERLINK("schueler/de_k10_st84_simulation_vergleichen_app.html","Lernmodul öffnen")</x:f>
      </x:c>
      <x:c r="I568" s="177" t="e">
        <x:f>HYPERLINK("lehrer/de_k10_st84_simulation_vergleichen_orga.html","Vorbereitung öffnen")</x:f>
      </x:c>
    </x:row>
    <x:row r="569" ht="65" customHeight="1">
      <x:c r="A569" s="142" t="n">
        <x:v>10</x:v>
      </x:c>
      <x:c r="B569" s="115" t="str">
        <x:v>Schreiben</x:v>
      </x:c>
      <x:c r="C569" s="148" t="n">
        <x:v>85</x:v>
      </x:c>
      <x:c r="D569" s="115" t="str">
        <x:v>Prüfungssimulation Deutsch: Informationen prüfen und ordnen</x:v>
      </x:c>
      <x:c r="E569" s="115" t="str">
        <x:v>Informationen aus vorgegebenen Quellen auswählen; Fundstellen notieren und geordnet ablegen. Grundlegende Sicherung für Lernende mit HSA-Niveau beziehungsweise zusätzlichem Förderbedarf; kurze Materialien und feste Arbeitsschritte.</x:v>
      </x:c>
      <x:c r="F569" s="115" t="str">
        <x:v>Recherchefrage entwickeln; Quellen prüfen, Informationen abgleichen und korrekt dokumentieren. RSA-orientiert: vollständige Anforderungsbreite der Klassenstufe 10, selbstständige Planung, Analyse und reflektierte Bewertung.</x:v>
      </x:c>
      <x:c r="G569" s="115" t="str">
        <x:v>de_k10_st85_simulation_recherche</x:v>
      </x:c>
      <x:c r="H569" s="176" t="e">
        <x:f>HYPERLINK("schueler/de_k10_st85_simulation_recherche_app.html","Lernmodul öffnen")</x:f>
      </x:c>
      <x:c r="I569" s="177" t="e">
        <x:f>HYPERLINK("lehrer/de_k10_st85_simulation_recherche_orga.html","Vorbereitung öffnen")</x:f>
      </x:c>
    </x:row>
    <x:row r="570" ht="65" customHeight="1">
      <x:c r="A570" s="142" t="n">
        <x:v>10</x:v>
      </x:c>
      <x:c r="B570" s="115" t="str">
        <x:v>Schreiben</x:v>
      </x:c>
      <x:c r="C570" s="148" t="n">
        <x:v>86</x:v>
      </x:c>
      <x:c r="D570" s="115" t="str">
        <x:v>Prüfungssimulation Deutsch: Produkt planen</x:v>
      </x:c>
      <x:c r="E570" s="115" t="str">
        <x:v>Für Prüfung unter Zeitvorgabe einen vorgegebenen Arbeitsplan ergänzen; Aufgaben verteilen. Grundlegende Sicherung für Lernende mit HSA-Niveau beziehungsweise zusätzlichem Förderbedarf; kurze Materialien und feste Arbeitsschritte.</x:v>
      </x:c>
      <x:c r="F570" s="115" t="str">
        <x:v>Für Prüfung unter Zeitvorgabe Zielgruppe, Aufbau, Medienwahl, Zeitplan und Qualitätskontrolle selbstständig festlegen. RSA-orientiert: vollständige Anforderungsbreite der Klassenstufe 10, selbstständige Planung, Analyse und reflektierte Bewertung.</x:v>
      </x:c>
      <x:c r="G570" s="115" t="str">
        <x:v>de_k10_st86_simulation_planen</x:v>
      </x:c>
      <x:c r="H570" s="176" t="e">
        <x:f>HYPERLINK("schueler/de_k10_st86_simulation_planen_app.html","Lernmodul öffnen")</x:f>
      </x:c>
      <x:c r="I570" s="177" t="e">
        <x:f>HYPERLINK("lehrer/de_k10_st86_simulation_planen_orga.html","Vorbereitung öffnen")</x:f>
      </x:c>
    </x:row>
    <x:row r="571" ht="65" customHeight="1">
      <x:c r="A571" s="142" t="n">
        <x:v>10</x:v>
      </x:c>
      <x:c r="B571" s="115" t="str">
        <x:v>Schreiben</x:v>
      </x:c>
      <x:c r="C571" s="148" t="n">
        <x:v>87</x:v>
      </x:c>
      <x:c r="D571" s="115" t="str">
        <x:v>Prüfungssimulation Deutsch: Produkt erstellen</x:v>
      </x:c>
      <x:c r="E571" s="115" t="str">
        <x:v>Prüfung unter zeitvorgabe mit Vorlage und klaren Teilaufträgen erstellen. Grundlegende Sicherung für Lernende mit HSA-Niveau beziehungsweise zusätzlichem Förderbedarf; kurze Materialien und feste Arbeitsschritte.</x:v>
      </x:c>
      <x:c r="F571" s="115" t="str">
        <x:v>Prüfung unter zeitvorgabe selbstständig, adressatengerecht und quellenbewusst erstellen. RSA-orientiert: vollständige Anforderungsbreite der Klassenstufe 10, selbstständige Planung, Analyse und reflektierte Bewertung.</x:v>
      </x:c>
      <x:c r="G571" s="115" t="str">
        <x:v>de_k10_st87_simulation_erstellen</x:v>
      </x:c>
      <x:c r="H571" s="176" t="e">
        <x:f>HYPERLINK("schueler/de_k10_st87_simulation_erstellen_app.html","Lernmodul öffnen")</x:f>
      </x:c>
      <x:c r="I571" s="177" t="e">
        <x:f>HYPERLINK("lehrer/de_k10_st87_simulation_erstellen_orga.html","Vorbereitung öffnen")</x:f>
      </x:c>
    </x:row>
    <x:row r="572" ht="65" customHeight="1">
      <x:c r="A572" s="142" t="n">
        <x:v>10</x:v>
      </x:c>
      <x:c r="B572" s="115" t="str">
        <x:v>Sprechen und Zuhören</x:v>
      </x:c>
      <x:c r="C572" s="148" t="n">
        <x:v>88</x:v>
      </x:c>
      <x:c r="D572" s="115" t="str">
        <x:v>Prüfungssimulation Deutsch: präsentieren und reflektieren</x:v>
      </x:c>
      <x:c r="E572" s="115" t="str">
        <x:v>Produkt kurz vorstellen; Rückmeldung anhand weniger Kriterien geben und annehmen. Grundlegende Sicherung für Lernende mit HSA-Niveau beziehungsweise zusätzlichem Förderbedarf; kurze Materialien und feste Arbeitsschritte.</x:v>
      </x:c>
      <x:c r="F572" s="115" t="str">
        <x:v>Produkt überzeugend präsentieren; Arbeitsprozess, Quellenwahl und Wirkung kritisch reflektieren. RSA-orientiert: vollständige Anforderungsbreite der Klassenstufe 10, selbstständige Planung, Analyse und reflektierte Bewertung.</x:v>
      </x:c>
      <x:c r="G572" s="115" t="str">
        <x:v>de_k10_st88_simulation_reflexion</x:v>
      </x:c>
      <x:c r="H572" s="176" t="e">
        <x:f>HYPERLINK("schueler/de_k10_st88_simulation_reflexion_app.html","Lernmodul öffnen")</x:f>
      </x:c>
      <x:c r="I572" s="177" t="e">
        <x:f>HYPERLINK("lehrer/de_k10_st88_simulation_reflexion_orga.html","Vorbereitung öffnen")</x:f>
      </x:c>
    </x:row>
    <x:row r="573" ht="65" customHeight="1">
      <x:c r="A573" s="142" t="n">
        <x:v>10</x:v>
      </x:c>
      <x:c r="B573" s="115" t="str">
        <x:v>Sprechen und Zuhören</x:v>
      </x:c>
      <x:c r="C573" s="148" t="n">
        <x:v>89</x:v>
      </x:c>
      <x:c r="D573" s="115" t="str">
        <x:v>Abschlussportfolio und Präsentation: Vorwissen und Positionen klären</x:v>
      </x:c>
      <x:c r="E573" s="115" t="str">
        <x:v>Eigene Erfahrungen zu individueller Kompetenznachweis benennen; zentrale Begriffe mit Beispielen klären. Grundlegende Sicherung für Lernende mit HSA-Niveau beziehungsweise zusätzlichem Förderbedarf; kurze Materialien und feste Arbeitsschritte.</x:v>
      </x:c>
      <x:c r="F573" s="115" t="str">
        <x:v>Vorwissen zu individueller Kompetenznachweis strukturieren; erste Positionen formulieren und mögliche Konflikte benennen. RSA-orientiert: vollständige Anforderungsbreite der Klassenstufe 10, selbstständige Planung, Analyse und reflektierte Bewertung.</x:v>
      </x:c>
      <x:c r="G573" s="115" t="str">
        <x:v>de_k10_st89_abschluss_einstieg</x:v>
      </x:c>
      <x:c r="H573" s="176" t="e">
        <x:f>HYPERLINK("schueler/de_k10_st89_abschluss_einstieg_app.html","Lernmodul öffnen")</x:f>
      </x:c>
      <x:c r="I573" s="177" t="e">
        <x:f>HYPERLINK("lehrer/de_k10_st89_abschluss_einstieg_orga.html","Vorbereitung öffnen")</x:f>
      </x:c>
    </x:row>
    <x:row r="574" ht="65" customHeight="1">
      <x:c r="A574" s="142" t="n">
        <x:v>10</x:v>
      </x:c>
      <x:c r="B574" s="115" t="str">
        <x:v>Lesen/Umgang mit Texten</x:v>
      </x:c>
      <x:c r="C574" s="148" t="n">
        <x:v>90</x:v>
      </x:c>
      <x:c r="D574" s="115" t="str">
        <x:v>Abschlussportfolio und Präsentation: Quellen und Materialien erschließen</x:v>
      </x:c>
      <x:c r="E574" s="115" t="str">
        <x:v>Kurze Materialien lesen oder ansehen; Hauptaussagen mit Leitfragen festhalten. Grundlegende Sicherung für Lernende mit HSA-Niveau beziehungsweise zusätzlichem Förderbedarf; kurze Materialien und feste Arbeitsschritte.</x:v>
      </x:c>
      <x:c r="F574" s="115" t="str">
        <x:v>Unterschiedliche Materialien selbstständig erschließen; Aussage, Intention und Kontext bestimmen. RSA-orientiert: vollständige Anforderungsbreite der Klassenstufe 10, selbstständige Planung, Analyse und reflektierte Bewertung.</x:v>
      </x:c>
      <x:c r="G574" s="115" t="str">
        <x:v>de_k10_st90_abschluss_quellen</x:v>
      </x:c>
      <x:c r="H574" s="176" t="e">
        <x:f>HYPERLINK("schueler/de_k10_st90_abschluss_quellen_app.html","Lernmodul öffnen")</x:f>
      </x:c>
      <x:c r="I574" s="177" t="e">
        <x:f>HYPERLINK("lehrer/de_k10_st90_abschluss_quellen_orga.html","Vorbereitung öffnen")</x:f>
      </x:c>
    </x:row>
    <x:row r="575" ht="65" customHeight="1">
      <x:c r="A575" s="142" t="n">
        <x:v>10</x:v>
      </x:c>
      <x:c r="B575" s="115" t="str">
        <x:v>Lesen/Umgang mit Texten</x:v>
      </x:c>
      <x:c r="C575" s="148" t="n">
        <x:v>91</x:v>
      </x:c>
      <x:c r="D575" s="115" t="str">
        <x:v>Abschlussportfolio und Präsentation: Qualitätskriterien anwenden</x:v>
      </x:c>
      <x:c r="E575" s="115" t="str">
        <x:v>Auswahl, Reflexion, Quellen und Präsentationsregeln in einer Checkliste anwenden und Auffälligkeiten markieren. Grundlegende Sicherung für Lernende mit HSA-Niveau beziehungsweise zusätzlichem Förderbedarf; kurze Materialien und feste Arbeitsschritte.</x:v>
      </x:c>
      <x:c r="F575" s="115" t="str">
        <x:v>Auswahl, Reflexion, Quellen und Präsentationsregeln gewichten, auf Grenzfälle anwenden und begründete Qualitätsurteile formulieren. RSA-orientiert: vollständige Anforderungsbreite der Klassenstufe 10, selbstständige Planung, Analyse und reflektierte Bewertung.</x:v>
      </x:c>
      <x:c r="G575" s="115" t="str">
        <x:v>de_k10_st91_abschluss_kriterien</x:v>
      </x:c>
      <x:c r="H575" s="176" t="e">
        <x:f>HYPERLINK("schueler/de_k10_st91_abschluss_kriterien_app.html","Lernmodul öffnen")</x:f>
      </x:c>
      <x:c r="I575" s="177" t="e">
        <x:f>HYPERLINK("lehrer/de_k10_st91_abschluss_kriterien_orga.html","Vorbereitung öffnen")</x:f>
      </x:c>
    </x:row>
    <x:row r="576" ht="65" customHeight="1">
      <x:c r="A576" s="142" t="n">
        <x:v>10</x:v>
      </x:c>
      <x:c r="B576" s="115" t="str">
        <x:v>Lesen/Umgang mit Texten</x:v>
      </x:c>
      <x:c r="C576" s="148" t="n">
        <x:v>92</x:v>
      </x:c>
      <x:c r="D576" s="115" t="str">
        <x:v>Abschlussportfolio und Präsentation: Darstellungen vergleichen</x:v>
      </x:c>
      <x:c r="E576" s="115" t="str">
        <x:v>Lernentwicklung, produktqualität und anschlussziele nach vorgegebenen Merkmalen vergleichen. Grundlegende Sicherung für Lernende mit HSA-Niveau beziehungsweise zusätzlichem Förderbedarf; kurze Materialien und feste Arbeitsschritte.</x:v>
      </x:c>
      <x:c r="F576" s="115" t="str">
        <x:v>Lernentwicklung, produktqualität und anschlussziele hinsichtlich Informationsauswahl, Gestaltung, Wirkung und Interessen vergleichen. RSA-orientiert: vollständige Anforderungsbreite der Klassenstufe 10, selbstständige Planung, Analyse und reflektierte Bewertung.</x:v>
      </x:c>
      <x:c r="G576" s="115" t="str">
        <x:v>de_k10_st92_abschluss_vergleichen</x:v>
      </x:c>
      <x:c r="H576" s="176" t="e">
        <x:f>HYPERLINK("schueler/de_k10_st92_abschluss_vergleichen_app.html","Lernmodul öffnen")</x:f>
      </x:c>
      <x:c r="I576" s="177" t="e">
        <x:f>HYPERLINK("lehrer/de_k10_st92_abschluss_vergleichen_orga.html","Vorbereitung öffnen")</x:f>
      </x:c>
    </x:row>
    <x:row r="577" ht="65" customHeight="1">
      <x:c r="A577" s="142" t="n">
        <x:v>10</x:v>
      </x:c>
      <x:c r="B577" s="115" t="str">
        <x:v>Schreiben</x:v>
      </x:c>
      <x:c r="C577" s="148" t="n">
        <x:v>93</x:v>
      </x:c>
      <x:c r="D577" s="115" t="str">
        <x:v>Abschlussportfolio und Präsentation: Informationen prüfen und ordnen</x:v>
      </x:c>
      <x:c r="E577" s="115" t="str">
        <x:v>Informationen aus vorgegebenen Quellen auswählen; Fundstellen notieren und geordnet ablegen. Grundlegende Sicherung für Lernende mit HSA-Niveau beziehungsweise zusätzlichem Förderbedarf; kurze Materialien und feste Arbeitsschritte.</x:v>
      </x:c>
      <x:c r="F577" s="115" t="str">
        <x:v>Recherchefrage entwickeln; Quellen prüfen, Informationen abgleichen und korrekt dokumentieren. RSA-orientiert: vollständige Anforderungsbreite der Klassenstufe 10, selbstständige Planung, Analyse und reflektierte Bewertung.</x:v>
      </x:c>
      <x:c r="G577" s="115" t="str">
        <x:v>de_k10_st93_abschluss_recherche</x:v>
      </x:c>
      <x:c r="H577" s="176" t="e">
        <x:f>HYPERLINK("schueler/de_k10_st93_abschluss_recherche_app.html","Lernmodul öffnen")</x:f>
      </x:c>
      <x:c r="I577" s="177" t="e">
        <x:f>HYPERLINK("lehrer/de_k10_st93_abschluss_recherche_orga.html","Vorbereitung öffnen")</x:f>
      </x:c>
    </x:row>
    <x:row r="578" ht="65" customHeight="1">
      <x:c r="A578" s="142" t="n">
        <x:v>10</x:v>
      </x:c>
      <x:c r="B578" s="115" t="str">
        <x:v>Schreiben</x:v>
      </x:c>
      <x:c r="C578" s="148" t="n">
        <x:v>94</x:v>
      </x:c>
      <x:c r="D578" s="115" t="str">
        <x:v>Abschlussportfolio und Präsentation: Produkt planen</x:v>
      </x:c>
      <x:c r="E578" s="115" t="str">
        <x:v>Für Portfolio mit Abschlusspräsentation einen vorgegebenen Arbeitsplan ergänzen; Aufgaben verteilen. Grundlegende Sicherung für Lernende mit HSA-Niveau beziehungsweise zusätzlichem Förderbedarf; kurze Materialien und feste Arbeitsschritte.</x:v>
      </x:c>
      <x:c r="F578" s="115" t="str">
        <x:v>Für Portfolio mit Abschlusspräsentation Zielgruppe, Aufbau, Medienwahl, Zeitplan und Qualitätskontrolle selbstständig festlegen. RSA-orientiert: vollständige Anforderungsbreite der Klassenstufe 10, selbstständige Planung, Analyse und reflektierte Bewertung.</x:v>
      </x:c>
      <x:c r="G578" s="115" t="str">
        <x:v>de_k10_st94_abschluss_planen</x:v>
      </x:c>
      <x:c r="H578" s="176" t="e">
        <x:f>HYPERLINK("schueler/de_k10_st94_abschluss_planen_app.html","Lernmodul öffnen")</x:f>
      </x:c>
      <x:c r="I578" s="177" t="e">
        <x:f>HYPERLINK("lehrer/de_k10_st94_abschluss_planen_orga.html","Vorbereitung öffnen")</x:f>
      </x:c>
    </x:row>
    <x:row r="579" ht="65" customHeight="1">
      <x:c r="A579" s="142" t="n">
        <x:v>10</x:v>
      </x:c>
      <x:c r="B579" s="115" t="str">
        <x:v>Schreiben</x:v>
      </x:c>
      <x:c r="C579" s="148" t="n">
        <x:v>95</x:v>
      </x:c>
      <x:c r="D579" s="115" t="str">
        <x:v>Abschlussportfolio und Präsentation: Produkt erstellen</x:v>
      </x:c>
      <x:c r="E579" s="115" t="str">
        <x:v>Portfolio mit abschlusspräsentation mit Vorlage und klaren Teilaufträgen erstellen. Grundlegende Sicherung für Lernende mit HSA-Niveau beziehungsweise zusätzlichem Förderbedarf; kurze Materialien und feste Arbeitsschritte.</x:v>
      </x:c>
      <x:c r="F579" s="115" t="str">
        <x:v>Portfolio mit abschlusspräsentation selbstständig, adressatengerecht und quellenbewusst erstellen. RSA-orientiert: vollständige Anforderungsbreite der Klassenstufe 10, selbstständige Planung, Analyse und reflektierte Bewertung.</x:v>
      </x:c>
      <x:c r="G579" s="115" t="str">
        <x:v>de_k10_st95_abschluss_erstellen</x:v>
      </x:c>
      <x:c r="H579" s="176" t="e">
        <x:f>HYPERLINK("schueler/de_k10_st95_abschluss_erstellen_app.html","Lernmodul öffnen")</x:f>
      </x:c>
      <x:c r="I579" s="177" t="e">
        <x:f>HYPERLINK("lehrer/de_k10_st95_abschluss_erstellen_orga.html","Vorbereitung öffnen")</x:f>
      </x:c>
    </x:row>
    <x:row r="580" ht="65" customHeight="1">
      <x:c r="A580" s="143" t="n">
        <x:v>10</x:v>
      </x:c>
      <x:c r="B580" s="118" t="str">
        <x:v>Sprechen und Zuhören</x:v>
      </x:c>
      <x:c r="C580" s="149" t="n">
        <x:v>96</x:v>
      </x:c>
      <x:c r="D580" s="118" t="str">
        <x:v>Abschlussportfolio und Präsentation: präsentieren und reflektieren</x:v>
      </x:c>
      <x:c r="E580" s="118" t="str">
        <x:v>Produkt kurz vorstellen; Rückmeldung anhand weniger Kriterien geben und annehmen. Grundlegende Sicherung für Lernende mit HSA-Niveau beziehungsweise zusätzlichem Förderbedarf; kurze Materialien und feste Arbeitsschritte.</x:v>
      </x:c>
      <x:c r="F580" s="118" t="str">
        <x:v>Produkt überzeugend präsentieren; Arbeitsprozess, Quellenwahl und Wirkung kritisch reflektieren. RSA-orientiert: vollständige Anforderungsbreite der Klassenstufe 10, selbstständige Planung, Analyse und reflektierte Bewertung.</x:v>
      </x:c>
      <x:c r="G580" s="118" t="str">
        <x:v>de_k10_st96_abschluss_reflexion</x:v>
      </x:c>
      <x:c r="H580" s="178" t="e">
        <x:f>HYPERLINK("schueler/de_k10_st96_abschluss_reflexion_app.html","Lernmodul öffnen")</x:f>
      </x:c>
      <x:c r="I580" s="179" t="e">
        <x:f>HYPERLINK("lehrer/de_k10_st96_abschluss_reflexion_orga.html","Vorbereitung öffnen")</x:f>
      </x:c>
    </x:row>
  </x:sheetData>
  <x:mergeCells>
    <x:mergeCell ref="A1:I1"/>
    <x:mergeCell ref="A2:I2"/>
  </x:mergeCells>
  <x:conditionalFormatting sqref="B5:B580">
    <x:cfRule type="expression" dxfId="0" priority="1">
      <x:formula>B5="Sprechen und Zuhören"</x:formula>
    </x:cfRule>
    <x:cfRule type="expression" dxfId="1" priority="2">
      <x:formula>B5="Schreiben"</x:formula>
    </x:cfRule>
    <x:cfRule type="expression" dxfId="2" priority="3">
      <x:formula>B5="Lesen/Umgang mit Texten"</x:formula>
    </x:cfRule>
    <x:cfRule type="expression" dxfId="3" priority="4">
      <x:formula>B5="Sprache untersuchen"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67a30351e34e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0" hidden="0" customWidth="1"/>
    <x:col min="4" max="4" width="42" hidden="0" customWidth="1"/>
    <x:col min="5" max="5" width="47" hidden="0" customWidth="1"/>
    <x:col min="6" max="6" width="47" hidden="0" customWidth="1"/>
    <x:col min="7" max="7" width="42" hidden="0" customWidth="1"/>
    <x:col min="8" max="8" width="22" hidden="0" customWidth="1"/>
    <x:col min="9" max="9" width="24" hidden="0" customWidth="1"/>
  </x:cols>
  <x:sheetData>
    <x:row r="1" ht="34" customHeight="1">
      <x:c r="A1" s="131" t="str">
        <x:v>Deutsch Klasse 5 – Schüler-Module und Lehrer-Vorbereitungen</x:v>
      </x:c>
      <x:c r="B1" s="131"/>
      <x:c r="C1" s="131"/>
      <x:c r="D1" s="131"/>
      <x:c r="E1" s="131"/>
      <x:c r="F1" s="131"/>
      <x:c r="G1" s="131"/>
      <x:c r="H1" s="131"/>
      <x:c r="I1" s="131"/>
    </x:row>
    <x:row r="2" ht="42" customHeight="1">
      <x:c r="A2" s="13" t="str">
        <x:v>Jede Unterrichtsstunde ist mit einem Schüler-Lernmodul und einer Lehrer-Vorbereitung verknüpft. Die Links funktionieren, wenn die Excel-Datei neben den Ordnern „schueler“ und „lehrer“ liegt.</x:v>
      </x:c>
      <x:c r="B2" s="13"/>
      <x:c r="C2" s="13"/>
      <x:c r="D2" s="13"/>
      <x:c r="E2" s="13"/>
      <x:c r="F2" s="13"/>
      <x:c r="G2" s="13"/>
      <x:c r="H2" s="13"/>
      <x:c r="I2" s="13"/>
    </x:row>
    <x:row r="4" ht="42" customHeight="1">
      <x:c r="A4" s="135" t="str">
        <x:v>Klasse</x:v>
      </x:c>
      <x:c r="B4" s="136" t="str">
        <x:v>Lernbereich</x:v>
      </x:c>
      <x:c r="C4" s="136" t="str">
        <x:v>Stunde</x:v>
      </x:c>
      <x:c r="D4" s="136" t="str">
        <x:v>Thema der Unterrichtsstunde</x:v>
      </x:c>
      <x:c r="E4" s="136" t="str">
        <x:v>Inhalt HSA</x:v>
      </x:c>
      <x:c r="F4" s="136" t="str">
        <x:v>Inhalt RSA</x:v>
      </x:c>
      <x:c r="G4" s="136" t="str">
        <x:v>Modul-ID</x:v>
      </x:c>
      <x:c r="H4" s="136" t="str">
        <x:v>Schüler-Modul</x:v>
      </x:c>
      <x:c r="I4" s="137" t="str">
        <x:v>Lehrer-Vorbereitung</x:v>
      </x:c>
    </x:row>
    <x:row r="5" ht="65" customHeight="1">
      <x:c r="A5" s="141" t="n">
        <x:v>5</x:v>
      </x:c>
      <x:c r="B5" s="112" t="str">
        <x:v>Sprechen und Zuhören</x:v>
      </x:c>
      <x:c r="C5" s="147" t="n">
        <x:v>1</x:v>
      </x:c>
      <x:c r="D5" s="112" t="str">
        <x:v>Ankommen im Deutschunterricht: Vorwissen und Positionen klären</x:v>
      </x:c>
      <x:c r="E5" s="112" t="str">
        <x:v>Eigene Erfahrungen zu Lern- und Gesprächskultur benennen; zentrale Begriffe mit Beispielen klären. Basisniveau mit klaren Teilschritten, Wortlisten, Satzstartern und häufigen Sicherungen.</x:v>
      </x:c>
      <x:c r="F5" s="112" t="str">
        <x:v>Vorwissen zu Lern- und Gesprächskultur strukturieren; erste Positionen formulieren und mögliche Konflikte benennen. Erweiterungsniveau mit selbstständigerer Erschließung, zusätzlichen Belegen und begründeten Urteilen.</x:v>
      </x:c>
      <x:c r="G5" s="112" t="str">
        <x:v>de_k5_st01_ankommen_einstieg</x:v>
      </x:c>
      <x:c r="H5" s="174" t="e">
        <x:f>HYPERLINK("schueler/de_k5_st01_ankommen_einstieg_app.html","Lernmodul öffnen")</x:f>
      </x:c>
      <x:c r="I5" s="175" t="e">
        <x:f>HYPERLINK("lehrer/de_k5_st01_ankommen_einstieg_orga.html","Vorbereitung öffnen")</x:f>
      </x:c>
    </x:row>
    <x:row r="6" ht="65" customHeight="1">
      <x:c r="A6" s="142" t="n">
        <x:v>5</x:v>
      </x:c>
      <x:c r="B6" s="115" t="str">
        <x:v>Lesen/Umgang mit Texten</x:v>
      </x:c>
      <x:c r="C6" s="148" t="n">
        <x:v>2</x:v>
      </x:c>
      <x:c r="D6" s="115" t="str">
        <x:v>Ankommen im Deutschunterricht: Quellen und Materialien erschließen</x:v>
      </x:c>
      <x:c r="E6" s="115" t="str">
        <x:v>Kurze Materialien lesen oder ansehen; Hauptaussagen mit Leitfragen festhalten. Basisniveau mit klaren Teilschritten, Wortlisten, Satzstartern und häufigen Sicherungen.</x:v>
      </x:c>
      <x:c r="F6" s="115" t="str">
        <x:v>Unterschiedliche Materialien selbstständig erschließen; Aussage, Intention und Kontext bestimmen. Erweiterungsniveau mit selbstständigerer Erschließung, zusätzlichen Belegen und begründeten Urteilen.</x:v>
      </x:c>
      <x:c r="G6" s="115" t="str">
        <x:v>de_k5_st02_ankommen_quellen</x:v>
      </x:c>
      <x:c r="H6" s="176" t="e">
        <x:f>HYPERLINK("schueler/de_k5_st02_ankommen_quellen_app.html","Lernmodul öffnen")</x:f>
      </x:c>
      <x:c r="I6" s="177" t="e">
        <x:f>HYPERLINK("lehrer/de_k5_st02_ankommen_quellen_orga.html","Vorbereitung öffnen")</x:f>
      </x:c>
    </x:row>
    <x:row r="7" ht="65" customHeight="1">
      <x:c r="A7" s="142" t="n">
        <x:v>5</x:v>
      </x:c>
      <x:c r="B7" s="115" t="str">
        <x:v>Lesen/Umgang mit Texten</x:v>
      </x:c>
      <x:c r="C7" s="148" t="n">
        <x:v>3</x:v>
      </x:c>
      <x:c r="D7" s="115" t="str">
        <x:v>Ankommen im Deutschunterricht: Qualitätskriterien anwenden</x:v>
      </x:c>
      <x:c r="E7" s="115" t="str">
        <x:v>Gesprächsregeln, aktives Zuhören, Heftführung in einer Checkliste anwenden und Auffälligkeiten markieren. Basisniveau mit klaren Teilschritten, Wortlisten, Satzstartern und häufigen Sicherungen.</x:v>
      </x:c>
      <x:c r="F7" s="115" t="str">
        <x:v>Gesprächsregeln, aktives Zuhören, Heftführung gewichten, auf Grenzfälle anwenden und begründete Qualitätsurteile formulieren. Erweiterungsniveau mit selbstständigerer Erschließung, zusätzlichen Belegen und begründeten Urteilen.</x:v>
      </x:c>
      <x:c r="G7" s="115" t="str">
        <x:v>de_k5_st03_ankommen_kriterien</x:v>
      </x:c>
      <x:c r="H7" s="176" t="e">
        <x:f>HYPERLINK("schueler/de_k5_st03_ankommen_kriterien_app.html","Lernmodul öffnen")</x:f>
      </x:c>
      <x:c r="I7" s="177" t="e">
        <x:f>HYPERLINK("lehrer/de_k5_st03_ankommen_kriterien_orga.html","Vorbereitung öffnen")</x:f>
      </x:c>
    </x:row>
    <x:row r="8" ht="65" customHeight="1">
      <x:c r="A8" s="142" t="n">
        <x:v>5</x:v>
      </x:c>
      <x:c r="B8" s="115" t="str">
        <x:v>Lesen/Umgang mit Texten</x:v>
      </x:c>
      <x:c r="C8" s="148" t="n">
        <x:v>4</x:v>
      </x:c>
      <x:c r="D8" s="115" t="str">
        <x:v>Ankommen im Deutschunterricht: Darstellungen vergleichen</x:v>
      </x:c>
      <x:c r="E8" s="115" t="str">
        <x:v>Eigene und fremde lernwege nach vorgegebenen Merkmalen vergleichen. Basisniveau mit klaren Teilschritten, Wortlisten, Satzstartern und häufigen Sicherungen.</x:v>
      </x:c>
      <x:c r="F8" s="115" t="str">
        <x:v>Eigene und fremde lernwege hinsichtlich Informationsauswahl, Gestaltung, Wirkung und Interessen vergleichen. Erweiterungsniveau mit selbstständigerer Erschließung, zusätzlichen Belegen und begründeten Urteilen.</x:v>
      </x:c>
      <x:c r="G8" s="115" t="str">
        <x:v>de_k5_st04_ankommen_vergleichen</x:v>
      </x:c>
      <x:c r="H8" s="176" t="e">
        <x:f>HYPERLINK("schueler/de_k5_st04_ankommen_vergleichen_app.html","Lernmodul öffnen")</x:f>
      </x:c>
      <x:c r="I8" s="177" t="e">
        <x:f>HYPERLINK("lehrer/de_k5_st04_ankommen_vergleichen_orga.html","Vorbereitung öffnen")</x:f>
      </x:c>
    </x:row>
    <x:row r="9" ht="65" customHeight="1">
      <x:c r="A9" s="142" t="n">
        <x:v>5</x:v>
      </x:c>
      <x:c r="B9" s="115" t="str">
        <x:v>Schreiben</x:v>
      </x:c>
      <x:c r="C9" s="148" t="n">
        <x:v>5</x:v>
      </x:c>
      <x:c r="D9" s="115" t="str">
        <x:v>Ankommen im Deutschunterricht: Informationen prüfen und ordnen</x:v>
      </x:c>
      <x:c r="E9" s="115" t="str">
        <x:v>Informationen aus vorgegebenen Quellen auswählen; Fundstellen notieren und geordnet ablegen. Basisniveau mit klaren Teilschritten, Wortlisten, Satzstartern und häufigen Sicherungen.</x:v>
      </x:c>
      <x:c r="F9" s="115" t="str">
        <x:v>Recherchefrage entwickeln; Quellen prüfen, Informationen abgleichen und korrekt dokumentieren. Erweiterungsniveau mit selbstständigerer Erschließung, zusätzlichen Belegen und begründeten Urteilen.</x:v>
      </x:c>
      <x:c r="G9" s="115" t="str">
        <x:v>de_k5_st05_ankommen_recherche</x:v>
      </x:c>
      <x:c r="H9" s="176" t="e">
        <x:f>HYPERLINK("schueler/de_k5_st05_ankommen_recherche_app.html","Lernmodul öffnen")</x:f>
      </x:c>
      <x:c r="I9" s="177" t="e">
        <x:f>HYPERLINK("lehrer/de_k5_st05_ankommen_recherche_orga.html","Vorbereitung öffnen")</x:f>
      </x:c>
    </x:row>
    <x:row r="10" ht="65" customHeight="1">
      <x:c r="A10" s="142" t="n">
        <x:v>5</x:v>
      </x:c>
      <x:c r="B10" s="115" t="str">
        <x:v>Schreiben</x:v>
      </x:c>
      <x:c r="C10" s="148" t="n">
        <x:v>6</x:v>
      </x:c>
      <x:c r="D10" s="115" t="str">
        <x:v>Ankommen im Deutschunterricht: Produkt planen</x:v>
      </x:c>
      <x:c r="E10" s="115" t="str">
        <x:v>Für persönlicher Lernplan einen vorgegebenen Arbeitsplan ergänzen; Aufgaben verteilen. Basisniveau mit klaren Teilschritten, Wortlisten, Satzstartern und häufigen Sicherungen.</x:v>
      </x:c>
      <x:c r="F10" s="115" t="str">
        <x:v>Für persönlicher Lernplan Zielgruppe, Aufbau, Medienwahl, Zeitplan und Qualitätskontrolle selbstständig festlegen. Erweiterungsniveau mit selbstständigerer Erschließung, zusätzlichen Belegen und begründeten Urteilen.</x:v>
      </x:c>
      <x:c r="G10" s="115" t="str">
        <x:v>de_k5_st06_ankommen_planen</x:v>
      </x:c>
      <x:c r="H10" s="176" t="e">
        <x:f>HYPERLINK("schueler/de_k5_st06_ankommen_planen_app.html","Lernmodul öffnen")</x:f>
      </x:c>
      <x:c r="I10" s="177" t="e">
        <x:f>HYPERLINK("lehrer/de_k5_st06_ankommen_planen_orga.html","Vorbereitung öffnen")</x:f>
      </x:c>
    </x:row>
    <x:row r="11" ht="65" customHeight="1">
      <x:c r="A11" s="142" t="n">
        <x:v>5</x:v>
      </x:c>
      <x:c r="B11" s="115" t="str">
        <x:v>Schreiben</x:v>
      </x:c>
      <x:c r="C11" s="148" t="n">
        <x:v>7</x:v>
      </x:c>
      <x:c r="D11" s="115" t="str">
        <x:v>Ankommen im Deutschunterricht: Produkt erstellen</x:v>
      </x:c>
      <x:c r="E11" s="115" t="str">
        <x:v>Persönlicher lernplan mit Vorlage und klaren Teilaufträgen erstellen. Basisniveau mit klaren Teilschritten, Wortlisten, Satzstartern und häufigen Sicherungen.</x:v>
      </x:c>
      <x:c r="F11" s="115" t="str">
        <x:v>Persönlicher lernplan selbstständig, adressatengerecht und quellenbewusst erstellen. Erweiterungsniveau mit selbstständigerer Erschließung, zusätzlichen Belegen und begründeten Urteilen.</x:v>
      </x:c>
      <x:c r="G11" s="115" t="str">
        <x:v>de_k5_st07_ankommen_erstellen</x:v>
      </x:c>
      <x:c r="H11" s="176" t="e">
        <x:f>HYPERLINK("schueler/de_k5_st07_ankommen_erstellen_app.html","Lernmodul öffnen")</x:f>
      </x:c>
      <x:c r="I11" s="177" t="e">
        <x:f>HYPERLINK("lehrer/de_k5_st07_ankommen_erstellen_orga.html","Vorbereitung öffnen")</x:f>
      </x:c>
    </x:row>
    <x:row r="12" ht="65" customHeight="1">
      <x:c r="A12" s="142" t="n">
        <x:v>5</x:v>
      </x:c>
      <x:c r="B12" s="115" t="str">
        <x:v>Sprechen und Zuhören</x:v>
      </x:c>
      <x:c r="C12" s="148" t="n">
        <x:v>8</x:v>
      </x:c>
      <x:c r="D12" s="115" t="str">
        <x:v>Ankommen im Deutschunterricht: präsentieren und reflektieren</x:v>
      </x:c>
      <x:c r="E12" s="115" t="str">
        <x:v>Produkt kurz vorstellen; Rückmeldung anhand weniger Kriterien geben und annehmen. Basisniveau mit klaren Teilschritten, Wortlisten, Satzstartern und häufigen Sicherungen.</x:v>
      </x:c>
      <x:c r="F12" s="115" t="str">
        <x:v>Produkt überzeugend präsentieren; Arbeitsprozess, Quellenwahl und Wirkung kritisch reflektieren. Erweiterungsniveau mit selbstständigerer Erschließung, zusätzlichen Belegen und begründeten Urteilen.</x:v>
      </x:c>
      <x:c r="G12" s="115" t="str">
        <x:v>de_k5_st08_ankommen_reflexion</x:v>
      </x:c>
      <x:c r="H12" s="176" t="e">
        <x:f>HYPERLINK("schueler/de_k5_st08_ankommen_reflexion_app.html","Lernmodul öffnen")</x:f>
      </x:c>
      <x:c r="I12" s="177" t="e">
        <x:f>HYPERLINK("lehrer/de_k5_st08_ankommen_reflexion_orga.html","Vorbereitung öffnen")</x:f>
      </x:c>
    </x:row>
    <x:row r="13" ht="65" customHeight="1">
      <x:c r="A13" s="142" t="n">
        <x:v>5</x:v>
      </x:c>
      <x:c r="B13" s="115" t="str">
        <x:v>Lesen/Umgang mit Texten</x:v>
      </x:c>
      <x:c r="C13" s="148" t="n">
        <x:v>9</x:v>
      </x:c>
      <x:c r="D13" s="115" t="str">
        <x:v>Erlebnisse anschaulich erzählen: Beispieltexte untersuchen</x:v>
      </x:c>
      <x:c r="E13" s="115" t="str">
        <x:v>Ein Beispiel für Erlebniserzählung lesen; Aufbau und typische Formulierungen farbig kennzeichnen. Basisniveau mit klaren Teilschritten, Wortlisten, Satzstartern und häufigen Sicherungen.</x:v>
      </x:c>
      <x:c r="F13" s="115" t="str">
        <x:v>Mehrere Beispiele für Erlebniserzählung vergleichen; Funktion, Adressat und Qualitätsunterschiede herausarbeiten. Erweiterungsniveau mit selbstständigerer Erschließung, zusätzlichen Belegen und begründeten Urteilen.</x:v>
      </x:c>
      <x:c r="G13" s="115" t="str">
        <x:v>de_k5_st09_erzaehlen_beispiel</x:v>
      </x:c>
      <x:c r="H13" s="176" t="e">
        <x:f>HYPERLINK("schueler/de_k5_st09_erzaehlen_beispiel_app.html","Lernmodul öffnen")</x:f>
      </x:c>
      <x:c r="I13" s="177" t="e">
        <x:f>HYPERLINK("lehrer/de_k5_st09_erzaehlen_beispiel_orga.html","Vorbereitung öffnen")</x:f>
      </x:c>
    </x:row>
    <x:row r="14" ht="65" customHeight="1">
      <x:c r="A14" s="142" t="n">
        <x:v>5</x:v>
      </x:c>
      <x:c r="B14" s="115" t="str">
        <x:v>Schreiben</x:v>
      </x:c>
      <x:c r="C14" s="148" t="n">
        <x:v>10</x:v>
      </x:c>
      <x:c r="D14" s="115" t="str">
        <x:v>Erlebnisse anschaulich erzählen: Schreibziel und Kriterien klären</x:v>
      </x:c>
      <x:c r="E14" s="115" t="str">
        <x:v>Schreibziel „ein Erlebnis verständlich und spannend wiedergeben“ verstehen; eine kurze Kriterienliste auf ein Beispiel anwenden. Basisniveau mit klaren Teilschritten, Wortlisten, Satzstartern und häufigen Sicherungen.</x:v>
      </x:c>
      <x:c r="F14" s="115" t="str">
        <x:v>Schreibziel „ein Erlebnis verständlich und spannend wiedergeben“ präzisieren; Kriterien gewichten und auf unterschiedliche Schreibsituationen übertragen. Erweiterungsniveau mit selbstständigerer Erschließung, zusätzlichen Belegen und begründeten Urteilen.</x:v>
      </x:c>
      <x:c r="G14" s="115" t="str">
        <x:v>de_k5_st10_erzaehlen_kriterien</x:v>
      </x:c>
      <x:c r="H14" s="176" t="e">
        <x:f>HYPERLINK("schueler/de_k5_st10_erzaehlen_kriterien_app.html","Lernmodul öffnen")</x:f>
      </x:c>
      <x:c r="I14" s="177" t="e">
        <x:f>HYPERLINK("lehrer/de_k5_st10_erzaehlen_kriterien_orga.html","Vorbereitung öffnen")</x:f>
      </x:c>
    </x:row>
    <x:row r="15" ht="65" customHeight="1">
      <x:c r="A15" s="142" t="n">
        <x:v>5</x:v>
      </x:c>
      <x:c r="B15" s="115" t="str">
        <x:v>Lesen/Umgang mit Texten</x:v>
      </x:c>
      <x:c r="C15" s="148" t="n">
        <x:v>11</x:v>
      </x:c>
      <x:c r="D15" s="115" t="str">
        <x:v>Erlebnisse anschaulich erzählen: Inhalte auswählen und ordnen</x:v>
      </x:c>
      <x:c r="E15" s="115" t="str">
        <x:v>Erzählkern, Reihenfolge, Höhepunkt mit Leitfragen sammeln und in einer vorgegebenen Reihenfolge ordnen. Basisniveau mit klaren Teilschritten, Wortlisten, Satzstartern und häufigen Sicherungen.</x:v>
      </x:c>
      <x:c r="F15" s="115" t="str">
        <x:v>Erzählkern, Reihenfolge, Höhepunkt selbstständig auswählen, gewichten und in einer passenden Gliederung strukturieren. Erweiterungsniveau mit selbstständigerer Erschließung, zusätzlichen Belegen und begründeten Urteilen.</x:v>
      </x:c>
      <x:c r="G15" s="115" t="str">
        <x:v>de_k5_st11_erzaehlen_inhalte_ordnen</x:v>
      </x:c>
      <x:c r="H15" s="176" t="e">
        <x:f>HYPERLINK("schueler/de_k5_st11_erzaehlen_inhalte_ordnen_app.html","Lernmodul öffnen")</x:f>
      </x:c>
      <x:c r="I15" s="177" t="e">
        <x:f>HYPERLINK("lehrer/de_k5_st11_erzaehlen_inhalte_ordnen_orga.html","Vorbereitung öffnen")</x:f>
      </x:c>
    </x:row>
    <x:row r="16" ht="65" customHeight="1">
      <x:c r="A16" s="142" t="n">
        <x:v>5</x:v>
      </x:c>
      <x:c r="B16" s="115" t="str">
        <x:v>Sprache untersuchen</x:v>
      </x:c>
      <x:c r="C16" s="148" t="n">
        <x:v>12</x:v>
      </x:c>
      <x:c r="D16" s="115" t="str">
        <x:v>Erlebnisse anschaulich erzählen: passende sprachliche Mittel verwenden</x:v>
      </x:c>
      <x:c r="E16" s="115" t="str">
        <x:v>treffende Verben, Satzanfänge, wörtliche Rede in Übungen erkennen und nach Satzmustern anwenden. Basisniveau mit klaren Teilschritten, Wortlisten, Satzstartern und häufigen Sicherungen.</x:v>
      </x:c>
      <x:c r="F16" s="115" t="str">
        <x:v>treffende Verben, Satzanfänge, wörtliche Rede hinsichtlich Wirkung und Angemessenheit prüfen und gezielt variieren. Erweiterungsniveau mit selbstständigerer Erschließung, zusätzlichen Belegen und begründeten Urteilen.</x:v>
      </x:c>
      <x:c r="G16" s="115" t="str">
        <x:v>de_k5_st12_erzaehlen_sprachmittel</x:v>
      </x:c>
      <x:c r="H16" s="176" t="e">
        <x:f>HYPERLINK("schueler/de_k5_st12_erzaehlen_sprachmittel_app.html","Lernmodul öffnen")</x:f>
      </x:c>
      <x:c r="I16" s="177" t="e">
        <x:f>HYPERLINK("lehrer/de_k5_st12_erzaehlen_sprachmittel_orga.html","Vorbereitung öffnen")</x:f>
      </x:c>
    </x:row>
    <x:row r="17" ht="65" customHeight="1">
      <x:c r="A17" s="142" t="n">
        <x:v>5</x:v>
      </x:c>
      <x:c r="B17" s="115" t="str">
        <x:v>Schreiben</x:v>
      </x:c>
      <x:c r="C17" s="148" t="n">
        <x:v>13</x:v>
      </x:c>
      <x:c r="D17" s="115" t="str">
        <x:v>Erlebnisse anschaulich erzählen: einen Schreibplan erstellen</x:v>
      </x:c>
      <x:c r="E17" s="115" t="str">
        <x:v>Einen vorstrukturierten Schreibplan ausfüllen; Einleitung, Hauptteil und Schluss festlegen. Basisniveau mit klaren Teilschritten, Wortlisten, Satzstartern und häufigen Sicherungen.</x:v>
      </x:c>
      <x:c r="F17" s="115" t="str">
        <x:v>Einen eigenen Schreibplan mit Teilzielen, Belegen und sprachlichen Mitteln entwickeln. Erweiterungsniveau mit selbstständigerer Erschließung, zusätzlichen Belegen und begründeten Urteilen.</x:v>
      </x:c>
      <x:c r="G17" s="115" t="str">
        <x:v>de_k5_st13_erzaehlen_schreibplan</x:v>
      </x:c>
      <x:c r="H17" s="176" t="e">
        <x:f>HYPERLINK("schueler/de_k5_st13_erzaehlen_schreibplan_app.html","Lernmodul öffnen")</x:f>
      </x:c>
      <x:c r="I17" s="177" t="e">
        <x:f>HYPERLINK("lehrer/de_k5_st13_erzaehlen_schreibplan_orga.html","Vorbereitung öffnen")</x:f>
      </x:c>
    </x:row>
    <x:row r="18" ht="65" customHeight="1">
      <x:c r="A18" s="142" t="n">
        <x:v>5</x:v>
      </x:c>
      <x:c r="B18" s="115" t="str">
        <x:v>Schreiben</x:v>
      </x:c>
      <x:c r="C18" s="148" t="n">
        <x:v>14</x:v>
      </x:c>
      <x:c r="D18" s="115" t="str">
        <x:v>Erlebnisse anschaulich erzählen: einen ersten Textentwurf verfassen</x:v>
      </x:c>
      <x:c r="E18" s="115" t="str">
        <x:v>Überarbeitete erlebniserzählung mithilfe von Schreibrahmen, Satzanfängen und Wortbank verfassen. Basisniveau mit klaren Teilschritten, Wortlisten, Satzstartern und häufigen Sicherungen.</x:v>
      </x:c>
      <x:c r="F18" s="115" t="str">
        <x:v>Überarbeitete erlebniserzählung selbstständig, adressatenbezogen und sprachlich differenziert verfassen. Erweiterungsniveau mit selbstständigerer Erschließung, zusätzlichen Belegen und begründeten Urteilen.</x:v>
      </x:c>
      <x:c r="G18" s="115" t="str">
        <x:v>de_k5_st14_erzaehlen_entwurf</x:v>
      </x:c>
      <x:c r="H18" s="176" t="e">
        <x:f>HYPERLINK("schueler/de_k5_st14_erzaehlen_entwurf_app.html","Lernmodul öffnen")</x:f>
      </x:c>
      <x:c r="I18" s="177" t="e">
        <x:f>HYPERLINK("lehrer/de_k5_st14_erzaehlen_entwurf_orga.html","Vorbereitung öffnen")</x:f>
      </x:c>
    </x:row>
    <x:row r="19" ht="65" customHeight="1">
      <x:c r="A19" s="142" t="n">
        <x:v>5</x:v>
      </x:c>
      <x:c r="B19" s="115" t="str">
        <x:v>Schreiben</x:v>
      </x:c>
      <x:c r="C19" s="148" t="n">
        <x:v>15</x:v>
      </x:c>
      <x:c r="D19" s="115" t="str">
        <x:v>Erlebnisse anschaulich erzählen: Text kriteriengeleitet überarbeiten</x:v>
      </x:c>
      <x:c r="E19" s="115" t="str">
        <x:v>Text mit einer kurzen Prüfliste überarbeiten; einen inhaltlichen und einen sprachlichen Fehler verbessern. Basisniveau mit klaren Teilschritten, Wortlisten, Satzstartern und häufigen Sicherungen.</x:v>
      </x:c>
      <x:c r="F19" s="115" t="str">
        <x:v>Text in mehreren Überarbeitungsschritten prüfen; Aufbau, Kohärenz, Stil und Normrichtigkeit gezielt optimieren. Erweiterungsniveau mit selbstständigerer Erschließung, zusätzlichen Belegen und begründeten Urteilen.</x:v>
      </x:c>
      <x:c r="G19" s="115" t="str">
        <x:v>de_k5_st15_erzaehlen_ueberarbeiten</x:v>
      </x:c>
      <x:c r="H19" s="176" t="e">
        <x:f>HYPERLINK("schueler/de_k5_st15_erzaehlen_ueberarbeiten_app.html","Lernmodul öffnen")</x:f>
      </x:c>
      <x:c r="I19" s="177" t="e">
        <x:f>HYPERLINK("lehrer/de_k5_st15_erzaehlen_ueberarbeiten_orga.html","Vorbereitung öffnen")</x:f>
      </x:c>
    </x:row>
    <x:row r="20" ht="65" customHeight="1">
      <x:c r="A20" s="142" t="n">
        <x:v>5</x:v>
      </x:c>
      <x:c r="B20" s="115" t="str">
        <x:v>Sprechen und Zuhören</x:v>
      </x:c>
      <x:c r="C20" s="148" t="n">
        <x:v>16</x:v>
      </x:c>
      <x:c r="D20" s="115" t="str">
        <x:v>Erlebnisse anschaulich erzählen: Texte vorstellen und bewerten</x:v>
      </x:c>
      <x:c r="E20" s="115" t="str">
        <x:v>Ausgewählte Passage vorlesen oder erläutern; Rückmeldung mit einfachen Satzmustern geben. Basisniveau mit klaren Teilschritten, Wortlisten, Satzstartern und häufigen Sicherungen.</x:v>
      </x:c>
      <x:c r="F20" s="115" t="str">
        <x:v>Textwirkung und Schreibentscheidungen erläutern; differenziertes Peer-Feedback geben und begründet annehmen. Erweiterungsniveau mit selbstständigerer Erschließung, zusätzlichen Belegen und begründeten Urteilen.</x:v>
      </x:c>
      <x:c r="G20" s="115" t="str">
        <x:v>de_k5_st16_erzaehlen_vorstellen</x:v>
      </x:c>
      <x:c r="H20" s="176" t="e">
        <x:f>HYPERLINK("schueler/de_k5_st16_erzaehlen_vorstellen_app.html","Lernmodul öffnen")</x:f>
      </x:c>
      <x:c r="I20" s="177" t="e">
        <x:f>HYPERLINK("lehrer/de_k5_st16_erzaehlen_vorstellen_orga.html","Vorbereitung öffnen")</x:f>
      </x:c>
    </x:row>
    <x:row r="21" ht="65" customHeight="1">
      <x:c r="A21" s="142" t="n">
        <x:v>5</x:v>
      </x:c>
      <x:c r="B21" s="115" t="str">
        <x:v>Sprache untersuchen</x:v>
      </x:c>
      <x:c r="C21" s="148" t="n">
        <x:v>17</x:v>
      </x:c>
      <x:c r="D21" s="115" t="str">
        <x:v>Wortarten als Bausteine des Satzes: Lernstand feststellen</x:v>
      </x:c>
      <x:c r="E21" s="115" t="str">
        <x:v>Kurze Diagnose zu Nomen, Verben, Adjektive und Pronomen bearbeiten; eigene Unsicherheiten markieren. Basisniveau mit klaren Teilschritten, Wortlisten, Satzstartern und häufigen Sicherungen.</x:v>
      </x:c>
      <x:c r="F21" s="115" t="str">
        <x:v>Diagnose zu Nomen, Verben, Adjektive und Pronomen auswerten; Fehlermuster benennen und persönliche Lernziele ableiten. Erweiterungsniveau mit selbstständigerer Erschließung, zusätzlichen Belegen und begründeten Urteilen.</x:v>
      </x:c>
      <x:c r="G21" s="115" t="str">
        <x:v>de_k5_st17_wortarten_diagnose</x:v>
      </x:c>
      <x:c r="H21" s="176" t="e">
        <x:f>HYPERLINK("schueler/de_k5_st17_wortarten_diagnose_app.html","Lernmodul öffnen")</x:f>
      </x:c>
      <x:c r="I21" s="177" t="e">
        <x:f>HYPERLINK("lehrer/de_k5_st17_wortarten_diagnose_orga.html","Vorbereitung öffnen")</x:f>
      </x:c>
    </x:row>
    <x:row r="22" ht="65" customHeight="1">
      <x:c r="A22" s="142" t="n">
        <x:v>5</x:v>
      </x:c>
      <x:c r="B22" s="115" t="str">
        <x:v>Sprache untersuchen</x:v>
      </x:c>
      <x:c r="C22" s="148" t="n">
        <x:v>18</x:v>
      </x:c>
      <x:c r="D22" s="115" t="str">
        <x:v>Wortarten als Bausteine des Satzes: Grundbegriffe sichern</x:v>
      </x:c>
      <x:c r="E22" s="115" t="str">
        <x:v>Begleiterprobe, Konjugation, Steigerung, Stellvertreterfunktion an einfachen Beispielen erkennen und mit Merkkarten sichern. Basisniveau mit klaren Teilschritten, Wortlisten, Satzstartern und häufigen Sicherungen.</x:v>
      </x:c>
      <x:c r="F22" s="115" t="str">
        <x:v>Begleiterprobe, Konjugation, Steigerung, Stellvertreterfunktion fachsprachlich erklären, voneinander abgrenzen und in komplexeren Beispielen bestimmen. Erweiterungsniveau mit selbstständigerer Erschließung, zusätzlichen Belegen und begründeten Urteilen.</x:v>
      </x:c>
      <x:c r="G22" s="115" t="str">
        <x:v>de_k5_st18_wortarten_grundbegriffe</x:v>
      </x:c>
      <x:c r="H22" s="176" t="e">
        <x:f>HYPERLINK("schueler/de_k5_st18_wortarten_grundbegriffe_app.html","Lernmodul öffnen")</x:f>
      </x:c>
      <x:c r="I22" s="177" t="e">
        <x:f>HYPERLINK("lehrer/de_k5_st18_wortarten_grundbegriffe_orga.html","Vorbereitung öffnen")</x:f>
      </x:c>
    </x:row>
    <x:row r="23" ht="65" customHeight="1">
      <x:c r="A23" s="142" t="n">
        <x:v>5</x:v>
      </x:c>
      <x:c r="B23" s="115" t="str">
        <x:v>Sprache untersuchen</x:v>
      </x:c>
      <x:c r="C23" s="148" t="n">
        <x:v>19</x:v>
      </x:c>
      <x:c r="D23" s="115" t="str">
        <x:v>Wortarten als Bausteine des Satzes: Verfahren anwenden</x:v>
      </x:c>
      <x:c r="E23" s="115" t="str">
        <x:v>Wortartenproben Schritt für Schritt anwenden; Entscheidungen mündlich begründen. Basisniveau mit klaren Teilschritten, Wortlisten, Satzstartern und häufigen Sicherungen.</x:v>
      </x:c>
      <x:c r="F23" s="115" t="str">
        <x:v>Wortartenproben selbstständig auswählen, kombinieren und auf Zweifelsfälle übertragen. Erweiterungsniveau mit selbstständigerer Erschließung, zusätzlichen Belegen und begründeten Urteilen.</x:v>
      </x:c>
      <x:c r="G23" s="115" t="str">
        <x:v>de_k5_st19_wortarten_verfahren</x:v>
      </x:c>
      <x:c r="H23" s="176" t="e">
        <x:f>HYPERLINK("schueler/de_k5_st19_wortarten_verfahren_app.html","Lernmodul öffnen")</x:f>
      </x:c>
      <x:c r="I23" s="177" t="e">
        <x:f>HYPERLINK("lehrer/de_k5_st19_wortarten_verfahren_orga.html","Vorbereitung öffnen")</x:f>
      </x:c>
    </x:row>
    <x:row r="24" ht="65" customHeight="1">
      <x:c r="A24" s="142" t="n">
        <x:v>5</x:v>
      </x:c>
      <x:c r="B24" s="115" t="str">
        <x:v>Sprache untersuchen</x:v>
      </x:c>
      <x:c r="C24" s="148" t="n">
        <x:v>20</x:v>
      </x:c>
      <x:c r="D24" s="115" t="str">
        <x:v>Wortarten als Bausteine des Satzes: Formen und Funktionen untersuchen</x:v>
      </x:c>
      <x:c r="E24" s="115" t="str">
        <x:v>Formen bilden und ihre Aufgabe im Satz mit Leitfragen beschreiben. Basisniveau mit klaren Teilschritten, Wortlisten, Satzstartern und häufigen Sicherungen.</x:v>
      </x:c>
      <x:c r="F24" s="115" t="str">
        <x:v>Form, Funktion und Wirkung im Satz oder Text untersuchen; alternative Formulierungen vergleichen. Erweiterungsniveau mit selbstständigerer Erschließung, zusätzlichen Belegen und begründeten Urteilen.</x:v>
      </x:c>
      <x:c r="G24" s="115" t="str">
        <x:v>de_k5_st20_wortarten_funktion</x:v>
      </x:c>
      <x:c r="H24" s="176" t="e">
        <x:f>HYPERLINK("schueler/de_k5_st20_wortarten_funktion_app.html","Lernmodul öffnen")</x:f>
      </x:c>
      <x:c r="I24" s="177" t="e">
        <x:f>HYPERLINK("lehrer/de_k5_st20_wortarten_funktion_orga.html","Vorbereitung öffnen")</x:f>
      </x:c>
    </x:row>
    <x:row r="25" ht="65" customHeight="1">
      <x:c r="A25" s="142" t="n">
        <x:v>5</x:v>
      </x:c>
      <x:c r="B25" s="115" t="str">
        <x:v>Schreiben</x:v>
      </x:c>
      <x:c r="C25" s="148" t="n">
        <x:v>21</x:v>
      </x:c>
      <x:c r="D25" s="115" t="str">
        <x:v>Wortarten als Bausteine des Satzes: Wissen im eigenen Text nutzen</x:v>
      </x:c>
      <x:c r="E25" s="115" t="str">
        <x:v>Eigene sätze und kurze texte nach Vorgabe verfassen und die geübten Strukturen farbig markieren. Basisniveau mit klaren Teilschritten, Wortlisten, Satzstartern und häufigen Sicherungen.</x:v>
      </x:c>
      <x:c r="F25" s="115" t="str">
        <x:v>Eigene sätze und kurze texte bewusst gestalten und sprachliche Entscheidungen kommentieren. Erweiterungsniveau mit selbstständigerer Erschließung, zusätzlichen Belegen und begründeten Urteilen.</x:v>
      </x:c>
      <x:c r="G25" s="115" t="str">
        <x:v>de_k5_st21_wortarten_anwenden</x:v>
      </x:c>
      <x:c r="H25" s="176" t="e">
        <x:f>HYPERLINK("schueler/de_k5_st21_wortarten_anwenden_app.html","Lernmodul öffnen")</x:f>
      </x:c>
      <x:c r="I25" s="177" t="e">
        <x:f>HYPERLINK("lehrer/de_k5_st21_wortarten_anwenden_orga.html","Vorbereitung öffnen")</x:f>
      </x:c>
    </x:row>
    <x:row r="26" ht="65" customHeight="1">
      <x:c r="A26" s="142" t="n">
        <x:v>5</x:v>
      </x:c>
      <x:c r="B26" s="115" t="str">
        <x:v>Sprache untersuchen</x:v>
      </x:c>
      <x:c r="C26" s="148" t="n">
        <x:v>22</x:v>
      </x:c>
      <x:c r="D26" s="115" t="str">
        <x:v>Wortarten als Bausteine des Satzes: Fehler finden und korrigieren</x:v>
      </x:c>
      <x:c r="E26" s="115" t="str">
        <x:v>Typische Fehler in kurzen Sätzen finden; passende Regelkarte auswählen und korrigieren. Basisniveau mit klaren Teilschritten, Wortlisten, Satzstartern und häufigen Sicherungen.</x:v>
      </x:c>
      <x:c r="F26" s="115" t="str">
        <x:v>Fehler systematisch diagnostizieren, Regelbezug herstellen und mehrere Korrekturmöglichkeiten bewerten. Erweiterungsniveau mit selbstständigerer Erschließung, zusätzlichen Belegen und begründeten Urteilen.</x:v>
      </x:c>
      <x:c r="G26" s="115" t="str">
        <x:v>de_k5_st22_wortarten_fehler</x:v>
      </x:c>
      <x:c r="H26" s="176" t="e">
        <x:f>HYPERLINK("schueler/de_k5_st22_wortarten_fehler_app.html","Lernmodul öffnen")</x:f>
      </x:c>
      <x:c r="I26" s="177" t="e">
        <x:f>HYPERLINK("lehrer/de_k5_st22_wortarten_fehler_orga.html","Vorbereitung öffnen")</x:f>
      </x:c>
    </x:row>
    <x:row r="27" ht="65" customHeight="1">
      <x:c r="A27" s="142" t="n">
        <x:v>5</x:v>
      </x:c>
      <x:c r="B27" s="115" t="str">
        <x:v>Sprache untersuchen</x:v>
      </x:c>
      <x:c r="C27" s="148" t="n">
        <x:v>23</x:v>
      </x:c>
      <x:c r="D27" s="115" t="str">
        <x:v>Wortarten als Bausteine des Satzes: Transfer auf unbekannte Beispiele</x:v>
      </x:c>
      <x:c r="E27" s="115" t="str">
        <x:v>Neue Beispiele mit Hilfekarte bearbeiten und Lösungen vergleichen. Basisniveau mit klaren Teilschritten, Wortlisten, Satzstartern und häufigen Sicherungen.</x:v>
      </x:c>
      <x:c r="F27" s="115" t="str">
        <x:v>Unbekannte und mehrdeutige Beispiele selbstständig analysieren; Grenzfälle begründet diskutieren. Erweiterungsniveau mit selbstständigerer Erschließung, zusätzlichen Belegen und begründeten Urteilen.</x:v>
      </x:c>
      <x:c r="G27" s="115" t="str">
        <x:v>de_k5_st23_wortarten_transfer</x:v>
      </x:c>
      <x:c r="H27" s="176" t="e">
        <x:f>HYPERLINK("schueler/de_k5_st23_wortarten_transfer_app.html","Lernmodul öffnen")</x:f>
      </x:c>
      <x:c r="I27" s="177" t="e">
        <x:f>HYPERLINK("lehrer/de_k5_st23_wortarten_transfer_orga.html","Vorbereitung öffnen")</x:f>
      </x:c>
    </x:row>
    <x:row r="28" ht="65" customHeight="1">
      <x:c r="A28" s="142" t="n">
        <x:v>5</x:v>
      </x:c>
      <x:c r="B28" s="115" t="str">
        <x:v>Schreiben</x:v>
      </x:c>
      <x:c r="C28" s="148" t="n">
        <x:v>24</x:v>
      </x:c>
      <x:c r="D28" s="115" t="str">
        <x:v>Wortarten als Bausteine des Satzes: Lernprodukt und Kompetenzcheck</x:v>
      </x:c>
      <x:c r="E28" s="115" t="str">
        <x:v>Merkblatt oder Übungstext erstellen; Grundregeln in einem kurzen Kompetenzcheck anwenden. Basisniveau mit klaren Teilschritten, Wortlisten, Satzstartern und häufigen Sicherungen.</x:v>
      </x:c>
      <x:c r="F28" s="115" t="str">
        <x:v>Erklärprodukt mit eigenen Beispielen erstellen; Regeln in einem anspruchsvollen Kompetenzcheck sicher anwenden. Erweiterungsniveau mit selbstständigerer Erschließung, zusätzlichen Belegen und begründeten Urteilen.</x:v>
      </x:c>
      <x:c r="G28" s="115" t="str">
        <x:v>de_k5_st24_wortarten_kompetenzcheck</x:v>
      </x:c>
      <x:c r="H28" s="176" t="e">
        <x:f>HYPERLINK("schueler/de_k5_st24_wortarten_kompetenzcheck_app.html","Lernmodul öffnen")</x:f>
      </x:c>
      <x:c r="I28" s="177" t="e">
        <x:f>HYPERLINK("lehrer/de_k5_st24_wortarten_kompetenzcheck_orga.html","Vorbereitung öffnen")</x:f>
      </x:c>
    </x:row>
    <x:row r="29" ht="65" customHeight="1">
      <x:c r="A29" s="142" t="n">
        <x:v>5</x:v>
      </x:c>
      <x:c r="B29" s="115" t="str">
        <x:v>Sprechen und Zuhören</x:v>
      </x:c>
      <x:c r="C29" s="148" t="n">
        <x:v>25</x:v>
      </x:c>
      <x:c r="D29" s="115" t="str">
        <x:v>Märchen lesen und gestalten: Hör- oder Leseeinstieg gestalten</x:v>
      </x:c>
      <x:c r="E29" s="115" t="str">
        <x:v>Einstieg über Bild, Hörtext oder kurzen Auszug; Vorwissen zu traditionelle und moderne Märchen sammeln und zentrale Wörter klären. Basisniveau mit klaren Teilschritten, Wortlisten, Satzstartern und häufigen Sicherungen.</x:v>
      </x:c>
      <x:c r="F29" s="115" t="str">
        <x:v>Aus Titel, Kontext und Gestaltung Erwartungen an traditionelle und moderne Märchen ableiten; erste Hypothesen formulieren und begründen. Erweiterungsniveau mit selbstständigerer Erschließung, zusätzlichen Belegen und begründeten Urteilen.</x:v>
      </x:c>
      <x:c r="G29" s="115" t="str">
        <x:v>de_k5_st25_maerchen_einstieg</x:v>
      </x:c>
      <x:c r="H29" s="176" t="e">
        <x:f>HYPERLINK("schueler/de_k5_st25_maerchen_einstieg_app.html","Lernmodul öffnen")</x:f>
      </x:c>
      <x:c r="I29" s="177" t="e">
        <x:f>HYPERLINK("lehrer/de_k5_st25_maerchen_einstieg_orga.html","Vorbereitung öffnen")</x:f>
      </x:c>
    </x:row>
    <x:row r="30" ht="65" customHeight="1">
      <x:c r="A30" s="142" t="n">
        <x:v>5</x:v>
      </x:c>
      <x:c r="B30" s="115" t="str">
        <x:v>Lesen/Umgang mit Texten</x:v>
      </x:c>
      <x:c r="C30" s="148" t="n">
        <x:v>26</x:v>
      </x:c>
      <x:c r="D30" s="115" t="str">
        <x:v>Märchen lesen und gestalten: den Text mit Lesestrategien erschließen</x:v>
      </x:c>
      <x:c r="E30" s="115" t="str">
        <x:v>Text abschnittsweise lesen; Schlüsselwörter markieren und den Inhalt mit Leitfragen sichern. Basisniveau mit klaren Teilschritten, Wortlisten, Satzstartern und häufigen Sicherungen.</x:v>
      </x:c>
      <x:c r="F30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30" s="115" t="str">
        <x:v>de_k5_st26_maerchen_erschliessen</x:v>
      </x:c>
      <x:c r="H30" s="176" t="e">
        <x:f>HYPERLINK("schueler/de_k5_st26_maerchen_erschliessen_app.html","Lernmodul öffnen")</x:f>
      </x:c>
      <x:c r="I30" s="177" t="e">
        <x:f>HYPERLINK("lehrer/de_k5_st26_maerchen_erschliessen_orga.html","Vorbereitung öffnen")</x:f>
      </x:c>
    </x:row>
    <x:row r="31" ht="65" customHeight="1">
      <x:c r="A31" s="142" t="n">
        <x:v>5</x:v>
      </x:c>
      <x:c r="B31" s="115" t="str">
        <x:v>Lesen/Umgang mit Texten</x:v>
      </x:c>
      <x:c r="C31" s="148" t="n">
        <x:v>27</x:v>
      </x:c>
      <x:c r="D31" s="115" t="str">
        <x:v>Märchen lesen und gestalten: Gattungsmerkmale erkennen</x:v>
      </x:c>
      <x:c r="E31" s="115" t="str">
        <x:v>Merkmale wie Zauber, Prüfungen, Gegensätze, formelhafte Sprache mithilfe einer Checkliste zuordnen und an Textstellen zeigen. Basisniveau mit klaren Teilschritten, Wortlisten, Satzstartern und häufigen Sicherungen.</x:v>
      </x:c>
      <x:c r="F31" s="115" t="str">
        <x:v>Merkmale wie Zauber, Prüfungen, Gegensätze, formelhafte Sprache textnah belegen und ihre Funktion für Aufbau und Wirkung erklären. Erweiterungsniveau mit selbstständigerer Erschließung, zusätzlichen Belegen und begründeten Urteilen.</x:v>
      </x:c>
      <x:c r="G31" s="115" t="str">
        <x:v>de_k5_st27_maerchen_merkmale</x:v>
      </x:c>
      <x:c r="H31" s="176" t="e">
        <x:f>HYPERLINK("schueler/de_k5_st27_maerchen_merkmale_app.html","Lernmodul öffnen")</x:f>
      </x:c>
      <x:c r="I31" s="177" t="e">
        <x:f>HYPERLINK("lehrer/de_k5_st27_maerchen_merkmale_orga.html","Vorbereitung öffnen")</x:f>
      </x:c>
    </x:row>
    <x:row r="32" ht="65" customHeight="1">
      <x:c r="A32" s="142" t="n">
        <x:v>5</x:v>
      </x:c>
      <x:c r="B32" s="115" t="str">
        <x:v>Lesen/Umgang mit Texten</x:v>
      </x:c>
      <x:c r="C32" s="148" t="n">
        <x:v>28</x:v>
      </x:c>
      <x:c r="D32" s="115" t="str">
        <x:v>Märchen lesen und gestalten: Figuren, Handlung und Konflikt untersuchen</x:v>
      </x:c>
      <x:c r="E32" s="115" t="str">
        <x:v>Figuren, Handlung und Wendepunkte mit Figurenkarten oder Handlungsstreifen ordnen; einfache Belege auswählen. Basisniveau mit klaren Teilschritten, Wortlisten, Satzstartern und häufigen Sicherungen.</x:v>
      </x:c>
      <x:c r="F32" s="115" t="str">
        <x:v>Figuren, Handlung und Wendepunkte in ihrem Zusammenhang untersuchen; Schlussfolgerungen mit passenden Textbelegen absichern. Erweiterungsniveau mit selbstständigerer Erschließung, zusätzlichen Belegen und begründeten Urteilen.</x:v>
      </x:c>
      <x:c r="G32" s="115" t="str">
        <x:v>de_k5_st28_maerchen_figuren_handlung</x:v>
      </x:c>
      <x:c r="H32" s="176" t="e">
        <x:f>HYPERLINK("schueler/de_k5_st28_maerchen_figuren_handlung_app.html","Lernmodul öffnen")</x:f>
      </x:c>
      <x:c r="I32" s="177" t="e">
        <x:f>HYPERLINK("lehrer/de_k5_st28_maerchen_figuren_handlung_orga.html","Vorbereitung öffnen")</x:f>
      </x:c>
    </x:row>
    <x:row r="33" ht="65" customHeight="1">
      <x:c r="A33" s="142" t="n">
        <x:v>5</x:v>
      </x:c>
      <x:c r="B33" s="115" t="str">
        <x:v>Sprache untersuchen</x:v>
      </x:c>
      <x:c r="C33" s="148" t="n">
        <x:v>29</x:v>
      </x:c>
      <x:c r="D33" s="115" t="str">
        <x:v>Märchen lesen und gestalten: Sprache und Wirkung untersuchen</x:v>
      </x:c>
      <x:c r="E33" s="115" t="str">
        <x:v>Beispiele für Wiederholungen, Zahlensymbolik, wörtliche Rede markieren und ihre Wirkung mit vorgegebenen Begriffen beschreiben. Basisniveau mit klaren Teilschritten, Wortlisten, Satzstartern und häufigen Sicherungen.</x:v>
      </x:c>
      <x:c r="F33" s="115" t="str">
        <x:v>Wiederholungen, Zahlensymbolik, wörtliche Rede fachsprachlich analysieren und auf Figurenzeichnung, Stimmung oder Aussage beziehen. Erweiterungsniveau mit selbstständigerer Erschließung, zusätzlichen Belegen und begründeten Urteilen.</x:v>
      </x:c>
      <x:c r="G33" s="115" t="str">
        <x:v>de_k5_st29_maerchen_sprache_wirkung</x:v>
      </x:c>
      <x:c r="H33" s="176" t="e">
        <x:f>HYPERLINK("schueler/de_k5_st29_maerchen_sprache_wirkung_app.html","Lernmodul öffnen")</x:f>
      </x:c>
      <x:c r="I33" s="177" t="e">
        <x:f>HYPERLINK("lehrer/de_k5_st29_maerchen_sprache_wirkung_orga.html","Vorbereitung öffnen")</x:f>
      </x:c>
    </x:row>
    <x:row r="34" ht="65" customHeight="1">
      <x:c r="A34" s="142" t="n">
        <x:v>5</x:v>
      </x:c>
      <x:c r="B34" s="115" t="str">
        <x:v>Schreiben</x:v>
      </x:c>
      <x:c r="C34" s="148" t="n">
        <x:v>30</x:v>
      </x:c>
      <x:c r="D34" s="115" t="str">
        <x:v>Märchen lesen und gestalten: eine Deutung oder Perspektive vorbereiten</x:v>
      </x:c>
      <x:c r="E34" s="115" t="str">
        <x:v>Eine zentrale Aussage mit Satzstartern formulieren; Beleg und Erklärung in einem Schreibrahmen verbinden. Basisniveau mit klaren Teilschritten, Wortlisten, Satzstartern und häufigen Sicherungen.</x:v>
      </x:c>
      <x:c r="F34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34" s="115" t="str">
        <x:v>de_k5_st30_maerchen_deutung_planen</x:v>
      </x:c>
      <x:c r="H34" s="176" t="e">
        <x:f>HYPERLINK("schueler/de_k5_st30_maerchen_deutung_planen_app.html","Lernmodul öffnen")</x:f>
      </x:c>
      <x:c r="I34" s="177" t="e">
        <x:f>HYPERLINK("lehrer/de_k5_st30_maerchen_deutung_planen_orga.html","Vorbereitung öffnen")</x:f>
      </x:c>
    </x:row>
    <x:row r="35" ht="65" customHeight="1">
      <x:c r="A35" s="142" t="n">
        <x:v>5</x:v>
      </x:c>
      <x:c r="B35" s="115" t="str">
        <x:v>Schreiben</x:v>
      </x:c>
      <x:c r="C35" s="148" t="n">
        <x:v>31</x:v>
      </x:c>
      <x:c r="D35" s="115" t="str">
        <x:v>Märchen lesen und gestalten: eigenes Märchen gestalten</x:v>
      </x:c>
      <x:c r="E35" s="115" t="str">
        <x:v>Eigenes märchen nach klaren Vorgaben erstellen; Hilfekarten und Wortbank nutzen. Basisniveau mit klaren Teilschritten, Wortlisten, Satzstartern und häufigen Sicherungen.</x:v>
      </x:c>
      <x:c r="F35" s="115" t="str">
        <x:v>Eigenes märchen eigenständig, textnah und sprachlich variabel gestalten; Wirkung bewusst planen. Erweiterungsniveau mit selbstständigerer Erschließung, zusätzlichen Belegen und begründeten Urteilen.</x:v>
      </x:c>
      <x:c r="G35" s="115" t="str">
        <x:v>de_k5_st31_maerchen_produkt</x:v>
      </x:c>
      <x:c r="H35" s="176" t="e">
        <x:f>HYPERLINK("schueler/de_k5_st31_maerchen_produkt_app.html","Lernmodul öffnen")</x:f>
      </x:c>
      <x:c r="I35" s="177" t="e">
        <x:f>HYPERLINK("lehrer/de_k5_st31_maerchen_produkt_orga.html","Vorbereitung öffnen")</x:f>
      </x:c>
    </x:row>
    <x:row r="36" ht="65" customHeight="1">
      <x:c r="A36" s="142" t="n">
        <x:v>5</x:v>
      </x:c>
      <x:c r="B36" s="115" t="str">
        <x:v>Sprechen und Zuhören</x:v>
      </x:c>
      <x:c r="C36" s="148" t="n">
        <x:v>32</x:v>
      </x:c>
      <x:c r="D36" s="115" t="str">
        <x:v>Märchen lesen und gestalten: Ergebnisse präsentieren und reflektieren</x:v>
      </x:c>
      <x:c r="E36" s="115" t="str">
        <x:v>Ergebnis kurz vorstellen; zwei vereinbarte Kriterien für Rückmeldung anwenden. Basisniveau mit klaren Teilschritten, Wortlisten, Satzstartern und häufigen Sicherungen.</x:v>
      </x:c>
      <x:c r="F36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36" s="115" t="str">
        <x:v>de_k5_st32_maerchen_praesentieren</x:v>
      </x:c>
      <x:c r="H36" s="176" t="e">
        <x:f>HYPERLINK("schueler/de_k5_st32_maerchen_praesentieren_app.html","Lernmodul öffnen")</x:f>
      </x:c>
      <x:c r="I36" s="177" t="e">
        <x:f>HYPERLINK("lehrer/de_k5_st32_maerchen_praesentieren_orga.html","Vorbereitung öffnen")</x:f>
      </x:c>
    </x:row>
    <x:row r="37" ht="65" customHeight="1">
      <x:c r="A37" s="142" t="n">
        <x:v>5</x:v>
      </x:c>
      <x:c r="B37" s="115" t="str">
        <x:v>Sprache untersuchen</x:v>
      </x:c>
      <x:c r="C37" s="148" t="n">
        <x:v>33</x:v>
      </x:c>
      <x:c r="D37" s="115" t="str">
        <x:v>Rechtschreibstrategien anwenden: Lernstand feststellen</x:v>
      </x:c>
      <x:c r="E37" s="115" t="str">
        <x:v>Kurze Diagnose zu Laut-Buchstaben-Zuordnung und Wortstämme bearbeiten; eigene Unsicherheiten markieren. Basisniveau mit klaren Teilschritten, Wortlisten, Satzstartern und häufigen Sicherungen.</x:v>
      </x:c>
      <x:c r="F37" s="115" t="str">
        <x:v>Diagnose zu Laut-Buchstaben-Zuordnung und Wortstämme auswerten; Fehlermuster benennen und persönliche Lernziele ableiten. Erweiterungsniveau mit selbstständigerer Erschließung, zusätzlichen Belegen und begründeten Urteilen.</x:v>
      </x:c>
      <x:c r="G37" s="115" t="str">
        <x:v>de_k5_st33_rechtschreibung_diagnose</x:v>
      </x:c>
      <x:c r="H37" s="176" t="e">
        <x:f>HYPERLINK("schueler/de_k5_st33_rechtschreibung_diagnose_app.html","Lernmodul öffnen")</x:f>
      </x:c>
      <x:c r="I37" s="177" t="e">
        <x:f>HYPERLINK("lehrer/de_k5_st33_rechtschreibung_diagnose_orga.html","Vorbereitung öffnen")</x:f>
      </x:c>
    </x:row>
    <x:row r="38" ht="65" customHeight="1">
      <x:c r="A38" s="142" t="n">
        <x:v>5</x:v>
      </x:c>
      <x:c r="B38" s="115" t="str">
        <x:v>Sprache untersuchen</x:v>
      </x:c>
      <x:c r="C38" s="148" t="n">
        <x:v>34</x:v>
      </x:c>
      <x:c r="D38" s="115" t="str">
        <x:v>Rechtschreibstrategien anwenden: Grundbegriffe sichern</x:v>
      </x:c>
      <x:c r="E38" s="115" t="str">
        <x:v>Verlängern, Ableiten, Silbieren, Nachschlagen an einfachen Beispielen erkennen und mit Merkkarten sichern. Basisniveau mit klaren Teilschritten, Wortlisten, Satzstartern und häufigen Sicherungen.</x:v>
      </x:c>
      <x:c r="F38" s="115" t="str">
        <x:v>Verlängern, Ableiten, Silbieren, Nachschlagen fachsprachlich erklären, voneinander abgrenzen und in komplexeren Beispielen bestimmen. Erweiterungsniveau mit selbstständigerer Erschließung, zusätzlichen Belegen und begründeten Urteilen.</x:v>
      </x:c>
      <x:c r="G38" s="115" t="str">
        <x:v>de_k5_st34_rechtschreibung_grundbegriffe</x:v>
      </x:c>
      <x:c r="H38" s="176" t="e">
        <x:f>HYPERLINK("schueler/de_k5_st34_rechtschreibung_grundbegriffe_app.html","Lernmodul öffnen")</x:f>
      </x:c>
      <x:c r="I38" s="177" t="e">
        <x:f>HYPERLINK("lehrer/de_k5_st34_rechtschreibung_grundbegriffe_orga.html","Vorbereitung öffnen")</x:f>
      </x:c>
    </x:row>
    <x:row r="39" ht="65" customHeight="1">
      <x:c r="A39" s="142" t="n">
        <x:v>5</x:v>
      </x:c>
      <x:c r="B39" s="115" t="str">
        <x:v>Sprache untersuchen</x:v>
      </x:c>
      <x:c r="C39" s="148" t="n">
        <x:v>35</x:v>
      </x:c>
      <x:c r="D39" s="115" t="str">
        <x:v>Rechtschreibstrategien anwenden: Verfahren anwenden</x:v>
      </x:c>
      <x:c r="E39" s="115" t="str">
        <x:v>Strategiekarten und Wörterbuch Schritt für Schritt anwenden; Entscheidungen mündlich begründen. Basisniveau mit klaren Teilschritten, Wortlisten, Satzstartern und häufigen Sicherungen.</x:v>
      </x:c>
      <x:c r="F39" s="115" t="str">
        <x:v>Strategiekarten und Wörterbuch selbstständig auswählen, kombinieren und auf Zweifelsfälle übertragen. Erweiterungsniveau mit selbstständigerer Erschließung, zusätzlichen Belegen und begründeten Urteilen.</x:v>
      </x:c>
      <x:c r="G39" s="115" t="str">
        <x:v>de_k5_st35_rechtschreibung_verfahren</x:v>
      </x:c>
      <x:c r="H39" s="176" t="e">
        <x:f>HYPERLINK("schueler/de_k5_st35_rechtschreibung_verfahren_app.html","Lernmodul öffnen")</x:f>
      </x:c>
      <x:c r="I39" s="177" t="e">
        <x:f>HYPERLINK("lehrer/de_k5_st35_rechtschreibung_verfahren_orga.html","Vorbereitung öffnen")</x:f>
      </x:c>
    </x:row>
    <x:row r="40" ht="65" customHeight="1">
      <x:c r="A40" s="142" t="n">
        <x:v>5</x:v>
      </x:c>
      <x:c r="B40" s="115" t="str">
        <x:v>Sprache untersuchen</x:v>
      </x:c>
      <x:c r="C40" s="148" t="n">
        <x:v>36</x:v>
      </x:c>
      <x:c r="D40" s="115" t="str">
        <x:v>Rechtschreibstrategien anwenden: Formen und Funktionen untersuchen</x:v>
      </x:c>
      <x:c r="E40" s="115" t="str">
        <x:v>Formen bilden und ihre Aufgabe im Satz mit Leitfragen beschreiben. Basisniveau mit klaren Teilschritten, Wortlisten, Satzstartern und häufigen Sicherungen.</x:v>
      </x:c>
      <x:c r="F40" s="115" t="str">
        <x:v>Form, Funktion und Wirkung im Satz oder Text untersuchen; alternative Formulierungen vergleichen. Erweiterungsniveau mit selbstständigerer Erschließung, zusätzlichen Belegen und begründeten Urteilen.</x:v>
      </x:c>
      <x:c r="G40" s="115" t="str">
        <x:v>de_k5_st36_rechtschreibung_funktion</x:v>
      </x:c>
      <x:c r="H40" s="176" t="e">
        <x:f>HYPERLINK("schueler/de_k5_st36_rechtschreibung_funktion_app.html","Lernmodul öffnen")</x:f>
      </x:c>
      <x:c r="I40" s="177" t="e">
        <x:f>HYPERLINK("lehrer/de_k5_st36_rechtschreibung_funktion_orga.html","Vorbereitung öffnen")</x:f>
      </x:c>
    </x:row>
    <x:row r="41" ht="65" customHeight="1">
      <x:c r="A41" s="142" t="n">
        <x:v>5</x:v>
      </x:c>
      <x:c r="B41" s="115" t="str">
        <x:v>Schreiben</x:v>
      </x:c>
      <x:c r="C41" s="148" t="n">
        <x:v>37</x:v>
      </x:c>
      <x:c r="D41" s="115" t="str">
        <x:v>Rechtschreibstrategien anwenden: Wissen im eigenen Text nutzen</x:v>
      </x:c>
      <x:c r="E41" s="115" t="str">
        <x:v>Fehlerwörter und kurze gebrauchstexte nach Vorgabe verfassen und die geübten Strukturen farbig markieren. Basisniveau mit klaren Teilschritten, Wortlisten, Satzstartern und häufigen Sicherungen.</x:v>
      </x:c>
      <x:c r="F41" s="115" t="str">
        <x:v>Fehlerwörter und kurze gebrauchstexte bewusst gestalten und sprachliche Entscheidungen kommentieren. Erweiterungsniveau mit selbstständigerer Erschließung, zusätzlichen Belegen und begründeten Urteilen.</x:v>
      </x:c>
      <x:c r="G41" s="115" t="str">
        <x:v>de_k5_st37_rechtschreibung_anwenden</x:v>
      </x:c>
      <x:c r="H41" s="176" t="e">
        <x:f>HYPERLINK("schueler/de_k5_st37_rechtschreibung_anwenden_app.html","Lernmodul öffnen")</x:f>
      </x:c>
      <x:c r="I41" s="177" t="e">
        <x:f>HYPERLINK("lehrer/de_k5_st37_rechtschreibung_anwenden_orga.html","Vorbereitung öffnen")</x:f>
      </x:c>
    </x:row>
    <x:row r="42" ht="65" customHeight="1">
      <x:c r="A42" s="142" t="n">
        <x:v>5</x:v>
      </x:c>
      <x:c r="B42" s="115" t="str">
        <x:v>Sprache untersuchen</x:v>
      </x:c>
      <x:c r="C42" s="148" t="n">
        <x:v>38</x:v>
      </x:c>
      <x:c r="D42" s="115" t="str">
        <x:v>Rechtschreibstrategien anwenden: Fehler finden und korrigieren</x:v>
      </x:c>
      <x:c r="E42" s="115" t="str">
        <x:v>Typische Fehler in kurzen Sätzen finden; passende Regelkarte auswählen und korrigieren. Basisniveau mit klaren Teilschritten, Wortlisten, Satzstartern und häufigen Sicherungen.</x:v>
      </x:c>
      <x:c r="F42" s="115" t="str">
        <x:v>Fehler systematisch diagnostizieren, Regelbezug herstellen und mehrere Korrekturmöglichkeiten bewerten. Erweiterungsniveau mit selbstständigerer Erschließung, zusätzlichen Belegen und begründeten Urteilen.</x:v>
      </x:c>
      <x:c r="G42" s="115" t="str">
        <x:v>de_k5_st38_rechtschreibung_fehler</x:v>
      </x:c>
      <x:c r="H42" s="176" t="e">
        <x:f>HYPERLINK("schueler/de_k5_st38_rechtschreibung_fehler_app.html","Lernmodul öffnen")</x:f>
      </x:c>
      <x:c r="I42" s="177" t="e">
        <x:f>HYPERLINK("lehrer/de_k5_st38_rechtschreibung_fehler_orga.html","Vorbereitung öffnen")</x:f>
      </x:c>
    </x:row>
    <x:row r="43" ht="65" customHeight="1">
      <x:c r="A43" s="142" t="n">
        <x:v>5</x:v>
      </x:c>
      <x:c r="B43" s="115" t="str">
        <x:v>Sprache untersuchen</x:v>
      </x:c>
      <x:c r="C43" s="148" t="n">
        <x:v>39</x:v>
      </x:c>
      <x:c r="D43" s="115" t="str">
        <x:v>Rechtschreibstrategien anwenden: Transfer auf unbekannte Beispiele</x:v>
      </x:c>
      <x:c r="E43" s="115" t="str">
        <x:v>Neue Beispiele mit Hilfekarte bearbeiten und Lösungen vergleichen. Basisniveau mit klaren Teilschritten, Wortlisten, Satzstartern und häufigen Sicherungen.</x:v>
      </x:c>
      <x:c r="F43" s="115" t="str">
        <x:v>Unbekannte und mehrdeutige Beispiele selbstständig analysieren; Grenzfälle begründet diskutieren. Erweiterungsniveau mit selbstständigerer Erschließung, zusätzlichen Belegen und begründeten Urteilen.</x:v>
      </x:c>
      <x:c r="G43" s="115" t="str">
        <x:v>de_k5_st39_rechtschreibung_transfer</x:v>
      </x:c>
      <x:c r="H43" s="176" t="e">
        <x:f>HYPERLINK("schueler/de_k5_st39_rechtschreibung_transfer_app.html","Lernmodul öffnen")</x:f>
      </x:c>
      <x:c r="I43" s="177" t="e">
        <x:f>HYPERLINK("lehrer/de_k5_st39_rechtschreibung_transfer_orga.html","Vorbereitung öffnen")</x:f>
      </x:c>
    </x:row>
    <x:row r="44" ht="65" customHeight="1">
      <x:c r="A44" s="142" t="n">
        <x:v>5</x:v>
      </x:c>
      <x:c r="B44" s="115" t="str">
        <x:v>Schreiben</x:v>
      </x:c>
      <x:c r="C44" s="148" t="n">
        <x:v>40</x:v>
      </x:c>
      <x:c r="D44" s="115" t="str">
        <x:v>Rechtschreibstrategien anwenden: Lernprodukt und Kompetenzcheck</x:v>
      </x:c>
      <x:c r="E44" s="115" t="str">
        <x:v>Merkblatt oder Übungstext erstellen; Grundregeln in einem kurzen Kompetenzcheck anwenden. Basisniveau mit klaren Teilschritten, Wortlisten, Satzstartern und häufigen Sicherungen.</x:v>
      </x:c>
      <x:c r="F44" s="115" t="str">
        <x:v>Erklärprodukt mit eigenen Beispielen erstellen; Regeln in einem anspruchsvollen Kompetenzcheck sicher anwenden. Erweiterungsniveau mit selbstständigerer Erschließung, zusätzlichen Belegen und begründeten Urteilen.</x:v>
      </x:c>
      <x:c r="G44" s="115" t="str">
        <x:v>de_k5_st40_rechtschreibung_kompetenzcheck</x:v>
      </x:c>
      <x:c r="H44" s="176" t="e">
        <x:f>HYPERLINK("schueler/de_k5_st40_rechtschreibung_kompetenzcheck_app.html","Lernmodul öffnen")</x:f>
      </x:c>
      <x:c r="I44" s="177" t="e">
        <x:f>HYPERLINK("lehrer/de_k5_st40_rechtschreibung_kompetenzcheck_orga.html","Vorbereitung öffnen")</x:f>
      </x:c>
    </x:row>
    <x:row r="45" ht="65" customHeight="1">
      <x:c r="A45" s="142" t="n">
        <x:v>5</x:v>
      </x:c>
      <x:c r="B45" s="115" t="str">
        <x:v>Sprechen und Zuhören</x:v>
      </x:c>
      <x:c r="C45" s="148" t="n">
        <x:v>41</x:v>
      </x:c>
      <x:c r="D45" s="115" t="str">
        <x:v>Sagen aus Thüringen und der Antike: Hör- oder Leseeinstieg gestalten</x:v>
      </x:c>
      <x:c r="E45" s="115" t="str">
        <x:v>Einstieg über Bild, Hörtext oder kurzen Auszug; Vorwissen zu Orts-, Helden- und Göttersagen sammeln und zentrale Wörter klären. Basisniveau mit klaren Teilschritten, Wortlisten, Satzstartern und häufigen Sicherungen.</x:v>
      </x:c>
      <x:c r="F45" s="115" t="str">
        <x:v>Aus Titel, Kontext und Gestaltung Erwartungen an Orts-, Helden- und Göttersagen ableiten; erste Hypothesen formulieren und begründen. Erweiterungsniveau mit selbstständigerer Erschließung, zusätzlichen Belegen und begründeten Urteilen.</x:v>
      </x:c>
      <x:c r="G45" s="115" t="str">
        <x:v>de_k5_st41_sagen_einstieg</x:v>
      </x:c>
      <x:c r="H45" s="176" t="e">
        <x:f>HYPERLINK("schueler/de_k5_st41_sagen_einstieg_app.html","Lernmodul öffnen")</x:f>
      </x:c>
      <x:c r="I45" s="177" t="e">
        <x:f>HYPERLINK("lehrer/de_k5_st41_sagen_einstieg_orga.html","Vorbereitung öffnen")</x:f>
      </x:c>
    </x:row>
    <x:row r="46" ht="65" customHeight="1">
      <x:c r="A46" s="142" t="n">
        <x:v>5</x:v>
      </x:c>
      <x:c r="B46" s="115" t="str">
        <x:v>Lesen/Umgang mit Texten</x:v>
      </x:c>
      <x:c r="C46" s="148" t="n">
        <x:v>42</x:v>
      </x:c>
      <x:c r="D46" s="115" t="str">
        <x:v>Sagen aus Thüringen und der Antike: den Text mit Lesestrategien erschließen</x:v>
      </x:c>
      <x:c r="E46" s="115" t="str">
        <x:v>Text abschnittsweise lesen; Schlüsselwörter markieren und den Inhalt mit Leitfragen sichern. Basisniveau mit klaren Teilschritten, Wortlisten, Satzstartern und häufigen Sicherungen.</x:v>
      </x:c>
      <x:c r="F46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46" s="115" t="str">
        <x:v>de_k5_st42_sagen_erschliessen</x:v>
      </x:c>
      <x:c r="H46" s="176" t="e">
        <x:f>HYPERLINK("schueler/de_k5_st42_sagen_erschliessen_app.html","Lernmodul öffnen")</x:f>
      </x:c>
      <x:c r="I46" s="177" t="e">
        <x:f>HYPERLINK("lehrer/de_k5_st42_sagen_erschliessen_orga.html","Vorbereitung öffnen")</x:f>
      </x:c>
    </x:row>
    <x:row r="47" ht="65" customHeight="1">
      <x:c r="A47" s="142" t="n">
        <x:v>5</x:v>
      </x:c>
      <x:c r="B47" s="115" t="str">
        <x:v>Lesen/Umgang mit Texten</x:v>
      </x:c>
      <x:c r="C47" s="148" t="n">
        <x:v>43</x:v>
      </x:c>
      <x:c r="D47" s="115" t="str">
        <x:v>Sagen aus Thüringen und der Antike: Gattungsmerkmale erkennen</x:v>
      </x:c>
      <x:c r="E47" s="115" t="str">
        <x:v>Merkmale wie historischer Kern, fantastische Ausgestaltung, Ortsbezug mithilfe einer Checkliste zuordnen und an Textstellen zeigen. Basisniveau mit klaren Teilschritten, Wortlisten, Satzstartern und häufigen Sicherungen.</x:v>
      </x:c>
      <x:c r="F47" s="115" t="str">
        <x:v>Merkmale wie historischer Kern, fantastische Ausgestaltung, Ortsbezug textnah belegen und ihre Funktion für Aufbau und Wirkung erklären. Erweiterungsniveau mit selbstständigerer Erschließung, zusätzlichen Belegen und begründeten Urteilen.</x:v>
      </x:c>
      <x:c r="G47" s="115" t="str">
        <x:v>de_k5_st43_sagen_merkmale</x:v>
      </x:c>
      <x:c r="H47" s="176" t="e">
        <x:f>HYPERLINK("schueler/de_k5_st43_sagen_merkmale_app.html","Lernmodul öffnen")</x:f>
      </x:c>
      <x:c r="I47" s="177" t="e">
        <x:f>HYPERLINK("lehrer/de_k5_st43_sagen_merkmale_orga.html","Vorbereitung öffnen")</x:f>
      </x:c>
    </x:row>
    <x:row r="48" ht="65" customHeight="1">
      <x:c r="A48" s="142" t="n">
        <x:v>5</x:v>
      </x:c>
      <x:c r="B48" s="115" t="str">
        <x:v>Lesen/Umgang mit Texten</x:v>
      </x:c>
      <x:c r="C48" s="148" t="n">
        <x:v>44</x:v>
      </x:c>
      <x:c r="D48" s="115" t="str">
        <x:v>Sagen aus Thüringen und der Antike: Figuren, Handlung und Konflikt untersuchen</x:v>
      </x:c>
      <x:c r="E48" s="115" t="str">
        <x:v>Erzählperspektive und Wahrheitsanspruch mit Figurenkarten oder Handlungsstreifen ordnen; einfache Belege auswählen. Basisniveau mit klaren Teilschritten, Wortlisten, Satzstartern und häufigen Sicherungen.</x:v>
      </x:c>
      <x:c r="F48" s="115" t="str">
        <x:v>Erzählperspektive und Wahrheitsanspruch in ihrem Zusammenhang untersuchen; Schlussfolgerungen mit passenden Textbelegen absichern. Erweiterungsniveau mit selbstständigerer Erschließung, zusätzlichen Belegen und begründeten Urteilen.</x:v>
      </x:c>
      <x:c r="G48" s="115" t="str">
        <x:v>de_k5_st44_sagen_figuren_handlung</x:v>
      </x:c>
      <x:c r="H48" s="176" t="e">
        <x:f>HYPERLINK("schueler/de_k5_st44_sagen_figuren_handlung_app.html","Lernmodul öffnen")</x:f>
      </x:c>
      <x:c r="I48" s="177" t="e">
        <x:f>HYPERLINK("lehrer/de_k5_st44_sagen_figuren_handlung_orga.html","Vorbereitung öffnen")</x:f>
      </x:c>
    </x:row>
    <x:row r="49" ht="65" customHeight="1">
      <x:c r="A49" s="142" t="n">
        <x:v>5</x:v>
      </x:c>
      <x:c r="B49" s="115" t="str">
        <x:v>Sprache untersuchen</x:v>
      </x:c>
      <x:c r="C49" s="148" t="n">
        <x:v>45</x:v>
      </x:c>
      <x:c r="D49" s="115" t="str">
        <x:v>Sagen aus Thüringen und der Antike: Sprache und Wirkung untersuchen</x:v>
      </x:c>
      <x:c r="E49" s="115" t="str">
        <x:v>Beispiele für altertümliche Wörter, Spannungsaufbau markieren und ihre Wirkung mit vorgegebenen Begriffen beschreiben. Basisniveau mit klaren Teilschritten, Wortlisten, Satzstartern und häufigen Sicherungen.</x:v>
      </x:c>
      <x:c r="F49" s="115" t="str">
        <x:v>altertümliche Wörter, Spannungsaufbau fachsprachlich analysieren und auf Figurenzeichnung, Stimmung oder Aussage beziehen. Erweiterungsniveau mit selbstständigerer Erschließung, zusätzlichen Belegen und begründeten Urteilen.</x:v>
      </x:c>
      <x:c r="G49" s="115" t="str">
        <x:v>de_k5_st45_sagen_sprache_wirkung</x:v>
      </x:c>
      <x:c r="H49" s="176" t="e">
        <x:f>HYPERLINK("schueler/de_k5_st45_sagen_sprache_wirkung_app.html","Lernmodul öffnen")</x:f>
      </x:c>
      <x:c r="I49" s="177" t="e">
        <x:f>HYPERLINK("lehrer/de_k5_st45_sagen_sprache_wirkung_orga.html","Vorbereitung öffnen")</x:f>
      </x:c>
    </x:row>
    <x:row r="50" ht="65" customHeight="1">
      <x:c r="A50" s="142" t="n">
        <x:v>5</x:v>
      </x:c>
      <x:c r="B50" s="115" t="str">
        <x:v>Schreiben</x:v>
      </x:c>
      <x:c r="C50" s="148" t="n">
        <x:v>46</x:v>
      </x:c>
      <x:c r="D50" s="115" t="str">
        <x:v>Sagen aus Thüringen und der Antike: eine Deutung oder Perspektive vorbereiten</x:v>
      </x:c>
      <x:c r="E50" s="115" t="str">
        <x:v>Eine zentrale Aussage mit Satzstartern formulieren; Beleg und Erklärung in einem Schreibrahmen verbinden. Basisniveau mit klaren Teilschritten, Wortlisten, Satzstartern und häufigen Sicherungen.</x:v>
      </x:c>
      <x:c r="F50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50" s="115" t="str">
        <x:v>de_k5_st46_sagen_deutung_planen</x:v>
      </x:c>
      <x:c r="H50" s="176" t="e">
        <x:f>HYPERLINK("schueler/de_k5_st46_sagen_deutung_planen_app.html","Lernmodul öffnen")</x:f>
      </x:c>
      <x:c r="I50" s="177" t="e">
        <x:f>HYPERLINK("lehrer/de_k5_st46_sagen_deutung_planen_orga.html","Vorbereitung öffnen")</x:f>
      </x:c>
    </x:row>
    <x:row r="51" ht="65" customHeight="1">
      <x:c r="A51" s="142" t="n">
        <x:v>5</x:v>
      </x:c>
      <x:c r="B51" s="115" t="str">
        <x:v>Schreiben</x:v>
      </x:c>
      <x:c r="C51" s="148" t="n">
        <x:v>47</x:v>
      </x:c>
      <x:c r="D51" s="115" t="str">
        <x:v>Sagen aus Thüringen und der Antike: Sagenkarte oder Nacherzählung gestalten</x:v>
      </x:c>
      <x:c r="E51" s="115" t="str">
        <x:v>Sagenkarte oder nacherzählung nach klaren Vorgaben erstellen; Hilfekarten und Wortbank nutzen. Basisniveau mit klaren Teilschritten, Wortlisten, Satzstartern und häufigen Sicherungen.</x:v>
      </x:c>
      <x:c r="F51" s="115" t="str">
        <x:v>Sagenkarte oder nacherzählung eigenständig, textnah und sprachlich variabel gestalten; Wirkung bewusst planen. Erweiterungsniveau mit selbstständigerer Erschließung, zusätzlichen Belegen und begründeten Urteilen.</x:v>
      </x:c>
      <x:c r="G51" s="115" t="str">
        <x:v>de_k5_st47_sagen_produkt</x:v>
      </x:c>
      <x:c r="H51" s="176" t="e">
        <x:f>HYPERLINK("schueler/de_k5_st47_sagen_produkt_app.html","Lernmodul öffnen")</x:f>
      </x:c>
      <x:c r="I51" s="177" t="e">
        <x:f>HYPERLINK("lehrer/de_k5_st47_sagen_produkt_orga.html","Vorbereitung öffnen")</x:f>
      </x:c>
    </x:row>
    <x:row r="52" ht="65" customHeight="1">
      <x:c r="A52" s="142" t="n">
        <x:v>5</x:v>
      </x:c>
      <x:c r="B52" s="115" t="str">
        <x:v>Sprechen und Zuhören</x:v>
      </x:c>
      <x:c r="C52" s="148" t="n">
        <x:v>48</x:v>
      </x:c>
      <x:c r="D52" s="115" t="str">
        <x:v>Sagen aus Thüringen und der Antike: Ergebnisse präsentieren und reflektieren</x:v>
      </x:c>
      <x:c r="E52" s="115" t="str">
        <x:v>Ergebnis kurz vorstellen; zwei vereinbarte Kriterien für Rückmeldung anwenden. Basisniveau mit klaren Teilschritten, Wortlisten, Satzstartern und häufigen Sicherungen.</x:v>
      </x:c>
      <x:c r="F52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52" s="115" t="str">
        <x:v>de_k5_st48_sagen_praesentieren</x:v>
      </x:c>
      <x:c r="H52" s="176" t="e">
        <x:f>HYPERLINK("schueler/de_k5_st48_sagen_praesentieren_app.html","Lernmodul öffnen")</x:f>
      </x:c>
      <x:c r="I52" s="177" t="e">
        <x:f>HYPERLINK("lehrer/de_k5_st48_sagen_praesentieren_orga.html","Vorbereitung öffnen")</x:f>
      </x:c>
    </x:row>
    <x:row r="53" ht="65" customHeight="1">
      <x:c r="A53" s="142" t="n">
        <x:v>5</x:v>
      </x:c>
      <x:c r="B53" s="115" t="str">
        <x:v>Lesen/Umgang mit Texten</x:v>
      </x:c>
      <x:c r="C53" s="148" t="n">
        <x:v>49</x:v>
      </x:c>
      <x:c r="D53" s="115" t="str">
        <x:v>Gegenstände, Tiere und Vorgänge beschreiben: Beispieltexte untersuchen</x:v>
      </x:c>
      <x:c r="E53" s="115" t="str">
        <x:v>Ein Beispiel für Beschreibung lesen; Aufbau und typische Formulierungen farbig kennzeichnen. Basisniveau mit klaren Teilschritten, Wortlisten, Satzstartern und häufigen Sicherungen.</x:v>
      </x:c>
      <x:c r="F53" s="115" t="str">
        <x:v>Mehrere Beispiele für Beschreibung vergleichen; Funktion, Adressat und Qualitätsunterschiede herausarbeiten. Erweiterungsniveau mit selbstständigerer Erschließung, zusätzlichen Belegen und begründeten Urteilen.</x:v>
      </x:c>
      <x:c r="G53" s="115" t="str">
        <x:v>de_k5_st49_beschreiben_beispiel</x:v>
      </x:c>
      <x:c r="H53" s="176" t="e">
        <x:f>HYPERLINK("schueler/de_k5_st49_beschreiben_beispiel_app.html","Lernmodul öffnen")</x:f>
      </x:c>
      <x:c r="I53" s="177" t="e">
        <x:f>HYPERLINK("lehrer/de_k5_st49_beschreiben_beispiel_orga.html","Vorbereitung öffnen")</x:f>
      </x:c>
    </x:row>
    <x:row r="54" ht="65" customHeight="1">
      <x:c r="A54" s="142" t="n">
        <x:v>5</x:v>
      </x:c>
      <x:c r="B54" s="115" t="str">
        <x:v>Schreiben</x:v>
      </x:c>
      <x:c r="C54" s="148" t="n">
        <x:v>50</x:v>
      </x:c>
      <x:c r="D54" s="115" t="str">
        <x:v>Gegenstände, Tiere und Vorgänge beschreiben: Schreibziel und Kriterien klären</x:v>
      </x:c>
      <x:c r="E54" s="115" t="str">
        <x:v>Schreibziel „Merkmale und Abläufe genau darstellen“ verstehen; eine kurze Kriterienliste auf ein Beispiel anwenden. Basisniveau mit klaren Teilschritten, Wortlisten, Satzstartern und häufigen Sicherungen.</x:v>
      </x:c>
      <x:c r="F54" s="115" t="str">
        <x:v>Schreibziel „Merkmale und Abläufe genau darstellen“ präzisieren; Kriterien gewichten und auf unterschiedliche Schreibsituationen übertragen. Erweiterungsniveau mit selbstständigerer Erschließung, zusätzlichen Belegen und begründeten Urteilen.</x:v>
      </x:c>
      <x:c r="G54" s="115" t="str">
        <x:v>de_k5_st50_beschreiben_kriterien</x:v>
      </x:c>
      <x:c r="H54" s="176" t="e">
        <x:f>HYPERLINK("schueler/de_k5_st50_beschreiben_kriterien_app.html","Lernmodul öffnen")</x:f>
      </x:c>
      <x:c r="I54" s="177" t="e">
        <x:f>HYPERLINK("lehrer/de_k5_st50_beschreiben_kriterien_orga.html","Vorbereitung öffnen")</x:f>
      </x:c>
    </x:row>
    <x:row r="55" ht="65" customHeight="1">
      <x:c r="A55" s="142" t="n">
        <x:v>5</x:v>
      </x:c>
      <x:c r="B55" s="115" t="str">
        <x:v>Lesen/Umgang mit Texten</x:v>
      </x:c>
      <x:c r="C55" s="148" t="n">
        <x:v>51</x:v>
      </x:c>
      <x:c r="D55" s="115" t="str">
        <x:v>Gegenstände, Tiere und Vorgänge beschreiben: Inhalte auswählen und ordnen</x:v>
      </x:c>
      <x:c r="E55" s="115" t="str">
        <x:v>Ordnung vom Ganzen zum Detail und zeitliche Abfolge mit Leitfragen sammeln und in einer vorgegebenen Reihenfolge ordnen. Basisniveau mit klaren Teilschritten, Wortlisten, Satzstartern und häufigen Sicherungen.</x:v>
      </x:c>
      <x:c r="F55" s="115" t="str">
        <x:v>Ordnung vom Ganzen zum Detail und zeitliche Abfolge selbstständig auswählen, gewichten und in einer passenden Gliederung strukturieren. Erweiterungsniveau mit selbstständigerer Erschließung, zusätzlichen Belegen und begründeten Urteilen.</x:v>
      </x:c>
      <x:c r="G55" s="115" t="str">
        <x:v>de_k5_st51_beschreiben_inhalte_ordnen</x:v>
      </x:c>
      <x:c r="H55" s="176" t="e">
        <x:f>HYPERLINK("schueler/de_k5_st51_beschreiben_inhalte_ordnen_app.html","Lernmodul öffnen")</x:f>
      </x:c>
      <x:c r="I55" s="177" t="e">
        <x:f>HYPERLINK("lehrer/de_k5_st51_beschreiben_inhalte_ordnen_orga.html","Vorbereitung öffnen")</x:f>
      </x:c>
    </x:row>
    <x:row r="56" ht="65" customHeight="1">
      <x:c r="A56" s="142" t="n">
        <x:v>5</x:v>
      </x:c>
      <x:c r="B56" s="115" t="str">
        <x:v>Sprache untersuchen</x:v>
      </x:c>
      <x:c r="C56" s="148" t="n">
        <x:v>52</x:v>
      </x:c>
      <x:c r="D56" s="115" t="str">
        <x:v>Gegenstände, Tiere und Vorgänge beschreiben: passende sprachliche Mittel verwenden</x:v>
      </x:c>
      <x:c r="E56" s="115" t="str">
        <x:v>Fachwörter, Präsens, genaue Adjektive in Übungen erkennen und nach Satzmustern anwenden. Basisniveau mit klaren Teilschritten, Wortlisten, Satzstartern und häufigen Sicherungen.</x:v>
      </x:c>
      <x:c r="F56" s="115" t="str">
        <x:v>Fachwörter, Präsens, genaue Adjektive hinsichtlich Wirkung und Angemessenheit prüfen und gezielt variieren. Erweiterungsniveau mit selbstständigerer Erschließung, zusätzlichen Belegen und begründeten Urteilen.</x:v>
      </x:c>
      <x:c r="G56" s="115" t="str">
        <x:v>de_k5_st52_beschreiben_sprachmittel</x:v>
      </x:c>
      <x:c r="H56" s="176" t="e">
        <x:f>HYPERLINK("schueler/de_k5_st52_beschreiben_sprachmittel_app.html","Lernmodul öffnen")</x:f>
      </x:c>
      <x:c r="I56" s="177" t="e">
        <x:f>HYPERLINK("lehrer/de_k5_st52_beschreiben_sprachmittel_orga.html","Vorbereitung öffnen")</x:f>
      </x:c>
    </x:row>
    <x:row r="57" ht="65" customHeight="1">
      <x:c r="A57" s="142" t="n">
        <x:v>5</x:v>
      </x:c>
      <x:c r="B57" s="115" t="str">
        <x:v>Schreiben</x:v>
      </x:c>
      <x:c r="C57" s="148" t="n">
        <x:v>53</x:v>
      </x:c>
      <x:c r="D57" s="115" t="str">
        <x:v>Gegenstände, Tiere und Vorgänge beschreiben: einen Schreibplan erstellen</x:v>
      </x:c>
      <x:c r="E57" s="115" t="str">
        <x:v>Einen vorstrukturierten Schreibplan ausfüllen; Einleitung, Hauptteil und Schluss festlegen. Basisniveau mit klaren Teilschritten, Wortlisten, Satzstartern und häufigen Sicherungen.</x:v>
      </x:c>
      <x:c r="F57" s="115" t="str">
        <x:v>Einen eigenen Schreibplan mit Teilzielen, Belegen und sprachlichen Mitteln entwickeln. Erweiterungsniveau mit selbstständigerer Erschließung, zusätzlichen Belegen und begründeten Urteilen.</x:v>
      </x:c>
      <x:c r="G57" s="115" t="str">
        <x:v>de_k5_st53_beschreiben_schreibplan</x:v>
      </x:c>
      <x:c r="H57" s="176" t="e">
        <x:f>HYPERLINK("schueler/de_k5_st53_beschreiben_schreibplan_app.html","Lernmodul öffnen")</x:f>
      </x:c>
      <x:c r="I57" s="177" t="e">
        <x:f>HYPERLINK("lehrer/de_k5_st53_beschreiben_schreibplan_orga.html","Vorbereitung öffnen")</x:f>
      </x:c>
    </x:row>
    <x:row r="58" ht="65" customHeight="1">
      <x:c r="A58" s="142" t="n">
        <x:v>5</x:v>
      </x:c>
      <x:c r="B58" s="115" t="str">
        <x:v>Schreiben</x:v>
      </x:c>
      <x:c r="C58" s="148" t="n">
        <x:v>54</x:v>
      </x:c>
      <x:c r="D58" s="115" t="str">
        <x:v>Gegenstände, Tiere und Vorgänge beschreiben: einen ersten Textentwurf verfassen</x:v>
      </x:c>
      <x:c r="E58" s="115" t="str">
        <x:v>Gegenstands- oder vorgangsbeschreibung mithilfe von Schreibrahmen, Satzanfängen und Wortbank verfassen. Basisniveau mit klaren Teilschritten, Wortlisten, Satzstartern und häufigen Sicherungen.</x:v>
      </x:c>
      <x:c r="F58" s="115" t="str">
        <x:v>Gegenstands- oder vorgangsbeschreibung selbstständig, adressatenbezogen und sprachlich differenziert verfassen. Erweiterungsniveau mit selbstständigerer Erschließung, zusätzlichen Belegen und begründeten Urteilen.</x:v>
      </x:c>
      <x:c r="G58" s="115" t="str">
        <x:v>de_k5_st54_beschreiben_entwurf</x:v>
      </x:c>
      <x:c r="H58" s="176" t="e">
        <x:f>HYPERLINK("schueler/de_k5_st54_beschreiben_entwurf_app.html","Lernmodul öffnen")</x:f>
      </x:c>
      <x:c r="I58" s="177" t="e">
        <x:f>HYPERLINK("lehrer/de_k5_st54_beschreiben_entwurf_orga.html","Vorbereitung öffnen")</x:f>
      </x:c>
    </x:row>
    <x:row r="59" ht="65" customHeight="1">
      <x:c r="A59" s="142" t="n">
        <x:v>5</x:v>
      </x:c>
      <x:c r="B59" s="115" t="str">
        <x:v>Schreiben</x:v>
      </x:c>
      <x:c r="C59" s="148" t="n">
        <x:v>55</x:v>
      </x:c>
      <x:c r="D59" s="115" t="str">
        <x:v>Gegenstände, Tiere und Vorgänge beschreiben: Text kriteriengeleitet überarbeiten</x:v>
      </x:c>
      <x:c r="E59" s="115" t="str">
        <x:v>Text mit einer kurzen Prüfliste überarbeiten; einen inhaltlichen und einen sprachlichen Fehler verbessern. Basisniveau mit klaren Teilschritten, Wortlisten, Satzstartern und häufigen Sicherungen.</x:v>
      </x:c>
      <x:c r="F59" s="115" t="str">
        <x:v>Text in mehreren Überarbeitungsschritten prüfen; Aufbau, Kohärenz, Stil und Normrichtigkeit gezielt optimieren. Erweiterungsniveau mit selbstständigerer Erschließung, zusätzlichen Belegen und begründeten Urteilen.</x:v>
      </x:c>
      <x:c r="G59" s="115" t="str">
        <x:v>de_k5_st55_beschreiben_ueberarbeiten</x:v>
      </x:c>
      <x:c r="H59" s="176" t="e">
        <x:f>HYPERLINK("schueler/de_k5_st55_beschreiben_ueberarbeiten_app.html","Lernmodul öffnen")</x:f>
      </x:c>
      <x:c r="I59" s="177" t="e">
        <x:f>HYPERLINK("lehrer/de_k5_st55_beschreiben_ueberarbeiten_orga.html","Vorbereitung öffnen")</x:f>
      </x:c>
    </x:row>
    <x:row r="60" ht="65" customHeight="1">
      <x:c r="A60" s="142" t="n">
        <x:v>5</x:v>
      </x:c>
      <x:c r="B60" s="115" t="str">
        <x:v>Sprechen und Zuhören</x:v>
      </x:c>
      <x:c r="C60" s="148" t="n">
        <x:v>56</x:v>
      </x:c>
      <x:c r="D60" s="115" t="str">
        <x:v>Gegenstände, Tiere und Vorgänge beschreiben: Texte vorstellen und bewerten</x:v>
      </x:c>
      <x:c r="E60" s="115" t="str">
        <x:v>Ausgewählte Passage vorlesen oder erläutern; Rückmeldung mit einfachen Satzmustern geben. Basisniveau mit klaren Teilschritten, Wortlisten, Satzstartern und häufigen Sicherungen.</x:v>
      </x:c>
      <x:c r="F60" s="115" t="str">
        <x:v>Textwirkung und Schreibentscheidungen erläutern; differenziertes Peer-Feedback geben und begründet annehmen. Erweiterungsniveau mit selbstständigerer Erschließung, zusätzlichen Belegen und begründeten Urteilen.</x:v>
      </x:c>
      <x:c r="G60" s="115" t="str">
        <x:v>de_k5_st56_beschreiben_vorstellen</x:v>
      </x:c>
      <x:c r="H60" s="176" t="e">
        <x:f>HYPERLINK("schueler/de_k5_st56_beschreiben_vorstellen_app.html","Lernmodul öffnen")</x:f>
      </x:c>
      <x:c r="I60" s="177" t="e">
        <x:f>HYPERLINK("lehrer/de_k5_st56_beschreiben_vorstellen_orga.html","Vorbereitung öffnen")</x:f>
      </x:c>
    </x:row>
    <x:row r="61" ht="65" customHeight="1">
      <x:c r="A61" s="142" t="n">
        <x:v>5</x:v>
      </x:c>
      <x:c r="B61" s="115" t="str">
        <x:v>Sprechen und Zuhören</x:v>
      </x:c>
      <x:c r="C61" s="148" t="n">
        <x:v>57</x:v>
      </x:c>
      <x:c r="D61" s="115" t="str">
        <x:v>Naturgedichte entdecken: Hör- oder Leseeinstieg gestalten</x:v>
      </x:c>
      <x:c r="E61" s="115" t="str">
        <x:v>Einstieg über Bild, Hörtext oder kurzen Auszug; Vorwissen zu Naturlyrik und einfache Gedichte sammeln und zentrale Wörter klären. Basisniveau mit klaren Teilschritten, Wortlisten, Satzstartern und häufigen Sicherungen.</x:v>
      </x:c>
      <x:c r="F61" s="115" t="str">
        <x:v>Aus Titel, Kontext und Gestaltung Erwartungen an Naturlyrik und einfache Gedichte ableiten; erste Hypothesen formulieren und begründen. Erweiterungsniveau mit selbstständigerer Erschließung, zusätzlichen Belegen und begründeten Urteilen.</x:v>
      </x:c>
      <x:c r="G61" s="115" t="str">
        <x:v>de_k5_st57_naturlyrik_einstieg</x:v>
      </x:c>
      <x:c r="H61" s="176" t="e">
        <x:f>HYPERLINK("schueler/de_k5_st57_naturlyrik_einstieg_app.html","Lernmodul öffnen")</x:f>
      </x:c>
      <x:c r="I61" s="177" t="e">
        <x:f>HYPERLINK("lehrer/de_k5_st57_naturlyrik_einstieg_orga.html","Vorbereitung öffnen")</x:f>
      </x:c>
    </x:row>
    <x:row r="62" ht="65" customHeight="1">
      <x:c r="A62" s="142" t="n">
        <x:v>5</x:v>
      </x:c>
      <x:c r="B62" s="115" t="str">
        <x:v>Lesen/Umgang mit Texten</x:v>
      </x:c>
      <x:c r="C62" s="148" t="n">
        <x:v>58</x:v>
      </x:c>
      <x:c r="D62" s="115" t="str">
        <x:v>Naturgedichte entdecken: den Text mit Lesestrategien erschließen</x:v>
      </x:c>
      <x:c r="E62" s="115" t="str">
        <x:v>Text abschnittsweise lesen; Schlüsselwörter markieren und den Inhalt mit Leitfragen sichern. Basisniveau mit klaren Teilschritten, Wortlisten, Satzstartern und häufigen Sicherungen.</x:v>
      </x:c>
      <x:c r="F62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62" s="115" t="str">
        <x:v>de_k5_st58_naturlyrik_erschliessen</x:v>
      </x:c>
      <x:c r="H62" s="176" t="e">
        <x:f>HYPERLINK("schueler/de_k5_st58_naturlyrik_erschliessen_app.html","Lernmodul öffnen")</x:f>
      </x:c>
      <x:c r="I62" s="177" t="e">
        <x:f>HYPERLINK("lehrer/de_k5_st58_naturlyrik_erschliessen_orga.html","Vorbereitung öffnen")</x:f>
      </x:c>
    </x:row>
    <x:row r="63" ht="65" customHeight="1">
      <x:c r="A63" s="142" t="n">
        <x:v>5</x:v>
      </x:c>
      <x:c r="B63" s="115" t="str">
        <x:v>Lesen/Umgang mit Texten</x:v>
      </x:c>
      <x:c r="C63" s="148" t="n">
        <x:v>59</x:v>
      </x:c>
      <x:c r="D63" s="115" t="str">
        <x:v>Naturgedichte entdecken: Gattungsmerkmale erkennen</x:v>
      </x:c>
      <x:c r="E63" s="115" t="str">
        <x:v>Merkmale wie Vers, Strophe, Reim, Rhythmus mithilfe einer Checkliste zuordnen und an Textstellen zeigen. Basisniveau mit klaren Teilschritten, Wortlisten, Satzstartern und häufigen Sicherungen.</x:v>
      </x:c>
      <x:c r="F63" s="115" t="str">
        <x:v>Merkmale wie Vers, Strophe, Reim, Rhythmus textnah belegen und ihre Funktion für Aufbau und Wirkung erklären. Erweiterungsniveau mit selbstständigerer Erschließung, zusätzlichen Belegen und begründeten Urteilen.</x:v>
      </x:c>
      <x:c r="G63" s="115" t="str">
        <x:v>de_k5_st59_naturlyrik_merkmale</x:v>
      </x:c>
      <x:c r="H63" s="176" t="e">
        <x:f>HYPERLINK("schueler/de_k5_st59_naturlyrik_merkmale_app.html","Lernmodul öffnen")</x:f>
      </x:c>
      <x:c r="I63" s="177" t="e">
        <x:f>HYPERLINK("lehrer/de_k5_st59_naturlyrik_merkmale_orga.html","Vorbereitung öffnen")</x:f>
      </x:c>
    </x:row>
    <x:row r="64" ht="65" customHeight="1">
      <x:c r="A64" s="142" t="n">
        <x:v>5</x:v>
      </x:c>
      <x:c r="B64" s="115" t="str">
        <x:v>Lesen/Umgang mit Texten</x:v>
      </x:c>
      <x:c r="C64" s="148" t="n">
        <x:v>60</x:v>
      </x:c>
      <x:c r="D64" s="115" t="str">
        <x:v>Naturgedichte entdecken: Figuren, Handlung und Konflikt untersuchen</x:v>
      </x:c>
      <x:c r="E64" s="115" t="str">
        <x:v>Sprecher, Stimmung und Bildlichkeit mit Figurenkarten oder Handlungsstreifen ordnen; einfache Belege auswählen. Basisniveau mit klaren Teilschritten, Wortlisten, Satzstartern und häufigen Sicherungen.</x:v>
      </x:c>
      <x:c r="F64" s="115" t="str">
        <x:v>Sprecher, Stimmung und Bildlichkeit in ihrem Zusammenhang untersuchen; Schlussfolgerungen mit passenden Textbelegen absichern. Erweiterungsniveau mit selbstständigerer Erschließung, zusätzlichen Belegen und begründeten Urteilen.</x:v>
      </x:c>
      <x:c r="G64" s="115" t="str">
        <x:v>de_k5_st60_naturlyrik_figuren_handlung</x:v>
      </x:c>
      <x:c r="H64" s="176" t="e">
        <x:f>HYPERLINK("schueler/de_k5_st60_naturlyrik_figuren_handlung_app.html","Lernmodul öffnen")</x:f>
      </x:c>
      <x:c r="I64" s="177" t="e">
        <x:f>HYPERLINK("lehrer/de_k5_st60_naturlyrik_figuren_handlung_orga.html","Vorbereitung öffnen")</x:f>
      </x:c>
    </x:row>
    <x:row r="65" ht="65" customHeight="1">
      <x:c r="A65" s="142" t="n">
        <x:v>5</x:v>
      </x:c>
      <x:c r="B65" s="115" t="str">
        <x:v>Sprache untersuchen</x:v>
      </x:c>
      <x:c r="C65" s="148" t="n">
        <x:v>61</x:v>
      </x:c>
      <x:c r="D65" s="115" t="str">
        <x:v>Naturgedichte entdecken: Sprache und Wirkung untersuchen</x:v>
      </x:c>
      <x:c r="E65" s="115" t="str">
        <x:v>Beispiele für Klangwörter, Vergleiche, Personifikationen markieren und ihre Wirkung mit vorgegebenen Begriffen beschreiben. Basisniveau mit klaren Teilschritten, Wortlisten, Satzstartern und häufigen Sicherungen.</x:v>
      </x:c>
      <x:c r="F65" s="115" t="str">
        <x:v>Klangwörter, Vergleiche, Personifikationen fachsprachlich analysieren und auf Figurenzeichnung, Stimmung oder Aussage beziehen. Erweiterungsniveau mit selbstständigerer Erschließung, zusätzlichen Belegen und begründeten Urteilen.</x:v>
      </x:c>
      <x:c r="G65" s="115" t="str">
        <x:v>de_k5_st61_naturlyrik_sprache_wirkung</x:v>
      </x:c>
      <x:c r="H65" s="176" t="e">
        <x:f>HYPERLINK("schueler/de_k5_st61_naturlyrik_sprache_wirkung_app.html","Lernmodul öffnen")</x:f>
      </x:c>
      <x:c r="I65" s="177" t="e">
        <x:f>HYPERLINK("lehrer/de_k5_st61_naturlyrik_sprache_wirkung_orga.html","Vorbereitung öffnen")</x:f>
      </x:c>
    </x:row>
    <x:row r="66" ht="65" customHeight="1">
      <x:c r="A66" s="142" t="n">
        <x:v>5</x:v>
      </x:c>
      <x:c r="B66" s="115" t="str">
        <x:v>Schreiben</x:v>
      </x:c>
      <x:c r="C66" s="148" t="n">
        <x:v>62</x:v>
      </x:c>
      <x:c r="D66" s="115" t="str">
        <x:v>Naturgedichte entdecken: eine Deutung oder Perspektive vorbereiten</x:v>
      </x:c>
      <x:c r="E66" s="115" t="str">
        <x:v>Eine zentrale Aussage mit Satzstartern formulieren; Beleg und Erklärung in einem Schreibrahmen verbinden. Basisniveau mit klaren Teilschritten, Wortlisten, Satzstartern und häufigen Sicherungen.</x:v>
      </x:c>
      <x:c r="F66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66" s="115" t="str">
        <x:v>de_k5_st62_naturlyrik_deutung_planen</x:v>
      </x:c>
      <x:c r="H66" s="176" t="e">
        <x:f>HYPERLINK("schueler/de_k5_st62_naturlyrik_deutung_planen_app.html","Lernmodul öffnen")</x:f>
      </x:c>
      <x:c r="I66" s="177" t="e">
        <x:f>HYPERLINK("lehrer/de_k5_st62_naturlyrik_deutung_planen_orga.html","Vorbereitung öffnen")</x:f>
      </x:c>
    </x:row>
    <x:row r="67" ht="65" customHeight="1">
      <x:c r="A67" s="142" t="n">
        <x:v>5</x:v>
      </x:c>
      <x:c r="B67" s="115" t="str">
        <x:v>Schreiben</x:v>
      </x:c>
      <x:c r="C67" s="148" t="n">
        <x:v>63</x:v>
      </x:c>
      <x:c r="D67" s="115" t="str">
        <x:v>Naturgedichte entdecken: Gedichtvortrag und eigenes Gedicht gestalten</x:v>
      </x:c>
      <x:c r="E67" s="115" t="str">
        <x:v>Gedichtvortrag und eigenes gedicht nach klaren Vorgaben erstellen; Hilfekarten und Wortbank nutzen. Basisniveau mit klaren Teilschritten, Wortlisten, Satzstartern und häufigen Sicherungen.</x:v>
      </x:c>
      <x:c r="F67" s="115" t="str">
        <x:v>Gedichtvortrag und eigenes gedicht eigenständig, textnah und sprachlich variabel gestalten; Wirkung bewusst planen. Erweiterungsniveau mit selbstständigerer Erschließung, zusätzlichen Belegen und begründeten Urteilen.</x:v>
      </x:c>
      <x:c r="G67" s="115" t="str">
        <x:v>de_k5_st63_naturlyrik_produkt</x:v>
      </x:c>
      <x:c r="H67" s="176" t="e">
        <x:f>HYPERLINK("schueler/de_k5_st63_naturlyrik_produkt_app.html","Lernmodul öffnen")</x:f>
      </x:c>
      <x:c r="I67" s="177" t="e">
        <x:f>HYPERLINK("lehrer/de_k5_st63_naturlyrik_produkt_orga.html","Vorbereitung öffnen")</x:f>
      </x:c>
    </x:row>
    <x:row r="68" ht="65" customHeight="1">
      <x:c r="A68" s="142" t="n">
        <x:v>5</x:v>
      </x:c>
      <x:c r="B68" s="115" t="str">
        <x:v>Sprechen und Zuhören</x:v>
      </x:c>
      <x:c r="C68" s="148" t="n">
        <x:v>64</x:v>
      </x:c>
      <x:c r="D68" s="115" t="str">
        <x:v>Naturgedichte entdecken: Ergebnisse präsentieren und reflektieren</x:v>
      </x:c>
      <x:c r="E68" s="115" t="str">
        <x:v>Ergebnis kurz vorstellen; zwei vereinbarte Kriterien für Rückmeldung anwenden. Basisniveau mit klaren Teilschritten, Wortlisten, Satzstartern und häufigen Sicherungen.</x:v>
      </x:c>
      <x:c r="F68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68" s="115" t="str">
        <x:v>de_k5_st64_naturlyrik_praesentieren</x:v>
      </x:c>
      <x:c r="H68" s="176" t="e">
        <x:f>HYPERLINK("schueler/de_k5_st64_naturlyrik_praesentieren_app.html","Lernmodul öffnen")</x:f>
      </x:c>
      <x:c r="I68" s="177" t="e">
        <x:f>HYPERLINK("lehrer/de_k5_st64_naturlyrik_praesentieren_orga.html","Vorbereitung öffnen")</x:f>
      </x:c>
    </x:row>
    <x:row r="69" ht="65" customHeight="1">
      <x:c r="A69" s="142" t="n">
        <x:v>5</x:v>
      </x:c>
      <x:c r="B69" s="115" t="str">
        <x:v>Sprechen und Zuhören</x:v>
      </x:c>
      <x:c r="C69" s="148" t="n">
        <x:v>65</x:v>
      </x:c>
      <x:c r="D69" s="115" t="str">
        <x:v>Kinder- und Jugendbuch als Ganzschrift: Hör- oder Leseeinstieg gestalten</x:v>
      </x:c>
      <x:c r="E69" s="115" t="str">
        <x:v>Einstieg über Bild, Hörtext oder kurzen Auszug; Vorwissen zu altersgemäßer Jugendroman sammeln und zentrale Wörter klären. Basisniveau mit klaren Teilschritten, Wortlisten, Satzstartern und häufigen Sicherungen.</x:v>
      </x:c>
      <x:c r="F69" s="115" t="str">
        <x:v>Aus Titel, Kontext und Gestaltung Erwartungen an altersgemäßer Jugendroman ableiten; erste Hypothesen formulieren und begründen. Erweiterungsniveau mit selbstständigerer Erschließung, zusätzlichen Belegen und begründeten Urteilen.</x:v>
      </x:c>
      <x:c r="G69" s="115" t="str">
        <x:v>de_k5_st65_jugendbuch_einstieg</x:v>
      </x:c>
      <x:c r="H69" s="176" t="e">
        <x:f>HYPERLINK("schueler/de_k5_st65_jugendbuch_einstieg_app.html","Lernmodul öffnen")</x:f>
      </x:c>
      <x:c r="I69" s="177" t="e">
        <x:f>HYPERLINK("lehrer/de_k5_st65_jugendbuch_einstieg_orga.html","Vorbereitung öffnen")</x:f>
      </x:c>
    </x:row>
    <x:row r="70" ht="65" customHeight="1">
      <x:c r="A70" s="142" t="n">
        <x:v>5</x:v>
      </x:c>
      <x:c r="B70" s="115" t="str">
        <x:v>Lesen/Umgang mit Texten</x:v>
      </x:c>
      <x:c r="C70" s="148" t="n">
        <x:v>66</x:v>
      </x:c>
      <x:c r="D70" s="115" t="str">
        <x:v>Kinder- und Jugendbuch als Ganzschrift: den Text mit Lesestrategien erschließen</x:v>
      </x:c>
      <x:c r="E70" s="115" t="str">
        <x:v>Text abschnittsweise lesen; Schlüsselwörter markieren und den Inhalt mit Leitfragen sichern. Basisniveau mit klaren Teilschritten, Wortlisten, Satzstartern und häufigen Sicherungen.</x:v>
      </x:c>
      <x:c r="F70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70" s="115" t="str">
        <x:v>de_k5_st66_jugendbuch_erschliessen</x:v>
      </x:c>
      <x:c r="H70" s="176" t="e">
        <x:f>HYPERLINK("schueler/de_k5_st66_jugendbuch_erschliessen_app.html","Lernmodul öffnen")</x:f>
      </x:c>
      <x:c r="I70" s="177" t="e">
        <x:f>HYPERLINK("lehrer/de_k5_st66_jugendbuch_erschliessen_orga.html","Vorbereitung öffnen")</x:f>
      </x:c>
    </x:row>
    <x:row r="71" ht="65" customHeight="1">
      <x:c r="A71" s="142" t="n">
        <x:v>5</x:v>
      </x:c>
      <x:c r="B71" s="115" t="str">
        <x:v>Lesen/Umgang mit Texten</x:v>
      </x:c>
      <x:c r="C71" s="148" t="n">
        <x:v>67</x:v>
      </x:c>
      <x:c r="D71" s="115" t="str">
        <x:v>Kinder- und Jugendbuch als Ganzschrift: Gattungsmerkmale erkennen</x:v>
      </x:c>
      <x:c r="E71" s="115" t="str">
        <x:v>Merkmale wie Kapitel, Figurenkonstellation, Konflikt mithilfe einer Checkliste zuordnen und an Textstellen zeigen. Basisniveau mit klaren Teilschritten, Wortlisten, Satzstartern und häufigen Sicherungen.</x:v>
      </x:c>
      <x:c r="F71" s="115" t="str">
        <x:v>Merkmale wie Kapitel, Figurenkonstellation, Konflikt textnah belegen und ihre Funktion für Aufbau und Wirkung erklären. Erweiterungsniveau mit selbstständigerer Erschließung, zusätzlichen Belegen und begründeten Urteilen.</x:v>
      </x:c>
      <x:c r="G71" s="115" t="str">
        <x:v>de_k5_st67_jugendbuch_merkmale</x:v>
      </x:c>
      <x:c r="H71" s="176" t="e">
        <x:f>HYPERLINK("schueler/de_k5_st67_jugendbuch_merkmale_app.html","Lernmodul öffnen")</x:f>
      </x:c>
      <x:c r="I71" s="177" t="e">
        <x:f>HYPERLINK("lehrer/de_k5_st67_jugendbuch_merkmale_orga.html","Vorbereitung öffnen")</x:f>
      </x:c>
    </x:row>
    <x:row r="72" ht="65" customHeight="1">
      <x:c r="A72" s="142" t="n">
        <x:v>5</x:v>
      </x:c>
      <x:c r="B72" s="115" t="str">
        <x:v>Lesen/Umgang mit Texten</x:v>
      </x:c>
      <x:c r="C72" s="148" t="n">
        <x:v>68</x:v>
      </x:c>
      <x:c r="D72" s="115" t="str">
        <x:v>Kinder- und Jugendbuch als Ganzschrift: Figuren, Handlung und Konflikt untersuchen</x:v>
      </x:c>
      <x:c r="E72" s="115" t="str">
        <x:v>Entwicklung der Hauptfigur und Perspektive mit Figurenkarten oder Handlungsstreifen ordnen; einfache Belege auswählen. Basisniveau mit klaren Teilschritten, Wortlisten, Satzstartern und häufigen Sicherungen.</x:v>
      </x:c>
      <x:c r="F72" s="115" t="str">
        <x:v>Entwicklung der Hauptfigur und Perspektive in ihrem Zusammenhang untersuchen; Schlussfolgerungen mit passenden Textbelegen absichern. Erweiterungsniveau mit selbstständigerer Erschließung, zusätzlichen Belegen und begründeten Urteilen.</x:v>
      </x:c>
      <x:c r="G72" s="115" t="str">
        <x:v>de_k5_st68_jugendbuch_figuren_handlung</x:v>
      </x:c>
      <x:c r="H72" s="176" t="e">
        <x:f>HYPERLINK("schueler/de_k5_st68_jugendbuch_figuren_handlung_app.html","Lernmodul öffnen")</x:f>
      </x:c>
      <x:c r="I72" s="177" t="e">
        <x:f>HYPERLINK("lehrer/de_k5_st68_jugendbuch_figuren_handlung_orga.html","Vorbereitung öffnen")</x:f>
      </x:c>
    </x:row>
    <x:row r="73" ht="65" customHeight="1">
      <x:c r="A73" s="142" t="n">
        <x:v>5</x:v>
      </x:c>
      <x:c r="B73" s="115" t="str">
        <x:v>Sprache untersuchen</x:v>
      </x:c>
      <x:c r="C73" s="148" t="n">
        <x:v>69</x:v>
      </x:c>
      <x:c r="D73" s="115" t="str">
        <x:v>Kinder- und Jugendbuch als Ganzschrift: Sprache und Wirkung untersuchen</x:v>
      </x:c>
      <x:c r="E73" s="115" t="str">
        <x:v>Beispiele für Erzähltempo, Dialoge, innere Gedanken markieren und ihre Wirkung mit vorgegebenen Begriffen beschreiben. Basisniveau mit klaren Teilschritten, Wortlisten, Satzstartern und häufigen Sicherungen.</x:v>
      </x:c>
      <x:c r="F73" s="115" t="str">
        <x:v>Erzähltempo, Dialoge, innere Gedanken fachsprachlich analysieren und auf Figurenzeichnung, Stimmung oder Aussage beziehen. Erweiterungsniveau mit selbstständigerer Erschließung, zusätzlichen Belegen und begründeten Urteilen.</x:v>
      </x:c>
      <x:c r="G73" s="115" t="str">
        <x:v>de_k5_st69_jugendbuch_sprache_wirkung</x:v>
      </x:c>
      <x:c r="H73" s="176" t="e">
        <x:f>HYPERLINK("schueler/de_k5_st69_jugendbuch_sprache_wirkung_app.html","Lernmodul öffnen")</x:f>
      </x:c>
      <x:c r="I73" s="177" t="e">
        <x:f>HYPERLINK("lehrer/de_k5_st69_jugendbuch_sprache_wirkung_orga.html","Vorbereitung öffnen")</x:f>
      </x:c>
    </x:row>
    <x:row r="74" ht="65" customHeight="1">
      <x:c r="A74" s="142" t="n">
        <x:v>5</x:v>
      </x:c>
      <x:c r="B74" s="115" t="str">
        <x:v>Schreiben</x:v>
      </x:c>
      <x:c r="C74" s="148" t="n">
        <x:v>70</x:v>
      </x:c>
      <x:c r="D74" s="115" t="str">
        <x:v>Kinder- und Jugendbuch als Ganzschrift: eine Deutung oder Perspektive vorbereiten</x:v>
      </x:c>
      <x:c r="E74" s="115" t="str">
        <x:v>Eine zentrale Aussage mit Satzstartern formulieren; Beleg und Erklärung in einem Schreibrahmen verbinden. Basisniveau mit klaren Teilschritten, Wortlisten, Satzstartern und häufigen Sicherungen.</x:v>
      </x:c>
      <x:c r="F74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74" s="115" t="str">
        <x:v>de_k5_st70_jugendbuch_deutung_planen</x:v>
      </x:c>
      <x:c r="H74" s="176" t="e">
        <x:f>HYPERLINK("schueler/de_k5_st70_jugendbuch_deutung_planen_app.html","Lernmodul öffnen")</x:f>
      </x:c>
      <x:c r="I74" s="177" t="e">
        <x:f>HYPERLINK("lehrer/de_k5_st70_jugendbuch_deutung_planen_orga.html","Vorbereitung öffnen")</x:f>
      </x:c>
    </x:row>
    <x:row r="75" ht="65" customHeight="1">
      <x:c r="A75" s="142" t="n">
        <x:v>5</x:v>
      </x:c>
      <x:c r="B75" s="115" t="str">
        <x:v>Schreiben</x:v>
      </x:c>
      <x:c r="C75" s="148" t="n">
        <x:v>71</x:v>
      </x:c>
      <x:c r="D75" s="115" t="str">
        <x:v>Kinder- und Jugendbuch als Ganzschrift: Lesetagebuch gestalten</x:v>
      </x:c>
      <x:c r="E75" s="115" t="str">
        <x:v>Lesetagebuch nach klaren Vorgaben erstellen; Hilfekarten und Wortbank nutzen. Basisniveau mit klaren Teilschritten, Wortlisten, Satzstartern und häufigen Sicherungen.</x:v>
      </x:c>
      <x:c r="F75" s="115" t="str">
        <x:v>Lesetagebuch eigenständig, textnah und sprachlich variabel gestalten; Wirkung bewusst planen. Erweiterungsniveau mit selbstständigerer Erschließung, zusätzlichen Belegen und begründeten Urteilen.</x:v>
      </x:c>
      <x:c r="G75" s="115" t="str">
        <x:v>de_k5_st71_jugendbuch_produkt</x:v>
      </x:c>
      <x:c r="H75" s="176" t="e">
        <x:f>HYPERLINK("schueler/de_k5_st71_jugendbuch_produkt_app.html","Lernmodul öffnen")</x:f>
      </x:c>
      <x:c r="I75" s="177" t="e">
        <x:f>HYPERLINK("lehrer/de_k5_st71_jugendbuch_produkt_orga.html","Vorbereitung öffnen")</x:f>
      </x:c>
    </x:row>
    <x:row r="76" ht="65" customHeight="1">
      <x:c r="A76" s="142" t="n">
        <x:v>5</x:v>
      </x:c>
      <x:c r="B76" s="115" t="str">
        <x:v>Sprechen und Zuhören</x:v>
      </x:c>
      <x:c r="C76" s="148" t="n">
        <x:v>72</x:v>
      </x:c>
      <x:c r="D76" s="115" t="str">
        <x:v>Kinder- und Jugendbuch als Ganzschrift: Ergebnisse präsentieren und reflektieren</x:v>
      </x:c>
      <x:c r="E76" s="115" t="str">
        <x:v>Ergebnis kurz vorstellen; zwei vereinbarte Kriterien für Rückmeldung anwenden. Basisniveau mit klaren Teilschritten, Wortlisten, Satzstartern und häufigen Sicherungen.</x:v>
      </x:c>
      <x:c r="F76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76" s="115" t="str">
        <x:v>de_k5_st72_jugendbuch_praesentieren</x:v>
      </x:c>
      <x:c r="H76" s="176" t="e">
        <x:f>HYPERLINK("schueler/de_k5_st72_jugendbuch_praesentieren_app.html","Lernmodul öffnen")</x:f>
      </x:c>
      <x:c r="I76" s="177" t="e">
        <x:f>HYPERLINK("lehrer/de_k5_st72_jugendbuch_praesentieren_orga.html","Vorbereitung öffnen")</x:f>
      </x:c>
    </x:row>
    <x:row r="77" ht="65" customHeight="1">
      <x:c r="A77" s="142" t="n">
        <x:v>5</x:v>
      </x:c>
      <x:c r="B77" s="115" t="str">
        <x:v>Sprechen und Zuhören</x:v>
      </x:c>
      <x:c r="C77" s="148" t="n">
        <x:v>73</x:v>
      </x:c>
      <x:c r="D77" s="115" t="str">
        <x:v>Sachtexte und Schaubilder erschließen: Vorwissen und Positionen klären</x:v>
      </x:c>
      <x:c r="E77" s="115" t="str">
        <x:v>Eigene Erfahrungen zu lineare und nicht lineare Sachtexte benennen; zentrale Begriffe mit Beispielen klären. Basisniveau mit klaren Teilschritten, Wortlisten, Satzstartern und häufigen Sicherungen.</x:v>
      </x:c>
      <x:c r="F77" s="115" t="str">
        <x:v>Vorwissen zu lineare und nicht lineare Sachtexte strukturieren; erste Positionen formulieren und mögliche Konflikte benennen. Erweiterungsniveau mit selbstständigerer Erschließung, zusätzlichen Belegen und begründeten Urteilen.</x:v>
      </x:c>
      <x:c r="G77" s="115" t="str">
        <x:v>de_k5_st73_sachtexte_einstieg</x:v>
      </x:c>
      <x:c r="H77" s="176" t="e">
        <x:f>HYPERLINK("schueler/de_k5_st73_sachtexte_einstieg_app.html","Lernmodul öffnen")</x:f>
      </x:c>
      <x:c r="I77" s="177" t="e">
        <x:f>HYPERLINK("lehrer/de_k5_st73_sachtexte_einstieg_orga.html","Vorbereitung öffnen")</x:f>
      </x:c>
    </x:row>
    <x:row r="78" ht="65" customHeight="1">
      <x:c r="A78" s="142" t="n">
        <x:v>5</x:v>
      </x:c>
      <x:c r="B78" s="115" t="str">
        <x:v>Lesen/Umgang mit Texten</x:v>
      </x:c>
      <x:c r="C78" s="148" t="n">
        <x:v>74</x:v>
      </x:c>
      <x:c r="D78" s="115" t="str">
        <x:v>Sachtexte und Schaubilder erschließen: Quellen und Materialien erschließen</x:v>
      </x:c>
      <x:c r="E78" s="115" t="str">
        <x:v>Kurze Materialien lesen oder ansehen; Hauptaussagen mit Leitfragen festhalten. Basisniveau mit klaren Teilschritten, Wortlisten, Satzstartern und häufigen Sicherungen.</x:v>
      </x:c>
      <x:c r="F78" s="115" t="str">
        <x:v>Unterschiedliche Materialien selbstständig erschließen; Aussage, Intention und Kontext bestimmen. Erweiterungsniveau mit selbstständigerer Erschließung, zusätzlichen Belegen und begründeten Urteilen.</x:v>
      </x:c>
      <x:c r="G78" s="115" t="str">
        <x:v>de_k5_st74_sachtexte_quellen</x:v>
      </x:c>
      <x:c r="H78" s="176" t="e">
        <x:f>HYPERLINK("schueler/de_k5_st74_sachtexte_quellen_app.html","Lernmodul öffnen")</x:f>
      </x:c>
      <x:c r="I78" s="177" t="e">
        <x:f>HYPERLINK("lehrer/de_k5_st74_sachtexte_quellen_orga.html","Vorbereitung öffnen")</x:f>
      </x:c>
    </x:row>
    <x:row r="79" ht="65" customHeight="1">
      <x:c r="A79" s="142" t="n">
        <x:v>5</x:v>
      </x:c>
      <x:c r="B79" s="115" t="str">
        <x:v>Lesen/Umgang mit Texten</x:v>
      </x:c>
      <x:c r="C79" s="148" t="n">
        <x:v>75</x:v>
      </x:c>
      <x:c r="D79" s="115" t="str">
        <x:v>Sachtexte und Schaubilder erschließen: Qualitätskriterien anwenden</x:v>
      </x:c>
      <x:c r="E79" s="115" t="str">
        <x:v>Überschrift, Schlüsselwörter, Quellenangabe in einer Checkliste anwenden und Auffälligkeiten markieren. Basisniveau mit klaren Teilschritten, Wortlisten, Satzstartern und häufigen Sicherungen.</x:v>
      </x:c>
      <x:c r="F79" s="115" t="str">
        <x:v>Überschrift, Schlüsselwörter, Quellenangabe gewichten, auf Grenzfälle anwenden und begründete Qualitätsurteile formulieren. Erweiterungsniveau mit selbstständigerer Erschließung, zusätzlichen Belegen und begründeten Urteilen.</x:v>
      </x:c>
      <x:c r="G79" s="115" t="str">
        <x:v>de_k5_st75_sachtexte_kriterien</x:v>
      </x:c>
      <x:c r="H79" s="176" t="e">
        <x:f>HYPERLINK("schueler/de_k5_st75_sachtexte_kriterien_app.html","Lernmodul öffnen")</x:f>
      </x:c>
      <x:c r="I79" s="177" t="e">
        <x:f>HYPERLINK("lehrer/de_k5_st75_sachtexte_kriterien_orga.html","Vorbereitung öffnen")</x:f>
      </x:c>
    </x:row>
    <x:row r="80" ht="65" customHeight="1">
      <x:c r="A80" s="142" t="n">
        <x:v>5</x:v>
      </x:c>
      <x:c r="B80" s="115" t="str">
        <x:v>Lesen/Umgang mit Texten</x:v>
      </x:c>
      <x:c r="C80" s="148" t="n">
        <x:v>76</x:v>
      </x:c>
      <x:c r="D80" s="115" t="str">
        <x:v>Sachtexte und Schaubilder erschließen: Darstellungen vergleichen</x:v>
      </x:c>
      <x:c r="E80" s="115" t="str">
        <x:v>Text, tabelle und diagramm nach vorgegebenen Merkmalen vergleichen. Basisniveau mit klaren Teilschritten, Wortlisten, Satzstartern und häufigen Sicherungen.</x:v>
      </x:c>
      <x:c r="F80" s="115" t="str">
        <x:v>Text, tabelle und diagramm hinsichtlich Informationsauswahl, Gestaltung, Wirkung und Interessen vergleichen. Erweiterungsniveau mit selbstständigerer Erschließung, zusätzlichen Belegen und begründeten Urteilen.</x:v>
      </x:c>
      <x:c r="G80" s="115" t="str">
        <x:v>de_k5_st76_sachtexte_vergleichen</x:v>
      </x:c>
      <x:c r="H80" s="176" t="e">
        <x:f>HYPERLINK("schueler/de_k5_st76_sachtexte_vergleichen_app.html","Lernmodul öffnen")</x:f>
      </x:c>
      <x:c r="I80" s="177" t="e">
        <x:f>HYPERLINK("lehrer/de_k5_st76_sachtexte_vergleichen_orga.html","Vorbereitung öffnen")</x:f>
      </x:c>
    </x:row>
    <x:row r="81" ht="65" customHeight="1">
      <x:c r="A81" s="142" t="n">
        <x:v>5</x:v>
      </x:c>
      <x:c r="B81" s="115" t="str">
        <x:v>Schreiben</x:v>
      </x:c>
      <x:c r="C81" s="148" t="n">
        <x:v>77</x:v>
      </x:c>
      <x:c r="D81" s="115" t="str">
        <x:v>Sachtexte und Schaubilder erschließen: Informationen prüfen und ordnen</x:v>
      </x:c>
      <x:c r="E81" s="115" t="str">
        <x:v>Informationen aus vorgegebenen Quellen auswählen; Fundstellen notieren und geordnet ablegen. Basisniveau mit klaren Teilschritten, Wortlisten, Satzstartern und häufigen Sicherungen.</x:v>
      </x:c>
      <x:c r="F81" s="115" t="str">
        <x:v>Recherchefrage entwickeln; Quellen prüfen, Informationen abgleichen und korrekt dokumentieren. Erweiterungsniveau mit selbstständigerer Erschließung, zusätzlichen Belegen und begründeten Urteilen.</x:v>
      </x:c>
      <x:c r="G81" s="115" t="str">
        <x:v>de_k5_st77_sachtexte_recherche</x:v>
      </x:c>
      <x:c r="H81" s="176" t="e">
        <x:f>HYPERLINK("schueler/de_k5_st77_sachtexte_recherche_app.html","Lernmodul öffnen")</x:f>
      </x:c>
      <x:c r="I81" s="177" t="e">
        <x:f>HYPERLINK("lehrer/de_k5_st77_sachtexte_recherche_orga.html","Vorbereitung öffnen")</x:f>
      </x:c>
    </x:row>
    <x:row r="82" ht="65" customHeight="1">
      <x:c r="A82" s="142" t="n">
        <x:v>5</x:v>
      </x:c>
      <x:c r="B82" s="115" t="str">
        <x:v>Schreiben</x:v>
      </x:c>
      <x:c r="C82" s="148" t="n">
        <x:v>78</x:v>
      </x:c>
      <x:c r="D82" s="115" t="str">
        <x:v>Sachtexte und Schaubilder erschließen: Produkt planen</x:v>
      </x:c>
      <x:c r="E82" s="115" t="str">
        <x:v>Für Informationsplakat einen vorgegebenen Arbeitsplan ergänzen; Aufgaben verteilen. Basisniveau mit klaren Teilschritten, Wortlisten, Satzstartern und häufigen Sicherungen.</x:v>
      </x:c>
      <x:c r="F82" s="115" t="str">
        <x:v>Für Informationsplakat Zielgruppe, Aufbau, Medienwahl, Zeitplan und Qualitätskontrolle selbstständig festlegen. Erweiterungsniveau mit selbstständigerer Erschließung, zusätzlichen Belegen und begründeten Urteilen.</x:v>
      </x:c>
      <x:c r="G82" s="115" t="str">
        <x:v>de_k5_st78_sachtexte_planen</x:v>
      </x:c>
      <x:c r="H82" s="176" t="e">
        <x:f>HYPERLINK("schueler/de_k5_st78_sachtexte_planen_app.html","Lernmodul öffnen")</x:f>
      </x:c>
      <x:c r="I82" s="177" t="e">
        <x:f>HYPERLINK("lehrer/de_k5_st78_sachtexte_planen_orga.html","Vorbereitung öffnen")</x:f>
      </x:c>
    </x:row>
    <x:row r="83" ht="65" customHeight="1">
      <x:c r="A83" s="142" t="n">
        <x:v>5</x:v>
      </x:c>
      <x:c r="B83" s="115" t="str">
        <x:v>Schreiben</x:v>
      </x:c>
      <x:c r="C83" s="148" t="n">
        <x:v>79</x:v>
      </x:c>
      <x:c r="D83" s="115" t="str">
        <x:v>Sachtexte und Schaubilder erschließen: Produkt erstellen</x:v>
      </x:c>
      <x:c r="E83" s="115" t="str">
        <x:v>Informationsplakat mit Vorlage und klaren Teilaufträgen erstellen. Basisniveau mit klaren Teilschritten, Wortlisten, Satzstartern und häufigen Sicherungen.</x:v>
      </x:c>
      <x:c r="F83" s="115" t="str">
        <x:v>Informationsplakat selbstständig, adressatengerecht und quellenbewusst erstellen. Erweiterungsniveau mit selbstständigerer Erschließung, zusätzlichen Belegen und begründeten Urteilen.</x:v>
      </x:c>
      <x:c r="G83" s="115" t="str">
        <x:v>de_k5_st79_sachtexte_erstellen</x:v>
      </x:c>
      <x:c r="H83" s="176" t="e">
        <x:f>HYPERLINK("schueler/de_k5_st79_sachtexte_erstellen_app.html","Lernmodul öffnen")</x:f>
      </x:c>
      <x:c r="I83" s="177" t="e">
        <x:f>HYPERLINK("lehrer/de_k5_st79_sachtexte_erstellen_orga.html","Vorbereitung öffnen")</x:f>
      </x:c>
    </x:row>
    <x:row r="84" ht="65" customHeight="1">
      <x:c r="A84" s="142" t="n">
        <x:v>5</x:v>
      </x:c>
      <x:c r="B84" s="115" t="str">
        <x:v>Sprechen und Zuhören</x:v>
      </x:c>
      <x:c r="C84" s="148" t="n">
        <x:v>80</x:v>
      </x:c>
      <x:c r="D84" s="115" t="str">
        <x:v>Sachtexte und Schaubilder erschließen: präsentieren und reflektieren</x:v>
      </x:c>
      <x:c r="E84" s="115" t="str">
        <x:v>Produkt kurz vorstellen; Rückmeldung anhand weniger Kriterien geben und annehmen. Basisniveau mit klaren Teilschritten, Wortlisten, Satzstartern und häufigen Sicherungen.</x:v>
      </x:c>
      <x:c r="F84" s="115" t="str">
        <x:v>Produkt überzeugend präsentieren; Arbeitsprozess, Quellenwahl und Wirkung kritisch reflektieren. Erweiterungsniveau mit selbstständigerer Erschließung, zusätzlichen Belegen und begründeten Urteilen.</x:v>
      </x:c>
      <x:c r="G84" s="115" t="str">
        <x:v>de_k5_st80_sachtexte_reflexion</x:v>
      </x:c>
      <x:c r="H84" s="176" t="e">
        <x:f>HYPERLINK("schueler/de_k5_st80_sachtexte_reflexion_app.html","Lernmodul öffnen")</x:f>
      </x:c>
      <x:c r="I84" s="177" t="e">
        <x:f>HYPERLINK("lehrer/de_k5_st80_sachtexte_reflexion_orga.html","Vorbereitung öffnen")</x:f>
      </x:c>
    </x:row>
    <x:row r="85" ht="65" customHeight="1">
      <x:c r="A85" s="142" t="n">
        <x:v>5</x:v>
      </x:c>
      <x:c r="B85" s="115" t="str">
        <x:v>Lesen/Umgang mit Texten</x:v>
      </x:c>
      <x:c r="C85" s="148" t="n">
        <x:v>81</x:v>
      </x:c>
      <x:c r="D85" s="115" t="str">
        <x:v>Briefe, E-Mails und Einladungen verfassen: Beispieltexte untersuchen</x:v>
      </x:c>
      <x:c r="E85" s="115" t="str">
        <x:v>Ein Beispiel für persönliche und sachliche Mitteilungen lesen; Aufbau und typische Formulierungen farbig kennzeichnen. Basisniveau mit klaren Teilschritten, Wortlisten, Satzstartern und häufigen Sicherungen.</x:v>
      </x:c>
      <x:c r="F85" s="115" t="str">
        <x:v>Mehrere Beispiele für persönliche und sachliche Mitteilungen vergleichen; Funktion, Adressat und Qualitätsunterschiede herausarbeiten. Erweiterungsniveau mit selbstständigerer Erschließung, zusätzlichen Belegen und begründeten Urteilen.</x:v>
      </x:c>
      <x:c r="G85" s="115" t="str">
        <x:v>de_k5_st81_briefe_beispiel</x:v>
      </x:c>
      <x:c r="H85" s="176" t="e">
        <x:f>HYPERLINK("schueler/de_k5_st81_briefe_beispiel_app.html","Lernmodul öffnen")</x:f>
      </x:c>
      <x:c r="I85" s="177" t="e">
        <x:f>HYPERLINK("lehrer/de_k5_st81_briefe_beispiel_orga.html","Vorbereitung öffnen")</x:f>
      </x:c>
    </x:row>
    <x:row r="86" ht="65" customHeight="1">
      <x:c r="A86" s="142" t="n">
        <x:v>5</x:v>
      </x:c>
      <x:c r="B86" s="115" t="str">
        <x:v>Schreiben</x:v>
      </x:c>
      <x:c r="C86" s="148" t="n">
        <x:v>82</x:v>
      </x:c>
      <x:c r="D86" s="115" t="str">
        <x:v>Briefe, E-Mails und Einladungen verfassen: Schreibziel und Kriterien klären</x:v>
      </x:c>
      <x:c r="E86" s="115" t="str">
        <x:v>Schreibziel „adressaten- und situationsgerecht informieren“ verstehen; eine kurze Kriterienliste auf ein Beispiel anwenden. Basisniveau mit klaren Teilschritten, Wortlisten, Satzstartern und häufigen Sicherungen.</x:v>
      </x:c>
      <x:c r="F86" s="115" t="str">
        <x:v>Schreibziel „adressaten- und situationsgerecht informieren“ präzisieren; Kriterien gewichten und auf unterschiedliche Schreibsituationen übertragen. Erweiterungsniveau mit selbstständigerer Erschließung, zusätzlichen Belegen und begründeten Urteilen.</x:v>
      </x:c>
      <x:c r="G86" s="115" t="str">
        <x:v>de_k5_st82_briefe_kriterien</x:v>
      </x:c>
      <x:c r="H86" s="176" t="e">
        <x:f>HYPERLINK("schueler/de_k5_st82_briefe_kriterien_app.html","Lernmodul öffnen")</x:f>
      </x:c>
      <x:c r="I86" s="177" t="e">
        <x:f>HYPERLINK("lehrer/de_k5_st82_briefe_kriterien_orga.html","Vorbereitung öffnen")</x:f>
      </x:c>
    </x:row>
    <x:row r="87" ht="65" customHeight="1">
      <x:c r="A87" s="142" t="n">
        <x:v>5</x:v>
      </x:c>
      <x:c r="B87" s="115" t="str">
        <x:v>Lesen/Umgang mit Texten</x:v>
      </x:c>
      <x:c r="C87" s="148" t="n">
        <x:v>83</x:v>
      </x:c>
      <x:c r="D87" s="115" t="str">
        <x:v>Briefe, E-Mails und Einladungen verfassen: Inhalte auswählen und ordnen</x:v>
      </x:c>
      <x:c r="E87" s="115" t="str">
        <x:v>Anlass, Empfänger, Aufbau mit Leitfragen sammeln und in einer vorgegebenen Reihenfolge ordnen. Basisniveau mit klaren Teilschritten, Wortlisten, Satzstartern und häufigen Sicherungen.</x:v>
      </x:c>
      <x:c r="F87" s="115" t="str">
        <x:v>Anlass, Empfänger, Aufbau selbstständig auswählen, gewichten und in einer passenden Gliederung strukturieren. Erweiterungsniveau mit selbstständigerer Erschließung, zusätzlichen Belegen und begründeten Urteilen.</x:v>
      </x:c>
      <x:c r="G87" s="115" t="str">
        <x:v>de_k5_st83_briefe_inhalte_ordnen</x:v>
      </x:c>
      <x:c r="H87" s="176" t="e">
        <x:f>HYPERLINK("schueler/de_k5_st83_briefe_inhalte_ordnen_app.html","Lernmodul öffnen")</x:f>
      </x:c>
      <x:c r="I87" s="177" t="e">
        <x:f>HYPERLINK("lehrer/de_k5_st83_briefe_inhalte_ordnen_orga.html","Vorbereitung öffnen")</x:f>
      </x:c>
    </x:row>
    <x:row r="88" ht="65" customHeight="1">
      <x:c r="A88" s="142" t="n">
        <x:v>5</x:v>
      </x:c>
      <x:c r="B88" s="115" t="str">
        <x:v>Sprache untersuchen</x:v>
      </x:c>
      <x:c r="C88" s="148" t="n">
        <x:v>84</x:v>
      </x:c>
      <x:c r="D88" s="115" t="str">
        <x:v>Briefe, E-Mails und Einladungen verfassen: passende sprachliche Mittel verwenden</x:v>
      </x:c>
      <x:c r="E88" s="115" t="str">
        <x:v>Anrede, Gruß, Höflichkeitsformen in Übungen erkennen und nach Satzmustern anwenden. Basisniveau mit klaren Teilschritten, Wortlisten, Satzstartern und häufigen Sicherungen.</x:v>
      </x:c>
      <x:c r="F88" s="115" t="str">
        <x:v>Anrede, Gruß, Höflichkeitsformen hinsichtlich Wirkung und Angemessenheit prüfen und gezielt variieren. Erweiterungsniveau mit selbstständigerer Erschließung, zusätzlichen Belegen und begründeten Urteilen.</x:v>
      </x:c>
      <x:c r="G88" s="115" t="str">
        <x:v>de_k5_st84_briefe_sprachmittel</x:v>
      </x:c>
      <x:c r="H88" s="176" t="e">
        <x:f>HYPERLINK("schueler/de_k5_st84_briefe_sprachmittel_app.html","Lernmodul öffnen")</x:f>
      </x:c>
      <x:c r="I88" s="177" t="e">
        <x:f>HYPERLINK("lehrer/de_k5_st84_briefe_sprachmittel_orga.html","Vorbereitung öffnen")</x:f>
      </x:c>
    </x:row>
    <x:row r="89" ht="65" customHeight="1">
      <x:c r="A89" s="142" t="n">
        <x:v>5</x:v>
      </x:c>
      <x:c r="B89" s="115" t="str">
        <x:v>Schreiben</x:v>
      </x:c>
      <x:c r="C89" s="148" t="n">
        <x:v>85</x:v>
      </x:c>
      <x:c r="D89" s="115" t="str">
        <x:v>Briefe, E-Mails und Einladungen verfassen: einen Schreibplan erstellen</x:v>
      </x:c>
      <x:c r="E89" s="115" t="str">
        <x:v>Einen vorstrukturierten Schreibplan ausfüllen; Einleitung, Hauptteil und Schluss festlegen. Basisniveau mit klaren Teilschritten, Wortlisten, Satzstartern und häufigen Sicherungen.</x:v>
      </x:c>
      <x:c r="F89" s="115" t="str">
        <x:v>Einen eigenen Schreibplan mit Teilzielen, Belegen und sprachlichen Mitteln entwickeln. Erweiterungsniveau mit selbstständigerer Erschließung, zusätzlichen Belegen und begründeten Urteilen.</x:v>
      </x:c>
      <x:c r="G89" s="115" t="str">
        <x:v>de_k5_st85_briefe_schreibplan</x:v>
      </x:c>
      <x:c r="H89" s="176" t="e">
        <x:f>HYPERLINK("schueler/de_k5_st85_briefe_schreibplan_app.html","Lernmodul öffnen")</x:f>
      </x:c>
      <x:c r="I89" s="177" t="e">
        <x:f>HYPERLINK("lehrer/de_k5_st85_briefe_schreibplan_orga.html","Vorbereitung öffnen")</x:f>
      </x:c>
    </x:row>
    <x:row r="90" ht="65" customHeight="1">
      <x:c r="A90" s="142" t="n">
        <x:v>5</x:v>
      </x:c>
      <x:c r="B90" s="115" t="str">
        <x:v>Schreiben</x:v>
      </x:c>
      <x:c r="C90" s="148" t="n">
        <x:v>86</x:v>
      </x:c>
      <x:c r="D90" s="115" t="str">
        <x:v>Briefe, E-Mails und Einladungen verfassen: einen ersten Textentwurf verfassen</x:v>
      </x:c>
      <x:c r="E90" s="115" t="str">
        <x:v>Brief, e-mail oder einladung mithilfe von Schreibrahmen, Satzanfängen und Wortbank verfassen. Basisniveau mit klaren Teilschritten, Wortlisten, Satzstartern und häufigen Sicherungen.</x:v>
      </x:c>
      <x:c r="F90" s="115" t="str">
        <x:v>Brief, e-mail oder einladung selbstständig, adressatenbezogen und sprachlich differenziert verfassen. Erweiterungsniveau mit selbstständigerer Erschließung, zusätzlichen Belegen und begründeten Urteilen.</x:v>
      </x:c>
      <x:c r="G90" s="115" t="str">
        <x:v>de_k5_st86_briefe_entwurf</x:v>
      </x:c>
      <x:c r="H90" s="176" t="e">
        <x:f>HYPERLINK("schueler/de_k5_st86_briefe_entwurf_app.html","Lernmodul öffnen")</x:f>
      </x:c>
      <x:c r="I90" s="177" t="e">
        <x:f>HYPERLINK("lehrer/de_k5_st86_briefe_entwurf_orga.html","Vorbereitung öffnen")</x:f>
      </x:c>
    </x:row>
    <x:row r="91" ht="65" customHeight="1">
      <x:c r="A91" s="142" t="n">
        <x:v>5</x:v>
      </x:c>
      <x:c r="B91" s="115" t="str">
        <x:v>Schreiben</x:v>
      </x:c>
      <x:c r="C91" s="148" t="n">
        <x:v>87</x:v>
      </x:c>
      <x:c r="D91" s="115" t="str">
        <x:v>Briefe, E-Mails und Einladungen verfassen: Text kriteriengeleitet überarbeiten</x:v>
      </x:c>
      <x:c r="E91" s="115" t="str">
        <x:v>Text mit einer kurzen Prüfliste überarbeiten; einen inhaltlichen und einen sprachlichen Fehler verbessern. Basisniveau mit klaren Teilschritten, Wortlisten, Satzstartern und häufigen Sicherungen.</x:v>
      </x:c>
      <x:c r="F91" s="115" t="str">
        <x:v>Text in mehreren Überarbeitungsschritten prüfen; Aufbau, Kohärenz, Stil und Normrichtigkeit gezielt optimieren. Erweiterungsniveau mit selbstständigerer Erschließung, zusätzlichen Belegen und begründeten Urteilen.</x:v>
      </x:c>
      <x:c r="G91" s="115" t="str">
        <x:v>de_k5_st87_briefe_ueberarbeiten</x:v>
      </x:c>
      <x:c r="H91" s="176" t="e">
        <x:f>HYPERLINK("schueler/de_k5_st87_briefe_ueberarbeiten_app.html","Lernmodul öffnen")</x:f>
      </x:c>
      <x:c r="I91" s="177" t="e">
        <x:f>HYPERLINK("lehrer/de_k5_st87_briefe_ueberarbeiten_orga.html","Vorbereitung öffnen")</x:f>
      </x:c>
    </x:row>
    <x:row r="92" ht="65" customHeight="1">
      <x:c r="A92" s="142" t="n">
        <x:v>5</x:v>
      </x:c>
      <x:c r="B92" s="115" t="str">
        <x:v>Sprechen und Zuhören</x:v>
      </x:c>
      <x:c r="C92" s="148" t="n">
        <x:v>88</x:v>
      </x:c>
      <x:c r="D92" s="115" t="str">
        <x:v>Briefe, E-Mails und Einladungen verfassen: Texte vorstellen und bewerten</x:v>
      </x:c>
      <x:c r="E92" s="115" t="str">
        <x:v>Ausgewählte Passage vorlesen oder erläutern; Rückmeldung mit einfachen Satzmustern geben. Basisniveau mit klaren Teilschritten, Wortlisten, Satzstartern und häufigen Sicherungen.</x:v>
      </x:c>
      <x:c r="F92" s="115" t="str">
        <x:v>Textwirkung und Schreibentscheidungen erläutern; differenziertes Peer-Feedback geben und begründet annehmen. Erweiterungsniveau mit selbstständigerer Erschließung, zusätzlichen Belegen und begründeten Urteilen.</x:v>
      </x:c>
      <x:c r="G92" s="115" t="str">
        <x:v>de_k5_st88_briefe_vorstellen</x:v>
      </x:c>
      <x:c r="H92" s="176" t="e">
        <x:f>HYPERLINK("schueler/de_k5_st88_briefe_vorstellen_app.html","Lernmodul öffnen")</x:f>
      </x:c>
      <x:c r="I92" s="177" t="e">
        <x:f>HYPERLINK("lehrer/de_k5_st88_briefe_vorstellen_orga.html","Vorbereitung öffnen")</x:f>
      </x:c>
    </x:row>
    <x:row r="93" ht="65" customHeight="1">
      <x:c r="A93" s="142" t="n">
        <x:v>5</x:v>
      </x:c>
      <x:c r="B93" s="115" t="str">
        <x:v>Sprechen und Zuhören</x:v>
      </x:c>
      <x:c r="C93" s="148" t="n">
        <x:v>89</x:v>
      </x:c>
      <x:c r="D93" s="115" t="str">
        <x:v>Lesen, Vortragen und Medien nutzen: Vorwissen und Positionen klären</x:v>
      </x:c>
      <x:c r="E93" s="115" t="str">
        <x:v>Eigene Erfahrungen zu Buchvorstellung und Vorlesewettbewerb benennen; zentrale Begriffe mit Beispielen klären. Basisniveau mit klaren Teilschritten, Wortlisten, Satzstartern und häufigen Sicherungen.</x:v>
      </x:c>
      <x:c r="F93" s="115" t="str">
        <x:v>Vorwissen zu Buchvorstellung und Vorlesewettbewerb strukturieren; erste Positionen formulieren und mögliche Konflikte benennen. Erweiterungsniveau mit selbstständigerer Erschließung, zusätzlichen Belegen und begründeten Urteilen.</x:v>
      </x:c>
      <x:c r="G93" s="115" t="str">
        <x:v>de_k5_st89_jahresprojekt_einstieg</x:v>
      </x:c>
      <x:c r="H93" s="176" t="e">
        <x:f>HYPERLINK("schueler/de_k5_st89_jahresprojekt_einstieg_app.html","Lernmodul öffnen")</x:f>
      </x:c>
      <x:c r="I93" s="177" t="e">
        <x:f>HYPERLINK("lehrer/de_k5_st89_jahresprojekt_einstieg_orga.html","Vorbereitung öffnen")</x:f>
      </x:c>
    </x:row>
    <x:row r="94" ht="65" customHeight="1">
      <x:c r="A94" s="142" t="n">
        <x:v>5</x:v>
      </x:c>
      <x:c r="B94" s="115" t="str">
        <x:v>Lesen/Umgang mit Texten</x:v>
      </x:c>
      <x:c r="C94" s="148" t="n">
        <x:v>90</x:v>
      </x:c>
      <x:c r="D94" s="115" t="str">
        <x:v>Lesen, Vortragen und Medien nutzen: Quellen und Materialien erschließen</x:v>
      </x:c>
      <x:c r="E94" s="115" t="str">
        <x:v>Kurze Materialien lesen oder ansehen; Hauptaussagen mit Leitfragen festhalten. Basisniveau mit klaren Teilschritten, Wortlisten, Satzstartern und häufigen Sicherungen.</x:v>
      </x:c>
      <x:c r="F94" s="115" t="str">
        <x:v>Unterschiedliche Materialien selbstständig erschließen; Aussage, Intention und Kontext bestimmen. Erweiterungsniveau mit selbstständigerer Erschließung, zusätzlichen Belegen und begründeten Urteilen.</x:v>
      </x:c>
      <x:c r="G94" s="115" t="str">
        <x:v>de_k5_st90_jahresprojekt_quellen</x:v>
      </x:c>
      <x:c r="H94" s="176" t="e">
        <x:f>HYPERLINK("schueler/de_k5_st90_jahresprojekt_quellen_app.html","Lernmodul öffnen")</x:f>
      </x:c>
      <x:c r="I94" s="177" t="e">
        <x:f>HYPERLINK("lehrer/de_k5_st90_jahresprojekt_quellen_orga.html","Vorbereitung öffnen")</x:f>
      </x:c>
    </x:row>
    <x:row r="95" ht="65" customHeight="1">
      <x:c r="A95" s="142" t="n">
        <x:v>5</x:v>
      </x:c>
      <x:c r="B95" s="115" t="str">
        <x:v>Lesen/Umgang mit Texten</x:v>
      </x:c>
      <x:c r="C95" s="148" t="n">
        <x:v>91</x:v>
      </x:c>
      <x:c r="D95" s="115" t="str">
        <x:v>Lesen, Vortragen und Medien nutzen: Qualitätskriterien anwenden</x:v>
      </x:c>
      <x:c r="E95" s="115" t="str">
        <x:v>Auswahl, Verständlichkeit, Quellen und Urheberangaben in einer Checkliste anwenden und Auffälligkeiten markieren. Basisniveau mit klaren Teilschritten, Wortlisten, Satzstartern und häufigen Sicherungen.</x:v>
      </x:c>
      <x:c r="F95" s="115" t="str">
        <x:v>Auswahl, Verständlichkeit, Quellen und Urheberangaben gewichten, auf Grenzfälle anwenden und begründete Qualitätsurteile formulieren. Erweiterungsniveau mit selbstständigerer Erschließung, zusätzlichen Belegen und begründeten Urteilen.</x:v>
      </x:c>
      <x:c r="G95" s="115" t="str">
        <x:v>de_k5_st91_jahresprojekt_kriterien</x:v>
      </x:c>
      <x:c r="H95" s="176" t="e">
        <x:f>HYPERLINK("schueler/de_k5_st91_jahresprojekt_kriterien_app.html","Lernmodul öffnen")</x:f>
      </x:c>
      <x:c r="I95" s="177" t="e">
        <x:f>HYPERLINK("lehrer/de_k5_st91_jahresprojekt_kriterien_orga.html","Vorbereitung öffnen")</x:f>
      </x:c>
    </x:row>
    <x:row r="96" ht="65" customHeight="1">
      <x:c r="A96" s="142" t="n">
        <x:v>5</x:v>
      </x:c>
      <x:c r="B96" s="115" t="str">
        <x:v>Lesen/Umgang mit Texten</x:v>
      </x:c>
      <x:c r="C96" s="148" t="n">
        <x:v>92</x:v>
      </x:c>
      <x:c r="D96" s="115" t="str">
        <x:v>Lesen, Vortragen und Medien nutzen: Darstellungen vergleichen</x:v>
      </x:c>
      <x:c r="E96" s="115" t="str">
        <x:v>Buch, hörbuch und verfilmung nach vorgegebenen Merkmalen vergleichen. Basisniveau mit klaren Teilschritten, Wortlisten, Satzstartern und häufigen Sicherungen.</x:v>
      </x:c>
      <x:c r="F96" s="115" t="str">
        <x:v>Buch, hörbuch und verfilmung hinsichtlich Informationsauswahl, Gestaltung, Wirkung und Interessen vergleichen. Erweiterungsniveau mit selbstständigerer Erschließung, zusätzlichen Belegen und begründeten Urteilen.</x:v>
      </x:c>
      <x:c r="G96" s="115" t="str">
        <x:v>de_k5_st92_jahresprojekt_vergleichen</x:v>
      </x:c>
      <x:c r="H96" s="176" t="e">
        <x:f>HYPERLINK("schueler/de_k5_st92_jahresprojekt_vergleichen_app.html","Lernmodul öffnen")</x:f>
      </x:c>
      <x:c r="I96" s="177" t="e">
        <x:f>HYPERLINK("lehrer/de_k5_st92_jahresprojekt_vergleichen_orga.html","Vorbereitung öffnen")</x:f>
      </x:c>
    </x:row>
    <x:row r="97" ht="65" customHeight="1">
      <x:c r="A97" s="142" t="n">
        <x:v>5</x:v>
      </x:c>
      <x:c r="B97" s="115" t="str">
        <x:v>Schreiben</x:v>
      </x:c>
      <x:c r="C97" s="148" t="n">
        <x:v>93</x:v>
      </x:c>
      <x:c r="D97" s="115" t="str">
        <x:v>Lesen, Vortragen und Medien nutzen: Informationen prüfen und ordnen</x:v>
      </x:c>
      <x:c r="E97" s="115" t="str">
        <x:v>Informationen aus vorgegebenen Quellen auswählen; Fundstellen notieren und geordnet ablegen. Basisniveau mit klaren Teilschritten, Wortlisten, Satzstartern und häufigen Sicherungen.</x:v>
      </x:c>
      <x:c r="F97" s="115" t="str">
        <x:v>Recherchefrage entwickeln; Quellen prüfen, Informationen abgleichen und korrekt dokumentieren. Erweiterungsniveau mit selbstständigerer Erschließung, zusätzlichen Belegen und begründeten Urteilen.</x:v>
      </x:c>
      <x:c r="G97" s="115" t="str">
        <x:v>de_k5_st93_jahresprojekt_recherche</x:v>
      </x:c>
      <x:c r="H97" s="176" t="e">
        <x:f>HYPERLINK("schueler/de_k5_st93_jahresprojekt_recherche_app.html","Lernmodul öffnen")</x:f>
      </x:c>
      <x:c r="I97" s="177" t="e">
        <x:f>HYPERLINK("lehrer/de_k5_st93_jahresprojekt_recherche_orga.html","Vorbereitung öffnen")</x:f>
      </x:c>
    </x:row>
    <x:row r="98" ht="65" customHeight="1">
      <x:c r="A98" s="142" t="n">
        <x:v>5</x:v>
      </x:c>
      <x:c r="B98" s="115" t="str">
        <x:v>Schreiben</x:v>
      </x:c>
      <x:c r="C98" s="148" t="n">
        <x:v>94</x:v>
      </x:c>
      <x:c r="D98" s="115" t="str">
        <x:v>Lesen, Vortragen und Medien nutzen: Produkt planen</x:v>
      </x:c>
      <x:c r="E98" s="115" t="str">
        <x:v>Für Buchpräsentation einen vorgegebenen Arbeitsplan ergänzen; Aufgaben verteilen. Basisniveau mit klaren Teilschritten, Wortlisten, Satzstartern und häufigen Sicherungen.</x:v>
      </x:c>
      <x:c r="F98" s="115" t="str">
        <x:v>Für Buchpräsentation Zielgruppe, Aufbau, Medienwahl, Zeitplan und Qualitätskontrolle selbstständig festlegen. Erweiterungsniveau mit selbstständigerer Erschließung, zusätzlichen Belegen und begründeten Urteilen.</x:v>
      </x:c>
      <x:c r="G98" s="115" t="str">
        <x:v>de_k5_st94_jahresprojekt_planen</x:v>
      </x:c>
      <x:c r="H98" s="176" t="e">
        <x:f>HYPERLINK("schueler/de_k5_st94_jahresprojekt_planen_app.html","Lernmodul öffnen")</x:f>
      </x:c>
      <x:c r="I98" s="177" t="e">
        <x:f>HYPERLINK("lehrer/de_k5_st94_jahresprojekt_planen_orga.html","Vorbereitung öffnen")</x:f>
      </x:c>
    </x:row>
    <x:row r="99" ht="65" customHeight="1">
      <x:c r="A99" s="142" t="n">
        <x:v>5</x:v>
      </x:c>
      <x:c r="B99" s="115" t="str">
        <x:v>Schreiben</x:v>
      </x:c>
      <x:c r="C99" s="148" t="n">
        <x:v>95</x:v>
      </x:c>
      <x:c r="D99" s="115" t="str">
        <x:v>Lesen, Vortragen und Medien nutzen: Produkt erstellen</x:v>
      </x:c>
      <x:c r="E99" s="115" t="str">
        <x:v>Buchpräsentation mit Vorlage und klaren Teilaufträgen erstellen. Basisniveau mit klaren Teilschritten, Wortlisten, Satzstartern und häufigen Sicherungen.</x:v>
      </x:c>
      <x:c r="F99" s="115" t="str">
        <x:v>Buchpräsentation selbstständig, adressatengerecht und quellenbewusst erstellen. Erweiterungsniveau mit selbstständigerer Erschließung, zusätzlichen Belegen und begründeten Urteilen.</x:v>
      </x:c>
      <x:c r="G99" s="115" t="str">
        <x:v>de_k5_st95_jahresprojekt_erstellen</x:v>
      </x:c>
      <x:c r="H99" s="176" t="e">
        <x:f>HYPERLINK("schueler/de_k5_st95_jahresprojekt_erstellen_app.html","Lernmodul öffnen")</x:f>
      </x:c>
      <x:c r="I99" s="177" t="e">
        <x:f>HYPERLINK("lehrer/de_k5_st95_jahresprojekt_erstellen_orga.html","Vorbereitung öffnen")</x:f>
      </x:c>
    </x:row>
    <x:row r="100" ht="65" customHeight="1">
      <x:c r="A100" s="143" t="n">
        <x:v>5</x:v>
      </x:c>
      <x:c r="B100" s="118" t="str">
        <x:v>Sprechen und Zuhören</x:v>
      </x:c>
      <x:c r="C100" s="149" t="n">
        <x:v>96</x:v>
      </x:c>
      <x:c r="D100" s="118" t="str">
        <x:v>Lesen, Vortragen und Medien nutzen: präsentieren und reflektieren</x:v>
      </x:c>
      <x:c r="E100" s="118" t="str">
        <x:v>Produkt kurz vorstellen; Rückmeldung anhand weniger Kriterien geben und annehmen. Basisniveau mit klaren Teilschritten, Wortlisten, Satzstartern und häufigen Sicherungen.</x:v>
      </x:c>
      <x:c r="F100" s="118" t="str">
        <x:v>Produkt überzeugend präsentieren; Arbeitsprozess, Quellenwahl und Wirkung kritisch reflektieren. Erweiterungsniveau mit selbstständigerer Erschließung, zusätzlichen Belegen und begründeten Urteilen.</x:v>
      </x:c>
      <x:c r="G100" s="118" t="str">
        <x:v>de_k5_st96_jahresprojekt_reflexion</x:v>
      </x:c>
      <x:c r="H100" s="178" t="e">
        <x:f>HYPERLINK("schueler/de_k5_st96_jahresprojekt_reflexion_app.html","Lernmodul öffnen")</x:f>
      </x:c>
      <x:c r="I100" s="179" t="e">
        <x:f>HYPERLINK("lehrer/de_k5_st96_jahresprojekt_reflexion_orga.html","Vorbereitung öffnen")</x:f>
      </x:c>
    </x:row>
  </x:sheetData>
  <x:mergeCells>
    <x:mergeCell ref="A1:I1"/>
    <x:mergeCell ref="A2:I2"/>
  </x:mergeCells>
  <x:conditionalFormatting sqref="B5:B100">
    <x:cfRule type="expression" dxfId="4" priority="1">
      <x:formula>B5="Sprechen und Zuhören"</x:formula>
    </x:cfRule>
    <x:cfRule type="expression" dxfId="5" priority="2">
      <x:formula>B5="Schreiben"</x:formula>
    </x:cfRule>
    <x:cfRule type="expression" dxfId="6" priority="3">
      <x:formula>B5="Lesen/Umgang mit Texten"</x:formula>
    </x:cfRule>
    <x:cfRule type="expression" dxfId="7" priority="4">
      <x:formula>B5="Sprache untersuchen"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e9e8bfda8044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0" hidden="0" customWidth="1"/>
    <x:col min="4" max="4" width="42" hidden="0" customWidth="1"/>
    <x:col min="5" max="5" width="47" hidden="0" customWidth="1"/>
    <x:col min="6" max="6" width="47" hidden="0" customWidth="1"/>
    <x:col min="7" max="7" width="42" hidden="0" customWidth="1"/>
    <x:col min="8" max="8" width="22" hidden="0" customWidth="1"/>
    <x:col min="9" max="9" width="24" hidden="0" customWidth="1"/>
  </x:cols>
  <x:sheetData>
    <x:row r="1" ht="34" customHeight="1">
      <x:c r="A1" s="131" t="str">
        <x:v>Deutsch Klasse 6 – Schüler-Module und Lehrer-Vorbereitungen</x:v>
      </x:c>
      <x:c r="B1" s="131"/>
      <x:c r="C1" s="131"/>
      <x:c r="D1" s="131"/>
      <x:c r="E1" s="131"/>
      <x:c r="F1" s="131"/>
      <x:c r="G1" s="131"/>
      <x:c r="H1" s="131"/>
      <x:c r="I1" s="131"/>
    </x:row>
    <x:row r="2" ht="42" customHeight="1">
      <x:c r="A2" s="13" t="str">
        <x:v>Jede Unterrichtsstunde ist mit einem Schüler-Lernmodul und einer Lehrer-Vorbereitung verknüpft. Die Links funktionieren, wenn die Excel-Datei neben den Ordnern „schueler“ und „lehrer“ liegt.</x:v>
      </x:c>
      <x:c r="B2" s="13"/>
      <x:c r="C2" s="13"/>
      <x:c r="D2" s="13"/>
      <x:c r="E2" s="13"/>
      <x:c r="F2" s="13"/>
      <x:c r="G2" s="13"/>
      <x:c r="H2" s="13"/>
      <x:c r="I2" s="13"/>
    </x:row>
    <x:row r="4" ht="42" customHeight="1">
      <x:c r="A4" s="135" t="str">
        <x:v>Klasse</x:v>
      </x:c>
      <x:c r="B4" s="136" t="str">
        <x:v>Lernbereich</x:v>
      </x:c>
      <x:c r="C4" s="136" t="str">
        <x:v>Stunde</x:v>
      </x:c>
      <x:c r="D4" s="136" t="str">
        <x:v>Thema der Unterrichtsstunde</x:v>
      </x:c>
      <x:c r="E4" s="136" t="str">
        <x:v>Inhalt HSA</x:v>
      </x:c>
      <x:c r="F4" s="136" t="str">
        <x:v>Inhalt RSA</x:v>
      </x:c>
      <x:c r="G4" s="136" t="str">
        <x:v>Modul-ID</x:v>
      </x:c>
      <x:c r="H4" s="136" t="str">
        <x:v>Schüler-Modul</x:v>
      </x:c>
      <x:c r="I4" s="137" t="str">
        <x:v>Lehrer-Vorbereitung</x:v>
      </x:c>
    </x:row>
    <x:row r="5" ht="65" customHeight="1">
      <x:c r="A5" s="141" t="n">
        <x:v>6</x:v>
      </x:c>
      <x:c r="B5" s="112" t="str">
        <x:v>Sprechen und Zuhören</x:v>
      </x:c>
      <x:c r="C5" s="147" t="n">
        <x:v>1</x:v>
      </x:c>
      <x:c r="D5" s="112" t="str">
        <x:v>Lesestrategien und Lernorganisation: Vorwissen und Positionen klären</x:v>
      </x:c>
      <x:c r="E5" s="112" t="str">
        <x:v>Eigene Erfahrungen zu selbstständiges Lesen und Lernen benennen; zentrale Begriffe mit Beispielen klären. Basisniveau mit klaren Teilschritten, Wortlisten, Satzstartern und häufigen Sicherungen.</x:v>
      </x:c>
      <x:c r="F5" s="112" t="str">
        <x:v>Vorwissen zu selbstständiges Lesen und Lernen strukturieren; erste Positionen formulieren und mögliche Konflikte benennen. Erweiterungsniveau mit selbstständigerer Erschließung, zusätzlichen Belegen und begründeten Urteilen.</x:v>
      </x:c>
      <x:c r="G5" s="112" t="str">
        <x:v>de_k6_st01_lesestrategien_einstieg</x:v>
      </x:c>
      <x:c r="H5" s="174" t="e">
        <x:f>HYPERLINK("schueler/de_k6_st01_lesestrategien_einstieg_app.html","Lernmodul öffnen")</x:f>
      </x:c>
      <x:c r="I5" s="175" t="e">
        <x:f>HYPERLINK("lehrer/de_k6_st01_lesestrategien_einstieg_orga.html","Vorbereitung öffnen")</x:f>
      </x:c>
    </x:row>
    <x:row r="6" ht="65" customHeight="1">
      <x:c r="A6" s="142" t="n">
        <x:v>6</x:v>
      </x:c>
      <x:c r="B6" s="115" t="str">
        <x:v>Lesen/Umgang mit Texten</x:v>
      </x:c>
      <x:c r="C6" s="148" t="n">
        <x:v>2</x:v>
      </x:c>
      <x:c r="D6" s="115" t="str">
        <x:v>Lesestrategien und Lernorganisation: Quellen und Materialien erschließen</x:v>
      </x:c>
      <x:c r="E6" s="115" t="str">
        <x:v>Kurze Materialien lesen oder ansehen; Hauptaussagen mit Leitfragen festhalten. Basisniveau mit klaren Teilschritten, Wortlisten, Satzstartern und häufigen Sicherungen.</x:v>
      </x:c>
      <x:c r="F6" s="115" t="str">
        <x:v>Unterschiedliche Materialien selbstständig erschließen; Aussage, Intention und Kontext bestimmen. Erweiterungsniveau mit selbstständigerer Erschließung, zusätzlichen Belegen und begründeten Urteilen.</x:v>
      </x:c>
      <x:c r="G6" s="115" t="str">
        <x:v>de_k6_st02_lesestrategien_quellen</x:v>
      </x:c>
      <x:c r="H6" s="176" t="e">
        <x:f>HYPERLINK("schueler/de_k6_st02_lesestrategien_quellen_app.html","Lernmodul öffnen")</x:f>
      </x:c>
      <x:c r="I6" s="177" t="e">
        <x:f>HYPERLINK("lehrer/de_k6_st02_lesestrategien_quellen_orga.html","Vorbereitung öffnen")</x:f>
      </x:c>
    </x:row>
    <x:row r="7" ht="65" customHeight="1">
      <x:c r="A7" s="142" t="n">
        <x:v>6</x:v>
      </x:c>
      <x:c r="B7" s="115" t="str">
        <x:v>Lesen/Umgang mit Texten</x:v>
      </x:c>
      <x:c r="C7" s="148" t="n">
        <x:v>3</x:v>
      </x:c>
      <x:c r="D7" s="115" t="str">
        <x:v>Lesestrategien und Lernorganisation: Qualitätskriterien anwenden</x:v>
      </x:c>
      <x:c r="E7" s="115" t="str">
        <x:v>Leseziel, Markieren, Randnotizen, Zwischenüberschriften in einer Checkliste anwenden und Auffälligkeiten markieren. Basisniveau mit klaren Teilschritten, Wortlisten, Satzstartern und häufigen Sicherungen.</x:v>
      </x:c>
      <x:c r="F7" s="115" t="str">
        <x:v>Leseziel, Markieren, Randnotizen, Zwischenüberschriften gewichten, auf Grenzfälle anwenden und begründete Qualitätsurteile formulieren. Erweiterungsniveau mit selbstständigerer Erschließung, zusätzlichen Belegen und begründeten Urteilen.</x:v>
      </x:c>
      <x:c r="G7" s="115" t="str">
        <x:v>de_k6_st03_lesestrategien_kriterien</x:v>
      </x:c>
      <x:c r="H7" s="176" t="e">
        <x:f>HYPERLINK("schueler/de_k6_st03_lesestrategien_kriterien_app.html","Lernmodul öffnen")</x:f>
      </x:c>
      <x:c r="I7" s="177" t="e">
        <x:f>HYPERLINK("lehrer/de_k6_st03_lesestrategien_kriterien_orga.html","Vorbereitung öffnen")</x:f>
      </x:c>
    </x:row>
    <x:row r="8" ht="65" customHeight="1">
      <x:c r="A8" s="142" t="n">
        <x:v>6</x:v>
      </x:c>
      <x:c r="B8" s="115" t="str">
        <x:v>Lesen/Umgang mit Texten</x:v>
      </x:c>
      <x:c r="C8" s="148" t="n">
        <x:v>4</x:v>
      </x:c>
      <x:c r="D8" s="115" t="str">
        <x:v>Lesestrategien und Lernorganisation: Darstellungen vergleichen</x:v>
      </x:c>
      <x:c r="E8" s="115" t="str">
        <x:v>Verschiedene lesetechniken nach vorgegebenen Merkmalen vergleichen. Basisniveau mit klaren Teilschritten, Wortlisten, Satzstartern und häufigen Sicherungen.</x:v>
      </x:c>
      <x:c r="F8" s="115" t="str">
        <x:v>Verschiedene lesetechniken hinsichtlich Informationsauswahl, Gestaltung, Wirkung und Interessen vergleichen. Erweiterungsniveau mit selbstständigerer Erschließung, zusätzlichen Belegen und begründeten Urteilen.</x:v>
      </x:c>
      <x:c r="G8" s="115" t="str">
        <x:v>de_k6_st04_lesestrategien_vergleichen</x:v>
      </x:c>
      <x:c r="H8" s="176" t="e">
        <x:f>HYPERLINK("schueler/de_k6_st04_lesestrategien_vergleichen_app.html","Lernmodul öffnen")</x:f>
      </x:c>
      <x:c r="I8" s="177" t="e">
        <x:f>HYPERLINK("lehrer/de_k6_st04_lesestrategien_vergleichen_orga.html","Vorbereitung öffnen")</x:f>
      </x:c>
    </x:row>
    <x:row r="9" ht="65" customHeight="1">
      <x:c r="A9" s="142" t="n">
        <x:v>6</x:v>
      </x:c>
      <x:c r="B9" s="115" t="str">
        <x:v>Schreiben</x:v>
      </x:c>
      <x:c r="C9" s="148" t="n">
        <x:v>5</x:v>
      </x:c>
      <x:c r="D9" s="115" t="str">
        <x:v>Lesestrategien und Lernorganisation: Informationen prüfen und ordnen</x:v>
      </x:c>
      <x:c r="E9" s="115" t="str">
        <x:v>Informationen aus vorgegebenen Quellen auswählen; Fundstellen notieren und geordnet ablegen. Basisniveau mit klaren Teilschritten, Wortlisten, Satzstartern und häufigen Sicherungen.</x:v>
      </x:c>
      <x:c r="F9" s="115" t="str">
        <x:v>Recherchefrage entwickeln; Quellen prüfen, Informationen abgleichen und korrekt dokumentieren. Erweiterungsniveau mit selbstständigerer Erschließung, zusätzlichen Belegen und begründeten Urteilen.</x:v>
      </x:c>
      <x:c r="G9" s="115" t="str">
        <x:v>de_k6_st05_lesestrategien_recherche</x:v>
      </x:c>
      <x:c r="H9" s="176" t="e">
        <x:f>HYPERLINK("schueler/de_k6_st05_lesestrategien_recherche_app.html","Lernmodul öffnen")</x:f>
      </x:c>
      <x:c r="I9" s="177" t="e">
        <x:f>HYPERLINK("lehrer/de_k6_st05_lesestrategien_recherche_orga.html","Vorbereitung öffnen")</x:f>
      </x:c>
    </x:row>
    <x:row r="10" ht="65" customHeight="1">
      <x:c r="A10" s="142" t="n">
        <x:v>6</x:v>
      </x:c>
      <x:c r="B10" s="115" t="str">
        <x:v>Schreiben</x:v>
      </x:c>
      <x:c r="C10" s="148" t="n">
        <x:v>6</x:v>
      </x:c>
      <x:c r="D10" s="115" t="str">
        <x:v>Lesestrategien und Lernorganisation: Produkt planen</x:v>
      </x:c>
      <x:c r="E10" s="115" t="str">
        <x:v>Für Methodenportfolio einen vorgegebenen Arbeitsplan ergänzen; Aufgaben verteilen. Basisniveau mit klaren Teilschritten, Wortlisten, Satzstartern und häufigen Sicherungen.</x:v>
      </x:c>
      <x:c r="F10" s="115" t="str">
        <x:v>Für Methodenportfolio Zielgruppe, Aufbau, Medienwahl, Zeitplan und Qualitätskontrolle selbstständig festlegen. Erweiterungsniveau mit selbstständigerer Erschließung, zusätzlichen Belegen und begründeten Urteilen.</x:v>
      </x:c>
      <x:c r="G10" s="115" t="str">
        <x:v>de_k6_st06_lesestrategien_planen</x:v>
      </x:c>
      <x:c r="H10" s="176" t="e">
        <x:f>HYPERLINK("schueler/de_k6_st06_lesestrategien_planen_app.html","Lernmodul öffnen")</x:f>
      </x:c>
      <x:c r="I10" s="177" t="e">
        <x:f>HYPERLINK("lehrer/de_k6_st06_lesestrategien_planen_orga.html","Vorbereitung öffnen")</x:f>
      </x:c>
    </x:row>
    <x:row r="11" ht="65" customHeight="1">
      <x:c r="A11" s="142" t="n">
        <x:v>6</x:v>
      </x:c>
      <x:c r="B11" s="115" t="str">
        <x:v>Schreiben</x:v>
      </x:c>
      <x:c r="C11" s="148" t="n">
        <x:v>7</x:v>
      </x:c>
      <x:c r="D11" s="115" t="str">
        <x:v>Lesestrategien und Lernorganisation: Produkt erstellen</x:v>
      </x:c>
      <x:c r="E11" s="115" t="str">
        <x:v>Methodenportfolio mit Vorlage und klaren Teilaufträgen erstellen. Basisniveau mit klaren Teilschritten, Wortlisten, Satzstartern und häufigen Sicherungen.</x:v>
      </x:c>
      <x:c r="F11" s="115" t="str">
        <x:v>Methodenportfolio selbstständig, adressatengerecht und quellenbewusst erstellen. Erweiterungsniveau mit selbstständigerer Erschließung, zusätzlichen Belegen und begründeten Urteilen.</x:v>
      </x:c>
      <x:c r="G11" s="115" t="str">
        <x:v>de_k6_st07_lesestrategien_erstellen</x:v>
      </x:c>
      <x:c r="H11" s="176" t="e">
        <x:f>HYPERLINK("schueler/de_k6_st07_lesestrategien_erstellen_app.html","Lernmodul öffnen")</x:f>
      </x:c>
      <x:c r="I11" s="177" t="e">
        <x:f>HYPERLINK("lehrer/de_k6_st07_lesestrategien_erstellen_orga.html","Vorbereitung öffnen")</x:f>
      </x:c>
    </x:row>
    <x:row r="12" ht="65" customHeight="1">
      <x:c r="A12" s="142" t="n">
        <x:v>6</x:v>
      </x:c>
      <x:c r="B12" s="115" t="str">
        <x:v>Sprechen und Zuhören</x:v>
      </x:c>
      <x:c r="C12" s="148" t="n">
        <x:v>8</x:v>
      </x:c>
      <x:c r="D12" s="115" t="str">
        <x:v>Lesestrategien und Lernorganisation: präsentieren und reflektieren</x:v>
      </x:c>
      <x:c r="E12" s="115" t="str">
        <x:v>Produkt kurz vorstellen; Rückmeldung anhand weniger Kriterien geben und annehmen. Basisniveau mit klaren Teilschritten, Wortlisten, Satzstartern und häufigen Sicherungen.</x:v>
      </x:c>
      <x:c r="F12" s="115" t="str">
        <x:v>Produkt überzeugend präsentieren; Arbeitsprozess, Quellenwahl und Wirkung kritisch reflektieren. Erweiterungsniveau mit selbstständigerer Erschließung, zusätzlichen Belegen und begründeten Urteilen.</x:v>
      </x:c>
      <x:c r="G12" s="115" t="str">
        <x:v>de_k6_st08_lesestrategien_reflexion</x:v>
      </x:c>
      <x:c r="H12" s="176" t="e">
        <x:f>HYPERLINK("schueler/de_k6_st08_lesestrategien_reflexion_app.html","Lernmodul öffnen")</x:f>
      </x:c>
      <x:c r="I12" s="177" t="e">
        <x:f>HYPERLINK("lehrer/de_k6_st08_lesestrategien_reflexion_orga.html","Vorbereitung öffnen")</x:f>
      </x:c>
    </x:row>
    <x:row r="13" ht="65" customHeight="1">
      <x:c r="A13" s="142" t="n">
        <x:v>6</x:v>
      </x:c>
      <x:c r="B13" s="115" t="str">
        <x:v>Sprechen und Zuhören</x:v>
      </x:c>
      <x:c r="C13" s="148" t="n">
        <x:v>9</x:v>
      </x:c>
      <x:c r="D13" s="115" t="str">
        <x:v>Fabeln verstehen und schreiben: Hör- oder Leseeinstieg gestalten</x:v>
      </x:c>
      <x:c r="E13" s="115" t="str">
        <x:v>Einstieg über Bild, Hörtext oder kurzen Auszug; Vorwissen zu klassische und moderne Fabeln sammeln und zentrale Wörter klären. Basisniveau mit klaren Teilschritten, Wortlisten, Satzstartern und häufigen Sicherungen.</x:v>
      </x:c>
      <x:c r="F13" s="115" t="str">
        <x:v>Aus Titel, Kontext und Gestaltung Erwartungen an klassische und moderne Fabeln ableiten; erste Hypothesen formulieren und begründen. Erweiterungsniveau mit selbstständigerer Erschließung, zusätzlichen Belegen und begründeten Urteilen.</x:v>
      </x:c>
      <x:c r="G13" s="115" t="str">
        <x:v>de_k6_st09_fabeln_einstieg</x:v>
      </x:c>
      <x:c r="H13" s="176" t="e">
        <x:f>HYPERLINK("schueler/de_k6_st09_fabeln_einstieg_app.html","Lernmodul öffnen")</x:f>
      </x:c>
      <x:c r="I13" s="177" t="e">
        <x:f>HYPERLINK("lehrer/de_k6_st09_fabeln_einstieg_orga.html","Vorbereitung öffnen")</x:f>
      </x:c>
    </x:row>
    <x:row r="14" ht="65" customHeight="1">
      <x:c r="A14" s="142" t="n">
        <x:v>6</x:v>
      </x:c>
      <x:c r="B14" s="115" t="str">
        <x:v>Lesen/Umgang mit Texten</x:v>
      </x:c>
      <x:c r="C14" s="148" t="n">
        <x:v>10</x:v>
      </x:c>
      <x:c r="D14" s="115" t="str">
        <x:v>Fabeln verstehen und schreiben: den Text mit Lesestrategien erschließen</x:v>
      </x:c>
      <x:c r="E14" s="115" t="str">
        <x:v>Text abschnittsweise lesen; Schlüsselwörter markieren und den Inhalt mit Leitfragen sichern. Basisniveau mit klaren Teilschritten, Wortlisten, Satzstartern und häufigen Sicherungen.</x:v>
      </x:c>
      <x:c r="F14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14" s="115" t="str">
        <x:v>de_k6_st10_fabeln_erschliessen</x:v>
      </x:c>
      <x:c r="H14" s="176" t="e">
        <x:f>HYPERLINK("schueler/de_k6_st10_fabeln_erschliessen_app.html","Lernmodul öffnen")</x:f>
      </x:c>
      <x:c r="I14" s="177" t="e">
        <x:f>HYPERLINK("lehrer/de_k6_st10_fabeln_erschliessen_orga.html","Vorbereitung öffnen")</x:f>
      </x:c>
    </x:row>
    <x:row r="15" ht="65" customHeight="1">
      <x:c r="A15" s="142" t="n">
        <x:v>6</x:v>
      </x:c>
      <x:c r="B15" s="115" t="str">
        <x:v>Lesen/Umgang mit Texten</x:v>
      </x:c>
      <x:c r="C15" s="148" t="n">
        <x:v>11</x:v>
      </x:c>
      <x:c r="D15" s="115" t="str">
        <x:v>Fabeln verstehen und schreiben: Gattungsmerkmale erkennen</x:v>
      </x:c>
      <x:c r="E15" s="115" t="str">
        <x:v>Merkmale wie Tierfiguren, Konflikt, Lehre, knapper Aufbau mithilfe einer Checkliste zuordnen und an Textstellen zeigen. Basisniveau mit klaren Teilschritten, Wortlisten, Satzstartern und häufigen Sicherungen.</x:v>
      </x:c>
      <x:c r="F15" s="115" t="str">
        <x:v>Merkmale wie Tierfiguren, Konflikt, Lehre, knapper Aufbau textnah belegen und ihre Funktion für Aufbau und Wirkung erklären. Erweiterungsniveau mit selbstständigerer Erschließung, zusätzlichen Belegen und begründeten Urteilen.</x:v>
      </x:c>
      <x:c r="G15" s="115" t="str">
        <x:v>de_k6_st11_fabeln_merkmale</x:v>
      </x:c>
      <x:c r="H15" s="176" t="e">
        <x:f>HYPERLINK("schueler/de_k6_st11_fabeln_merkmale_app.html","Lernmodul öffnen")</x:f>
      </x:c>
      <x:c r="I15" s="177" t="e">
        <x:f>HYPERLINK("lehrer/de_k6_st11_fabeln_merkmale_orga.html","Vorbereitung öffnen")</x:f>
      </x:c>
    </x:row>
    <x:row r="16" ht="65" customHeight="1">
      <x:c r="A16" s="142" t="n">
        <x:v>6</x:v>
      </x:c>
      <x:c r="B16" s="115" t="str">
        <x:v>Lesen/Umgang mit Texten</x:v>
      </x:c>
      <x:c r="C16" s="148" t="n">
        <x:v>12</x:v>
      </x:c>
      <x:c r="D16" s="115" t="str">
        <x:v>Fabeln verstehen und schreiben: Figuren, Handlung und Konflikt untersuchen</x:v>
      </x:c>
      <x:c r="E16" s="115" t="str">
        <x:v>übertragene Bedeutung und Kritik mit Figurenkarten oder Handlungsstreifen ordnen; einfache Belege auswählen. Basisniveau mit klaren Teilschritten, Wortlisten, Satzstartern und häufigen Sicherungen.</x:v>
      </x:c>
      <x:c r="F16" s="115" t="str">
        <x:v>übertragene Bedeutung und Kritik in ihrem Zusammenhang untersuchen; Schlussfolgerungen mit passenden Textbelegen absichern. Erweiterungsniveau mit selbstständigerer Erschließung, zusätzlichen Belegen und begründeten Urteilen.</x:v>
      </x:c>
      <x:c r="G16" s="115" t="str">
        <x:v>de_k6_st12_fabeln_figuren_handlung</x:v>
      </x:c>
      <x:c r="H16" s="176" t="e">
        <x:f>HYPERLINK("schueler/de_k6_st12_fabeln_figuren_handlung_app.html","Lernmodul öffnen")</x:f>
      </x:c>
      <x:c r="I16" s="177" t="e">
        <x:f>HYPERLINK("lehrer/de_k6_st12_fabeln_figuren_handlung_orga.html","Vorbereitung öffnen")</x:f>
      </x:c>
    </x:row>
    <x:row r="17" ht="65" customHeight="1">
      <x:c r="A17" s="142" t="n">
        <x:v>6</x:v>
      </x:c>
      <x:c r="B17" s="115" t="str">
        <x:v>Sprache untersuchen</x:v>
      </x:c>
      <x:c r="C17" s="148" t="n">
        <x:v>13</x:v>
      </x:c>
      <x:c r="D17" s="115" t="str">
        <x:v>Fabeln verstehen und schreiben: Sprache und Wirkung untersuchen</x:v>
      </x:c>
      <x:c r="E17" s="115" t="str">
        <x:v>Beispiele für typische Verben, direkte Rede, pointierter Schluss markieren und ihre Wirkung mit vorgegebenen Begriffen beschreiben. Basisniveau mit klaren Teilschritten, Wortlisten, Satzstartern und häufigen Sicherungen.</x:v>
      </x:c>
      <x:c r="F17" s="115" t="str">
        <x:v>typische Verben, direkte Rede, pointierter Schluss fachsprachlich analysieren und auf Figurenzeichnung, Stimmung oder Aussage beziehen. Erweiterungsniveau mit selbstständigerer Erschließung, zusätzlichen Belegen und begründeten Urteilen.</x:v>
      </x:c>
      <x:c r="G17" s="115" t="str">
        <x:v>de_k6_st13_fabeln_sprache_wirkung</x:v>
      </x:c>
      <x:c r="H17" s="176" t="e">
        <x:f>HYPERLINK("schueler/de_k6_st13_fabeln_sprache_wirkung_app.html","Lernmodul öffnen")</x:f>
      </x:c>
      <x:c r="I17" s="177" t="e">
        <x:f>HYPERLINK("lehrer/de_k6_st13_fabeln_sprache_wirkung_orga.html","Vorbereitung öffnen")</x:f>
      </x:c>
    </x:row>
    <x:row r="18" ht="65" customHeight="1">
      <x:c r="A18" s="142" t="n">
        <x:v>6</x:v>
      </x:c>
      <x:c r="B18" s="115" t="str">
        <x:v>Schreiben</x:v>
      </x:c>
      <x:c r="C18" s="148" t="n">
        <x:v>14</x:v>
      </x:c>
      <x:c r="D18" s="115" t="str">
        <x:v>Fabeln verstehen und schreiben: eine Deutung oder Perspektive vorbereiten</x:v>
      </x:c>
      <x:c r="E18" s="115" t="str">
        <x:v>Eine zentrale Aussage mit Satzstartern formulieren; Beleg und Erklärung in einem Schreibrahmen verbinden. Basisniveau mit klaren Teilschritten, Wortlisten, Satzstartern und häufigen Sicherungen.</x:v>
      </x:c>
      <x:c r="F18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18" s="115" t="str">
        <x:v>de_k6_st14_fabeln_deutung_planen</x:v>
      </x:c>
      <x:c r="H18" s="176" t="e">
        <x:f>HYPERLINK("schueler/de_k6_st14_fabeln_deutung_planen_app.html","Lernmodul öffnen")</x:f>
      </x:c>
      <x:c r="I18" s="177" t="e">
        <x:f>HYPERLINK("lehrer/de_k6_st14_fabeln_deutung_planen_orga.html","Vorbereitung öffnen")</x:f>
      </x:c>
    </x:row>
    <x:row r="19" ht="65" customHeight="1">
      <x:c r="A19" s="142" t="n">
        <x:v>6</x:v>
      </x:c>
      <x:c r="B19" s="115" t="str">
        <x:v>Schreiben</x:v>
      </x:c>
      <x:c r="C19" s="148" t="n">
        <x:v>15</x:v>
      </x:c>
      <x:c r="D19" s="115" t="str">
        <x:v>Fabeln verstehen und schreiben: eigene Fabel gestalten</x:v>
      </x:c>
      <x:c r="E19" s="115" t="str">
        <x:v>Eigene fabel nach klaren Vorgaben erstellen; Hilfekarten und Wortbank nutzen. Basisniveau mit klaren Teilschritten, Wortlisten, Satzstartern und häufigen Sicherungen.</x:v>
      </x:c>
      <x:c r="F19" s="115" t="str">
        <x:v>Eigene fabel eigenständig, textnah und sprachlich variabel gestalten; Wirkung bewusst planen. Erweiterungsniveau mit selbstständigerer Erschließung, zusätzlichen Belegen und begründeten Urteilen.</x:v>
      </x:c>
      <x:c r="G19" s="115" t="str">
        <x:v>de_k6_st15_fabeln_produkt</x:v>
      </x:c>
      <x:c r="H19" s="176" t="e">
        <x:f>HYPERLINK("schueler/de_k6_st15_fabeln_produkt_app.html","Lernmodul öffnen")</x:f>
      </x:c>
      <x:c r="I19" s="177" t="e">
        <x:f>HYPERLINK("lehrer/de_k6_st15_fabeln_produkt_orga.html","Vorbereitung öffnen")</x:f>
      </x:c>
    </x:row>
    <x:row r="20" ht="65" customHeight="1">
      <x:c r="A20" s="142" t="n">
        <x:v>6</x:v>
      </x:c>
      <x:c r="B20" s="115" t="str">
        <x:v>Sprechen und Zuhören</x:v>
      </x:c>
      <x:c r="C20" s="148" t="n">
        <x:v>16</x:v>
      </x:c>
      <x:c r="D20" s="115" t="str">
        <x:v>Fabeln verstehen und schreiben: Ergebnisse präsentieren und reflektieren</x:v>
      </x:c>
      <x:c r="E20" s="115" t="str">
        <x:v>Ergebnis kurz vorstellen; zwei vereinbarte Kriterien für Rückmeldung anwenden. Basisniveau mit klaren Teilschritten, Wortlisten, Satzstartern und häufigen Sicherungen.</x:v>
      </x:c>
      <x:c r="F20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20" s="115" t="str">
        <x:v>de_k6_st16_fabeln_praesentieren</x:v>
      </x:c>
      <x:c r="H20" s="176" t="e">
        <x:f>HYPERLINK("schueler/de_k6_st16_fabeln_praesentieren_app.html","Lernmodul öffnen")</x:f>
      </x:c>
      <x:c r="I20" s="177" t="e">
        <x:f>HYPERLINK("lehrer/de_k6_st16_fabeln_praesentieren_orga.html","Vorbereitung öffnen")</x:f>
      </x:c>
    </x:row>
    <x:row r="21" ht="65" customHeight="1">
      <x:c r="A21" s="142" t="n">
        <x:v>6</x:v>
      </x:c>
      <x:c r="B21" s="115" t="str">
        <x:v>Lesen/Umgang mit Texten</x:v>
      </x:c>
      <x:c r="C21" s="148" t="n">
        <x:v>17</x:v>
      </x:c>
      <x:c r="D21" s="115" t="str">
        <x:v>Sachlich berichten: Beispieltexte untersuchen</x:v>
      </x:c>
      <x:c r="E21" s="115" t="str">
        <x:v>Ein Beispiel für Ereignis- und Unfallbericht lesen; Aufbau und typische Formulierungen farbig kennzeichnen. Basisniveau mit klaren Teilschritten, Wortlisten, Satzstartern und häufigen Sicherungen.</x:v>
      </x:c>
      <x:c r="F21" s="115" t="str">
        <x:v>Mehrere Beispiele für Ereignis- und Unfallbericht vergleichen; Funktion, Adressat und Qualitätsunterschiede herausarbeiten. Erweiterungsniveau mit selbstständigerer Erschließung, zusätzlichen Belegen und begründeten Urteilen.</x:v>
      </x:c>
      <x:c r="G21" s="115" t="str">
        <x:v>de_k6_st17_bericht_beispiel</x:v>
      </x:c>
      <x:c r="H21" s="176" t="e">
        <x:f>HYPERLINK("schueler/de_k6_st17_bericht_beispiel_app.html","Lernmodul öffnen")</x:f>
      </x:c>
      <x:c r="I21" s="177" t="e">
        <x:f>HYPERLINK("lehrer/de_k6_st17_bericht_beispiel_orga.html","Vorbereitung öffnen")</x:f>
      </x:c>
    </x:row>
    <x:row r="22" ht="65" customHeight="1">
      <x:c r="A22" s="142" t="n">
        <x:v>6</x:v>
      </x:c>
      <x:c r="B22" s="115" t="str">
        <x:v>Schreiben</x:v>
      </x:c>
      <x:c r="C22" s="148" t="n">
        <x:v>18</x:v>
      </x:c>
      <x:c r="D22" s="115" t="str">
        <x:v>Sachlich berichten: Schreibziel und Kriterien klären</x:v>
      </x:c>
      <x:c r="E22" s="115" t="str">
        <x:v>Schreibziel „überprüfbar, knapp und vollständig informieren“ verstehen; eine kurze Kriterienliste auf ein Beispiel anwenden. Basisniveau mit klaren Teilschritten, Wortlisten, Satzstartern und häufigen Sicherungen.</x:v>
      </x:c>
      <x:c r="F22" s="115" t="str">
        <x:v>Schreibziel „überprüfbar, knapp und vollständig informieren“ präzisieren; Kriterien gewichten und auf unterschiedliche Schreibsituationen übertragen. Erweiterungsniveau mit selbstständigerer Erschließung, zusätzlichen Belegen und begründeten Urteilen.</x:v>
      </x:c>
      <x:c r="G22" s="115" t="str">
        <x:v>de_k6_st18_bericht_kriterien</x:v>
      </x:c>
      <x:c r="H22" s="176" t="e">
        <x:f>HYPERLINK("schueler/de_k6_st18_bericht_kriterien_app.html","Lernmodul öffnen")</x:f>
      </x:c>
      <x:c r="I22" s="177" t="e">
        <x:f>HYPERLINK("lehrer/de_k6_st18_bericht_kriterien_orga.html","Vorbereitung öffnen")</x:f>
      </x:c>
    </x:row>
    <x:row r="23" ht="65" customHeight="1">
      <x:c r="A23" s="142" t="n">
        <x:v>6</x:v>
      </x:c>
      <x:c r="B23" s="115" t="str">
        <x:v>Lesen/Umgang mit Texten</x:v>
      </x:c>
      <x:c r="C23" s="148" t="n">
        <x:v>19</x:v>
      </x:c>
      <x:c r="D23" s="115" t="str">
        <x:v>Sachlich berichten: Inhalte auswählen und ordnen</x:v>
      </x:c>
      <x:c r="E23" s="115" t="str">
        <x:v>W-Fragen und chronologische Ordnung mit Leitfragen sammeln und in einer vorgegebenen Reihenfolge ordnen. Basisniveau mit klaren Teilschritten, Wortlisten, Satzstartern und häufigen Sicherungen.</x:v>
      </x:c>
      <x:c r="F23" s="115" t="str">
        <x:v>W-Fragen und chronologische Ordnung selbstständig auswählen, gewichten und in einer passenden Gliederung strukturieren. Erweiterungsniveau mit selbstständigerer Erschließung, zusätzlichen Belegen und begründeten Urteilen.</x:v>
      </x:c>
      <x:c r="G23" s="115" t="str">
        <x:v>de_k6_st19_bericht_inhalte_ordnen</x:v>
      </x:c>
      <x:c r="H23" s="176" t="e">
        <x:f>HYPERLINK("schueler/de_k6_st19_bericht_inhalte_ordnen_app.html","Lernmodul öffnen")</x:f>
      </x:c>
      <x:c r="I23" s="177" t="e">
        <x:f>HYPERLINK("lehrer/de_k6_st19_bericht_inhalte_ordnen_orga.html","Vorbereitung öffnen")</x:f>
      </x:c>
    </x:row>
    <x:row r="24" ht="65" customHeight="1">
      <x:c r="A24" s="142" t="n">
        <x:v>6</x:v>
      </x:c>
      <x:c r="B24" s="115" t="str">
        <x:v>Sprache untersuchen</x:v>
      </x:c>
      <x:c r="C24" s="148" t="n">
        <x:v>20</x:v>
      </x:c>
      <x:c r="D24" s="115" t="str">
        <x:v>Sachlich berichten: passende sprachliche Mittel verwenden</x:v>
      </x:c>
      <x:c r="E24" s="115" t="str">
        <x:v>Präteritum, sachlicher Wortschatz, indirekte Wiedergabe in Übungen erkennen und nach Satzmustern anwenden. Basisniveau mit klaren Teilschritten, Wortlisten, Satzstartern und häufigen Sicherungen.</x:v>
      </x:c>
      <x:c r="F24" s="115" t="str">
        <x:v>Präteritum, sachlicher Wortschatz, indirekte Wiedergabe hinsichtlich Wirkung und Angemessenheit prüfen und gezielt variieren. Erweiterungsniveau mit selbstständigerer Erschließung, zusätzlichen Belegen und begründeten Urteilen.</x:v>
      </x:c>
      <x:c r="G24" s="115" t="str">
        <x:v>de_k6_st20_bericht_sprachmittel</x:v>
      </x:c>
      <x:c r="H24" s="176" t="e">
        <x:f>HYPERLINK("schueler/de_k6_st20_bericht_sprachmittel_app.html","Lernmodul öffnen")</x:f>
      </x:c>
      <x:c r="I24" s="177" t="e">
        <x:f>HYPERLINK("lehrer/de_k6_st20_bericht_sprachmittel_orga.html","Vorbereitung öffnen")</x:f>
      </x:c>
    </x:row>
    <x:row r="25" ht="65" customHeight="1">
      <x:c r="A25" s="142" t="n">
        <x:v>6</x:v>
      </x:c>
      <x:c r="B25" s="115" t="str">
        <x:v>Schreiben</x:v>
      </x:c>
      <x:c r="C25" s="148" t="n">
        <x:v>21</x:v>
      </x:c>
      <x:c r="D25" s="115" t="str">
        <x:v>Sachlich berichten: einen Schreibplan erstellen</x:v>
      </x:c>
      <x:c r="E25" s="115" t="str">
        <x:v>Einen vorstrukturierten Schreibplan ausfüllen; Einleitung, Hauptteil und Schluss festlegen. Basisniveau mit klaren Teilschritten, Wortlisten, Satzstartern und häufigen Sicherungen.</x:v>
      </x:c>
      <x:c r="F25" s="115" t="str">
        <x:v>Einen eigenen Schreibplan mit Teilzielen, Belegen und sprachlichen Mitteln entwickeln. Erweiterungsniveau mit selbstständigerer Erschließung, zusätzlichen Belegen und begründeten Urteilen.</x:v>
      </x:c>
      <x:c r="G25" s="115" t="str">
        <x:v>de_k6_st21_bericht_schreibplan</x:v>
      </x:c>
      <x:c r="H25" s="176" t="e">
        <x:f>HYPERLINK("schueler/de_k6_st21_bericht_schreibplan_app.html","Lernmodul öffnen")</x:f>
      </x:c>
      <x:c r="I25" s="177" t="e">
        <x:f>HYPERLINK("lehrer/de_k6_st21_bericht_schreibplan_orga.html","Vorbereitung öffnen")</x:f>
      </x:c>
    </x:row>
    <x:row r="26" ht="65" customHeight="1">
      <x:c r="A26" s="142" t="n">
        <x:v>6</x:v>
      </x:c>
      <x:c r="B26" s="115" t="str">
        <x:v>Schreiben</x:v>
      </x:c>
      <x:c r="C26" s="148" t="n">
        <x:v>22</x:v>
      </x:c>
      <x:c r="D26" s="115" t="str">
        <x:v>Sachlich berichten: einen ersten Textentwurf verfassen</x:v>
      </x:c>
      <x:c r="E26" s="115" t="str">
        <x:v>Zeitungs- oder unfallbericht mithilfe von Schreibrahmen, Satzanfängen und Wortbank verfassen. Basisniveau mit klaren Teilschritten, Wortlisten, Satzstartern und häufigen Sicherungen.</x:v>
      </x:c>
      <x:c r="F26" s="115" t="str">
        <x:v>Zeitungs- oder unfallbericht selbstständig, adressatenbezogen und sprachlich differenziert verfassen. Erweiterungsniveau mit selbstständigerer Erschließung, zusätzlichen Belegen und begründeten Urteilen.</x:v>
      </x:c>
      <x:c r="G26" s="115" t="str">
        <x:v>de_k6_st22_bericht_entwurf</x:v>
      </x:c>
      <x:c r="H26" s="176" t="e">
        <x:f>HYPERLINK("schueler/de_k6_st22_bericht_entwurf_app.html","Lernmodul öffnen")</x:f>
      </x:c>
      <x:c r="I26" s="177" t="e">
        <x:f>HYPERLINK("lehrer/de_k6_st22_bericht_entwurf_orga.html","Vorbereitung öffnen")</x:f>
      </x:c>
    </x:row>
    <x:row r="27" ht="65" customHeight="1">
      <x:c r="A27" s="142" t="n">
        <x:v>6</x:v>
      </x:c>
      <x:c r="B27" s="115" t="str">
        <x:v>Schreiben</x:v>
      </x:c>
      <x:c r="C27" s="148" t="n">
        <x:v>23</x:v>
      </x:c>
      <x:c r="D27" s="115" t="str">
        <x:v>Sachlich berichten: Text kriteriengeleitet überarbeiten</x:v>
      </x:c>
      <x:c r="E27" s="115" t="str">
        <x:v>Text mit einer kurzen Prüfliste überarbeiten; einen inhaltlichen und einen sprachlichen Fehler verbessern. Basisniveau mit klaren Teilschritten, Wortlisten, Satzstartern und häufigen Sicherungen.</x:v>
      </x:c>
      <x:c r="F27" s="115" t="str">
        <x:v>Text in mehreren Überarbeitungsschritten prüfen; Aufbau, Kohärenz, Stil und Normrichtigkeit gezielt optimieren. Erweiterungsniveau mit selbstständigerer Erschließung, zusätzlichen Belegen und begründeten Urteilen.</x:v>
      </x:c>
      <x:c r="G27" s="115" t="str">
        <x:v>de_k6_st23_bericht_ueberarbeiten</x:v>
      </x:c>
      <x:c r="H27" s="176" t="e">
        <x:f>HYPERLINK("schueler/de_k6_st23_bericht_ueberarbeiten_app.html","Lernmodul öffnen")</x:f>
      </x:c>
      <x:c r="I27" s="177" t="e">
        <x:f>HYPERLINK("lehrer/de_k6_st23_bericht_ueberarbeiten_orga.html","Vorbereitung öffnen")</x:f>
      </x:c>
    </x:row>
    <x:row r="28" ht="65" customHeight="1">
      <x:c r="A28" s="142" t="n">
        <x:v>6</x:v>
      </x:c>
      <x:c r="B28" s="115" t="str">
        <x:v>Sprechen und Zuhören</x:v>
      </x:c>
      <x:c r="C28" s="148" t="n">
        <x:v>24</x:v>
      </x:c>
      <x:c r="D28" s="115" t="str">
        <x:v>Sachlich berichten: Texte vorstellen und bewerten</x:v>
      </x:c>
      <x:c r="E28" s="115" t="str">
        <x:v>Ausgewählte Passage vorlesen oder erläutern; Rückmeldung mit einfachen Satzmustern geben. Basisniveau mit klaren Teilschritten, Wortlisten, Satzstartern und häufigen Sicherungen.</x:v>
      </x:c>
      <x:c r="F28" s="115" t="str">
        <x:v>Textwirkung und Schreibentscheidungen erläutern; differenziertes Peer-Feedback geben und begründet annehmen. Erweiterungsniveau mit selbstständigerer Erschließung, zusätzlichen Belegen und begründeten Urteilen.</x:v>
      </x:c>
      <x:c r="G28" s="115" t="str">
        <x:v>de_k6_st24_bericht_vorstellen</x:v>
      </x:c>
      <x:c r="H28" s="176" t="e">
        <x:f>HYPERLINK("schueler/de_k6_st24_bericht_vorstellen_app.html","Lernmodul öffnen")</x:f>
      </x:c>
      <x:c r="I28" s="177" t="e">
        <x:f>HYPERLINK("lehrer/de_k6_st24_bericht_vorstellen_orga.html","Vorbereitung öffnen")</x:f>
      </x:c>
    </x:row>
    <x:row r="29" ht="65" customHeight="1">
      <x:c r="A29" s="142" t="n">
        <x:v>6</x:v>
      </x:c>
      <x:c r="B29" s="115" t="str">
        <x:v>Sprache untersuchen</x:v>
      </x:c>
      <x:c r="C29" s="148" t="n">
        <x:v>25</x:v>
      </x:c>
      <x:c r="D29" s="115" t="str">
        <x:v>Satzglieder und Zeitformen sichern: Lernstand feststellen</x:v>
      </x:c>
      <x:c r="E29" s="115" t="str">
        <x:v>Kurze Diagnose zu Subjekt, Prädikat, Objekte und Tempora bearbeiten; eigene Unsicherheiten markieren. Basisniveau mit klaren Teilschritten, Wortlisten, Satzstartern und häufigen Sicherungen.</x:v>
      </x:c>
      <x:c r="F29" s="115" t="str">
        <x:v>Diagnose zu Subjekt, Prädikat, Objekte und Tempora auswerten; Fehlermuster benennen und persönliche Lernziele ableiten. Erweiterungsniveau mit selbstständigerer Erschließung, zusätzlichen Belegen und begründeten Urteilen.</x:v>
      </x:c>
      <x:c r="G29" s="115" t="str">
        <x:v>de_k6_st25_satzglieder_diagnose</x:v>
      </x:c>
      <x:c r="H29" s="176" t="e">
        <x:f>HYPERLINK("schueler/de_k6_st25_satzglieder_diagnose_app.html","Lernmodul öffnen")</x:f>
      </x:c>
      <x:c r="I29" s="177" t="e">
        <x:f>HYPERLINK("lehrer/de_k6_st25_satzglieder_diagnose_orga.html","Vorbereitung öffnen")</x:f>
      </x:c>
    </x:row>
    <x:row r="30" ht="65" customHeight="1">
      <x:c r="A30" s="142" t="n">
        <x:v>6</x:v>
      </x:c>
      <x:c r="B30" s="115" t="str">
        <x:v>Sprache untersuchen</x:v>
      </x:c>
      <x:c r="C30" s="148" t="n">
        <x:v>26</x:v>
      </x:c>
      <x:c r="D30" s="115" t="str">
        <x:v>Satzglieder und Zeitformen sichern: Grundbegriffe sichern</x:v>
      </x:c>
      <x:c r="E30" s="115" t="str">
        <x:v>Umstellprobe, Frageprobe, Zeitformenbildung an einfachen Beispielen erkennen und mit Merkkarten sichern. Basisniveau mit klaren Teilschritten, Wortlisten, Satzstartern und häufigen Sicherungen.</x:v>
      </x:c>
      <x:c r="F30" s="115" t="str">
        <x:v>Umstellprobe, Frageprobe, Zeitformenbildung fachsprachlich erklären, voneinander abgrenzen und in komplexeren Beispielen bestimmen. Erweiterungsniveau mit selbstständigerer Erschließung, zusätzlichen Belegen und begründeten Urteilen.</x:v>
      </x:c>
      <x:c r="G30" s="115" t="str">
        <x:v>de_k6_st26_satzglieder_grundbegriffe</x:v>
      </x:c>
      <x:c r="H30" s="176" t="e">
        <x:f>HYPERLINK("schueler/de_k6_st26_satzglieder_grundbegriffe_app.html","Lernmodul öffnen")</x:f>
      </x:c>
      <x:c r="I30" s="177" t="e">
        <x:f>HYPERLINK("lehrer/de_k6_st26_satzglieder_grundbegriffe_orga.html","Vorbereitung öffnen")</x:f>
      </x:c>
    </x:row>
    <x:row r="31" ht="65" customHeight="1">
      <x:c r="A31" s="142" t="n">
        <x:v>6</x:v>
      </x:c>
      <x:c r="B31" s="115" t="str">
        <x:v>Sprache untersuchen</x:v>
      </x:c>
      <x:c r="C31" s="148" t="n">
        <x:v>27</x:v>
      </x:c>
      <x:c r="D31" s="115" t="str">
        <x:v>Satzglieder und Zeitformen sichern: Verfahren anwenden</x:v>
      </x:c>
      <x:c r="E31" s="115" t="str">
        <x:v>Satzgliedproben und Tempusvergleich Schritt für Schritt anwenden; Entscheidungen mündlich begründen. Basisniveau mit klaren Teilschritten, Wortlisten, Satzstartern und häufigen Sicherungen.</x:v>
      </x:c>
      <x:c r="F31" s="115" t="str">
        <x:v>Satzgliedproben und Tempusvergleich selbstständig auswählen, kombinieren und auf Zweifelsfälle übertragen. Erweiterungsniveau mit selbstständigerer Erschließung, zusätzlichen Belegen und begründeten Urteilen.</x:v>
      </x:c>
      <x:c r="G31" s="115" t="str">
        <x:v>de_k6_st27_satzglieder_verfahren</x:v>
      </x:c>
      <x:c r="H31" s="176" t="e">
        <x:f>HYPERLINK("schueler/de_k6_st27_satzglieder_verfahren_app.html","Lernmodul öffnen")</x:f>
      </x:c>
      <x:c r="I31" s="177" t="e">
        <x:f>HYPERLINK("lehrer/de_k6_st27_satzglieder_verfahren_orga.html","Vorbereitung öffnen")</x:f>
      </x:c>
    </x:row>
    <x:row r="32" ht="65" customHeight="1">
      <x:c r="A32" s="142" t="n">
        <x:v>6</x:v>
      </x:c>
      <x:c r="B32" s="115" t="str">
        <x:v>Sprache untersuchen</x:v>
      </x:c>
      <x:c r="C32" s="148" t="n">
        <x:v>28</x:v>
      </x:c>
      <x:c r="D32" s="115" t="str">
        <x:v>Satzglieder und Zeitformen sichern: Formen und Funktionen untersuchen</x:v>
      </x:c>
      <x:c r="E32" s="115" t="str">
        <x:v>Formen bilden und ihre Aufgabe im Satz mit Leitfragen beschreiben. Basisniveau mit klaren Teilschritten, Wortlisten, Satzstartern und häufigen Sicherungen.</x:v>
      </x:c>
      <x:c r="F32" s="115" t="str">
        <x:v>Form, Funktion und Wirkung im Satz oder Text untersuchen; alternative Formulierungen vergleichen. Erweiterungsniveau mit selbstständigerer Erschließung, zusätzlichen Belegen und begründeten Urteilen.</x:v>
      </x:c>
      <x:c r="G32" s="115" t="str">
        <x:v>de_k6_st28_satzglieder_funktion</x:v>
      </x:c>
      <x:c r="H32" s="176" t="e">
        <x:f>HYPERLINK("schueler/de_k6_st28_satzglieder_funktion_app.html","Lernmodul öffnen")</x:f>
      </x:c>
      <x:c r="I32" s="177" t="e">
        <x:f>HYPERLINK("lehrer/de_k6_st28_satzglieder_funktion_orga.html","Vorbereitung öffnen")</x:f>
      </x:c>
    </x:row>
    <x:row r="33" ht="65" customHeight="1">
      <x:c r="A33" s="142" t="n">
        <x:v>6</x:v>
      </x:c>
      <x:c r="B33" s="115" t="str">
        <x:v>Schreiben</x:v>
      </x:c>
      <x:c r="C33" s="148" t="n">
        <x:v>29</x:v>
      </x:c>
      <x:c r="D33" s="115" t="str">
        <x:v>Satzglieder und Zeitformen sichern: Wissen im eigenen Text nutzen</x:v>
      </x:c>
      <x:c r="E33" s="115" t="str">
        <x:v>Berichte und erzähltexte nach Vorgabe verfassen und die geübten Strukturen farbig markieren. Basisniveau mit klaren Teilschritten, Wortlisten, Satzstartern und häufigen Sicherungen.</x:v>
      </x:c>
      <x:c r="F33" s="115" t="str">
        <x:v>Berichte und erzähltexte bewusst gestalten und sprachliche Entscheidungen kommentieren. Erweiterungsniveau mit selbstständigerer Erschließung, zusätzlichen Belegen und begründeten Urteilen.</x:v>
      </x:c>
      <x:c r="G33" s="115" t="str">
        <x:v>de_k6_st29_satzglieder_anwenden</x:v>
      </x:c>
      <x:c r="H33" s="176" t="e">
        <x:f>HYPERLINK("schueler/de_k6_st29_satzglieder_anwenden_app.html","Lernmodul öffnen")</x:f>
      </x:c>
      <x:c r="I33" s="177" t="e">
        <x:f>HYPERLINK("lehrer/de_k6_st29_satzglieder_anwenden_orga.html","Vorbereitung öffnen")</x:f>
      </x:c>
    </x:row>
    <x:row r="34" ht="65" customHeight="1">
      <x:c r="A34" s="142" t="n">
        <x:v>6</x:v>
      </x:c>
      <x:c r="B34" s="115" t="str">
        <x:v>Sprache untersuchen</x:v>
      </x:c>
      <x:c r="C34" s="148" t="n">
        <x:v>30</x:v>
      </x:c>
      <x:c r="D34" s="115" t="str">
        <x:v>Satzglieder und Zeitformen sichern: Fehler finden und korrigieren</x:v>
      </x:c>
      <x:c r="E34" s="115" t="str">
        <x:v>Typische Fehler in kurzen Sätzen finden; passende Regelkarte auswählen und korrigieren. Basisniveau mit klaren Teilschritten, Wortlisten, Satzstartern und häufigen Sicherungen.</x:v>
      </x:c>
      <x:c r="F34" s="115" t="str">
        <x:v>Fehler systematisch diagnostizieren, Regelbezug herstellen und mehrere Korrekturmöglichkeiten bewerten. Erweiterungsniveau mit selbstständigerer Erschließung, zusätzlichen Belegen und begründeten Urteilen.</x:v>
      </x:c>
      <x:c r="G34" s="115" t="str">
        <x:v>de_k6_st30_satzglieder_fehler</x:v>
      </x:c>
      <x:c r="H34" s="176" t="e">
        <x:f>HYPERLINK("schueler/de_k6_st30_satzglieder_fehler_app.html","Lernmodul öffnen")</x:f>
      </x:c>
      <x:c r="I34" s="177" t="e">
        <x:f>HYPERLINK("lehrer/de_k6_st30_satzglieder_fehler_orga.html","Vorbereitung öffnen")</x:f>
      </x:c>
    </x:row>
    <x:row r="35" ht="65" customHeight="1">
      <x:c r="A35" s="142" t="n">
        <x:v>6</x:v>
      </x:c>
      <x:c r="B35" s="115" t="str">
        <x:v>Sprache untersuchen</x:v>
      </x:c>
      <x:c r="C35" s="148" t="n">
        <x:v>31</x:v>
      </x:c>
      <x:c r="D35" s="115" t="str">
        <x:v>Satzglieder und Zeitformen sichern: Transfer auf unbekannte Beispiele</x:v>
      </x:c>
      <x:c r="E35" s="115" t="str">
        <x:v>Neue Beispiele mit Hilfekarte bearbeiten und Lösungen vergleichen. Basisniveau mit klaren Teilschritten, Wortlisten, Satzstartern und häufigen Sicherungen.</x:v>
      </x:c>
      <x:c r="F35" s="115" t="str">
        <x:v>Unbekannte und mehrdeutige Beispiele selbstständig analysieren; Grenzfälle begründet diskutieren. Erweiterungsniveau mit selbstständigerer Erschließung, zusätzlichen Belegen und begründeten Urteilen.</x:v>
      </x:c>
      <x:c r="G35" s="115" t="str">
        <x:v>de_k6_st31_satzglieder_transfer</x:v>
      </x:c>
      <x:c r="H35" s="176" t="e">
        <x:f>HYPERLINK("schueler/de_k6_st31_satzglieder_transfer_app.html","Lernmodul öffnen")</x:f>
      </x:c>
      <x:c r="I35" s="177" t="e">
        <x:f>HYPERLINK("lehrer/de_k6_st31_satzglieder_transfer_orga.html","Vorbereitung öffnen")</x:f>
      </x:c>
    </x:row>
    <x:row r="36" ht="65" customHeight="1">
      <x:c r="A36" s="142" t="n">
        <x:v>6</x:v>
      </x:c>
      <x:c r="B36" s="115" t="str">
        <x:v>Schreiben</x:v>
      </x:c>
      <x:c r="C36" s="148" t="n">
        <x:v>32</x:v>
      </x:c>
      <x:c r="D36" s="115" t="str">
        <x:v>Satzglieder und Zeitformen sichern: Lernprodukt und Kompetenzcheck</x:v>
      </x:c>
      <x:c r="E36" s="115" t="str">
        <x:v>Merkblatt oder Übungstext erstellen; Grundregeln in einem kurzen Kompetenzcheck anwenden. Basisniveau mit klaren Teilschritten, Wortlisten, Satzstartern und häufigen Sicherungen.</x:v>
      </x:c>
      <x:c r="F36" s="115" t="str">
        <x:v>Erklärprodukt mit eigenen Beispielen erstellen; Regeln in einem anspruchsvollen Kompetenzcheck sicher anwenden. Erweiterungsniveau mit selbstständigerer Erschließung, zusätzlichen Belegen und begründeten Urteilen.</x:v>
      </x:c>
      <x:c r="G36" s="115" t="str">
        <x:v>de_k6_st32_satzglieder_kompetenzcheck</x:v>
      </x:c>
      <x:c r="H36" s="176" t="e">
        <x:f>HYPERLINK("schueler/de_k6_st32_satzglieder_kompetenzcheck_app.html","Lernmodul öffnen")</x:f>
      </x:c>
      <x:c r="I36" s="177" t="e">
        <x:f>HYPERLINK("lehrer/de_k6_st32_satzglieder_kompetenzcheck_orga.html","Vorbereitung öffnen")</x:f>
      </x:c>
    </x:row>
    <x:row r="37" ht="65" customHeight="1">
      <x:c r="A37" s="142" t="n">
        <x:v>6</x:v>
      </x:c>
      <x:c r="B37" s="115" t="str">
        <x:v>Sprechen und Zuhören</x:v>
      </x:c>
      <x:c r="C37" s="148" t="n">
        <x:v>33</x:v>
      </x:c>
      <x:c r="D37" s="115" t="str">
        <x:v>Jugendroman: Konflikte und Entscheidungen: Hör- oder Leseeinstieg gestalten</x:v>
      </x:c>
      <x:c r="E37" s="115" t="str">
        <x:v>Einstieg über Bild, Hörtext oder kurzen Auszug; Vorwissen zu Jugendroman als Ganzschrift sammeln und zentrale Wörter klären. Basisniveau mit klaren Teilschritten, Wortlisten, Satzstartern und häufigen Sicherungen.</x:v>
      </x:c>
      <x:c r="F37" s="115" t="str">
        <x:v>Aus Titel, Kontext und Gestaltung Erwartungen an Jugendroman als Ganzschrift ableiten; erste Hypothesen formulieren und begründen. Erweiterungsniveau mit selbstständigerer Erschließung, zusätzlichen Belegen und begründeten Urteilen.</x:v>
      </x:c>
      <x:c r="G37" s="115" t="str">
        <x:v>de_k6_st33_jugendroman_einstieg</x:v>
      </x:c>
      <x:c r="H37" s="176" t="e">
        <x:f>HYPERLINK("schueler/de_k6_st33_jugendroman_einstieg_app.html","Lernmodul öffnen")</x:f>
      </x:c>
      <x:c r="I37" s="177" t="e">
        <x:f>HYPERLINK("lehrer/de_k6_st33_jugendroman_einstieg_orga.html","Vorbereitung öffnen")</x:f>
      </x:c>
    </x:row>
    <x:row r="38" ht="65" customHeight="1">
      <x:c r="A38" s="142" t="n">
        <x:v>6</x:v>
      </x:c>
      <x:c r="B38" s="115" t="str">
        <x:v>Lesen/Umgang mit Texten</x:v>
      </x:c>
      <x:c r="C38" s="148" t="n">
        <x:v>34</x:v>
      </x:c>
      <x:c r="D38" s="115" t="str">
        <x:v>Jugendroman: Konflikte und Entscheidungen: den Text mit Lesestrategien erschließen</x:v>
      </x:c>
      <x:c r="E38" s="115" t="str">
        <x:v>Text abschnittsweise lesen; Schlüsselwörter markieren und den Inhalt mit Leitfragen sichern. Basisniveau mit klaren Teilschritten, Wortlisten, Satzstartern und häufigen Sicherungen.</x:v>
      </x:c>
      <x:c r="F38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38" s="115" t="str">
        <x:v>de_k6_st34_jugendroman_erschliessen</x:v>
      </x:c>
      <x:c r="H38" s="176" t="e">
        <x:f>HYPERLINK("schueler/de_k6_st34_jugendroman_erschliessen_app.html","Lernmodul öffnen")</x:f>
      </x:c>
      <x:c r="I38" s="177" t="e">
        <x:f>HYPERLINK("lehrer/de_k6_st34_jugendroman_erschliessen_orga.html","Vorbereitung öffnen")</x:f>
      </x:c>
    </x:row>
    <x:row r="39" ht="65" customHeight="1">
      <x:c r="A39" s="142" t="n">
        <x:v>6</x:v>
      </x:c>
      <x:c r="B39" s="115" t="str">
        <x:v>Lesen/Umgang mit Texten</x:v>
      </x:c>
      <x:c r="C39" s="148" t="n">
        <x:v>35</x:v>
      </x:c>
      <x:c r="D39" s="115" t="str">
        <x:v>Jugendroman: Konflikte und Entscheidungen: Gattungsmerkmale erkennen</x:v>
      </x:c>
      <x:c r="E39" s="115" t="str">
        <x:v>Merkmale wie Figuren, Konflikte, Kapitelaufbau mithilfe einer Checkliste zuordnen und an Textstellen zeigen. Basisniveau mit klaren Teilschritten, Wortlisten, Satzstartern und häufigen Sicherungen.</x:v>
      </x:c>
      <x:c r="F39" s="115" t="str">
        <x:v>Merkmale wie Figuren, Konflikte, Kapitelaufbau textnah belegen und ihre Funktion für Aufbau und Wirkung erklären. Erweiterungsniveau mit selbstständigerer Erschließung, zusätzlichen Belegen und begründeten Urteilen.</x:v>
      </x:c>
      <x:c r="G39" s="115" t="str">
        <x:v>de_k6_st35_jugendroman_merkmale</x:v>
      </x:c>
      <x:c r="H39" s="176" t="e">
        <x:f>HYPERLINK("schueler/de_k6_st35_jugendroman_merkmale_app.html","Lernmodul öffnen")</x:f>
      </x:c>
      <x:c r="I39" s="177" t="e">
        <x:f>HYPERLINK("lehrer/de_k6_st35_jugendroman_merkmale_orga.html","Vorbereitung öffnen")</x:f>
      </x:c>
    </x:row>
    <x:row r="40" ht="65" customHeight="1">
      <x:c r="A40" s="142" t="n">
        <x:v>6</x:v>
      </x:c>
      <x:c r="B40" s="115" t="str">
        <x:v>Lesen/Umgang mit Texten</x:v>
      </x:c>
      <x:c r="C40" s="148" t="n">
        <x:v>36</x:v>
      </x:c>
      <x:c r="D40" s="115" t="str">
        <x:v>Jugendroman: Konflikte und Entscheidungen: Figuren, Handlung und Konflikt untersuchen</x:v>
      </x:c>
      <x:c r="E40" s="115" t="str">
        <x:v>Motive, Entwicklung und Wertefragen mit Figurenkarten oder Handlungsstreifen ordnen; einfache Belege auswählen. Basisniveau mit klaren Teilschritten, Wortlisten, Satzstartern und häufigen Sicherungen.</x:v>
      </x:c>
      <x:c r="F40" s="115" t="str">
        <x:v>Motive, Entwicklung und Wertefragen in ihrem Zusammenhang untersuchen; Schlussfolgerungen mit passenden Textbelegen absichern. Erweiterungsniveau mit selbstständigerer Erschließung, zusätzlichen Belegen und begründeten Urteilen.</x:v>
      </x:c>
      <x:c r="G40" s="115" t="str">
        <x:v>de_k6_st36_jugendroman_figuren_handlung</x:v>
      </x:c>
      <x:c r="H40" s="176" t="e">
        <x:f>HYPERLINK("schueler/de_k6_st36_jugendroman_figuren_handlung_app.html","Lernmodul öffnen")</x:f>
      </x:c>
      <x:c r="I40" s="177" t="e">
        <x:f>HYPERLINK("lehrer/de_k6_st36_jugendroman_figuren_handlung_orga.html","Vorbereitung öffnen")</x:f>
      </x:c>
    </x:row>
    <x:row r="41" ht="65" customHeight="1">
      <x:c r="A41" s="142" t="n">
        <x:v>6</x:v>
      </x:c>
      <x:c r="B41" s="115" t="str">
        <x:v>Sprache untersuchen</x:v>
      </x:c>
      <x:c r="C41" s="148" t="n">
        <x:v>37</x:v>
      </x:c>
      <x:c r="D41" s="115" t="str">
        <x:v>Jugendroman: Konflikte und Entscheidungen: Sprache und Wirkung untersuchen</x:v>
      </x:c>
      <x:c r="E41" s="115" t="str">
        <x:v>Beispiele für Erzählperspektive, Dialoggestaltung, innere Gedanken markieren und ihre Wirkung mit vorgegebenen Begriffen beschreiben. Basisniveau mit klaren Teilschritten, Wortlisten, Satzstartern und häufigen Sicherungen.</x:v>
      </x:c>
      <x:c r="F41" s="115" t="str">
        <x:v>Erzählperspektive, Dialoggestaltung, innere Gedanken fachsprachlich analysieren und auf Figurenzeichnung, Stimmung oder Aussage beziehen. Erweiterungsniveau mit selbstständigerer Erschließung, zusätzlichen Belegen und begründeten Urteilen.</x:v>
      </x:c>
      <x:c r="G41" s="115" t="str">
        <x:v>de_k6_st37_jugendroman_sprache_wirkung</x:v>
      </x:c>
      <x:c r="H41" s="176" t="e">
        <x:f>HYPERLINK("schueler/de_k6_st37_jugendroman_sprache_wirkung_app.html","Lernmodul öffnen")</x:f>
      </x:c>
      <x:c r="I41" s="177" t="e">
        <x:f>HYPERLINK("lehrer/de_k6_st37_jugendroman_sprache_wirkung_orga.html","Vorbereitung öffnen")</x:f>
      </x:c>
    </x:row>
    <x:row r="42" ht="65" customHeight="1">
      <x:c r="A42" s="142" t="n">
        <x:v>6</x:v>
      </x:c>
      <x:c r="B42" s="115" t="str">
        <x:v>Schreiben</x:v>
      </x:c>
      <x:c r="C42" s="148" t="n">
        <x:v>38</x:v>
      </x:c>
      <x:c r="D42" s="115" t="str">
        <x:v>Jugendroman: Konflikte und Entscheidungen: eine Deutung oder Perspektive vorbereiten</x:v>
      </x:c>
      <x:c r="E42" s="115" t="str">
        <x:v>Eine zentrale Aussage mit Satzstartern formulieren; Beleg und Erklärung in einem Schreibrahmen verbinden. Basisniveau mit klaren Teilschritten, Wortlisten, Satzstartern und häufigen Sicherungen.</x:v>
      </x:c>
      <x:c r="F42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42" s="115" t="str">
        <x:v>de_k6_st38_jugendroman_deutung_planen</x:v>
      </x:c>
      <x:c r="H42" s="176" t="e">
        <x:f>HYPERLINK("schueler/de_k6_st38_jugendroman_deutung_planen_app.html","Lernmodul öffnen")</x:f>
      </x:c>
      <x:c r="I42" s="177" t="e">
        <x:f>HYPERLINK("lehrer/de_k6_st38_jugendroman_deutung_planen_orga.html","Vorbereitung öffnen")</x:f>
      </x:c>
    </x:row>
    <x:row r="43" ht="65" customHeight="1">
      <x:c r="A43" s="142" t="n">
        <x:v>6</x:v>
      </x:c>
      <x:c r="B43" s="115" t="str">
        <x:v>Schreiben</x:v>
      </x:c>
      <x:c r="C43" s="148" t="n">
        <x:v>39</x:v>
      </x:c>
      <x:c r="D43" s="115" t="str">
        <x:v>Jugendroman: Konflikte und Entscheidungen: Lesetagebuch und Figurengespräch gestalten</x:v>
      </x:c>
      <x:c r="E43" s="115" t="str">
        <x:v>Lesetagebuch und figurengespräch nach klaren Vorgaben erstellen; Hilfekarten und Wortbank nutzen. Basisniveau mit klaren Teilschritten, Wortlisten, Satzstartern und häufigen Sicherungen.</x:v>
      </x:c>
      <x:c r="F43" s="115" t="str">
        <x:v>Lesetagebuch und figurengespräch eigenständig, textnah und sprachlich variabel gestalten; Wirkung bewusst planen. Erweiterungsniveau mit selbstständigerer Erschließung, zusätzlichen Belegen und begründeten Urteilen.</x:v>
      </x:c>
      <x:c r="G43" s="115" t="str">
        <x:v>de_k6_st39_jugendroman_produkt</x:v>
      </x:c>
      <x:c r="H43" s="176" t="e">
        <x:f>HYPERLINK("schueler/de_k6_st39_jugendroman_produkt_app.html","Lernmodul öffnen")</x:f>
      </x:c>
      <x:c r="I43" s="177" t="e">
        <x:f>HYPERLINK("lehrer/de_k6_st39_jugendroman_produkt_orga.html","Vorbereitung öffnen")</x:f>
      </x:c>
    </x:row>
    <x:row r="44" ht="65" customHeight="1">
      <x:c r="A44" s="142" t="n">
        <x:v>6</x:v>
      </x:c>
      <x:c r="B44" s="115" t="str">
        <x:v>Sprechen und Zuhören</x:v>
      </x:c>
      <x:c r="C44" s="148" t="n">
        <x:v>40</x:v>
      </x:c>
      <x:c r="D44" s="115" t="str">
        <x:v>Jugendroman: Konflikte und Entscheidungen: Ergebnisse präsentieren und reflektieren</x:v>
      </x:c>
      <x:c r="E44" s="115" t="str">
        <x:v>Ergebnis kurz vorstellen; zwei vereinbarte Kriterien für Rückmeldung anwenden. Basisniveau mit klaren Teilschritten, Wortlisten, Satzstartern und häufigen Sicherungen.</x:v>
      </x:c>
      <x:c r="F44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44" s="115" t="str">
        <x:v>de_k6_st40_jugendroman_praesentieren</x:v>
      </x:c>
      <x:c r="H44" s="176" t="e">
        <x:f>HYPERLINK("schueler/de_k6_st40_jugendroman_praesentieren_app.html","Lernmodul öffnen")</x:f>
      </x:c>
      <x:c r="I44" s="177" t="e">
        <x:f>HYPERLINK("lehrer/de_k6_st40_jugendroman_praesentieren_orga.html","Vorbereitung öffnen")</x:f>
      </x:c>
    </x:row>
    <x:row r="45" ht="65" customHeight="1">
      <x:c r="A45" s="142" t="n">
        <x:v>6</x:v>
      </x:c>
      <x:c r="B45" s="115" t="str">
        <x:v>Sprechen und Zuhören</x:v>
      </x:c>
      <x:c r="C45" s="148" t="n">
        <x:v>41</x:v>
      </x:c>
      <x:c r="D45" s="115" t="str">
        <x:v>Schwänke, Sagen und komische Geschichten: Hör- oder Leseeinstieg gestalten</x:v>
      </x:c>
      <x:c r="E45" s="115" t="str">
        <x:v>Einstieg über Bild, Hörtext oder kurzen Auszug; Vorwissen zu Schwank und humorvolle Erzählung sammeln und zentrale Wörter klären. Basisniveau mit klaren Teilschritten, Wortlisten, Satzstartern und häufigen Sicherungen.</x:v>
      </x:c>
      <x:c r="F45" s="115" t="str">
        <x:v>Aus Titel, Kontext und Gestaltung Erwartungen an Schwank und humorvolle Erzählung ableiten; erste Hypothesen formulieren und begründen. Erweiterungsniveau mit selbstständigerer Erschließung, zusätzlichen Belegen und begründeten Urteilen.</x:v>
      </x:c>
      <x:c r="G45" s="115" t="str">
        <x:v>de_k6_st41_schwaenke_einstieg</x:v>
      </x:c>
      <x:c r="H45" s="176" t="e">
        <x:f>HYPERLINK("schueler/de_k6_st41_schwaenke_einstieg_app.html","Lernmodul öffnen")</x:f>
      </x:c>
      <x:c r="I45" s="177" t="e">
        <x:f>HYPERLINK("lehrer/de_k6_st41_schwaenke_einstieg_orga.html","Vorbereitung öffnen")</x:f>
      </x:c>
    </x:row>
    <x:row r="46" ht="65" customHeight="1">
      <x:c r="A46" s="142" t="n">
        <x:v>6</x:v>
      </x:c>
      <x:c r="B46" s="115" t="str">
        <x:v>Lesen/Umgang mit Texten</x:v>
      </x:c>
      <x:c r="C46" s="148" t="n">
        <x:v>42</x:v>
      </x:c>
      <x:c r="D46" s="115" t="str">
        <x:v>Schwänke, Sagen und komische Geschichten: den Text mit Lesestrategien erschließen</x:v>
      </x:c>
      <x:c r="E46" s="115" t="str">
        <x:v>Text abschnittsweise lesen; Schlüsselwörter markieren und den Inhalt mit Leitfragen sichern. Basisniveau mit klaren Teilschritten, Wortlisten, Satzstartern und häufigen Sicherungen.</x:v>
      </x:c>
      <x:c r="F46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46" s="115" t="str">
        <x:v>de_k6_st42_schwaenke_erschliessen</x:v>
      </x:c>
      <x:c r="H46" s="176" t="e">
        <x:f>HYPERLINK("schueler/de_k6_st42_schwaenke_erschliessen_app.html","Lernmodul öffnen")</x:f>
      </x:c>
      <x:c r="I46" s="177" t="e">
        <x:f>HYPERLINK("lehrer/de_k6_st42_schwaenke_erschliessen_orga.html","Vorbereitung öffnen")</x:f>
      </x:c>
    </x:row>
    <x:row r="47" ht="65" customHeight="1">
      <x:c r="A47" s="142" t="n">
        <x:v>6</x:v>
      </x:c>
      <x:c r="B47" s="115" t="str">
        <x:v>Lesen/Umgang mit Texten</x:v>
      </x:c>
      <x:c r="C47" s="148" t="n">
        <x:v>43</x:v>
      </x:c>
      <x:c r="D47" s="115" t="str">
        <x:v>Schwänke, Sagen und komische Geschichten: Gattungsmerkmale erkennen</x:v>
      </x:c>
      <x:c r="E47" s="115" t="str">
        <x:v>Merkmale wie Übertreibung, Missverständnis, Pointe mithilfe einer Checkliste zuordnen und an Textstellen zeigen. Basisniveau mit klaren Teilschritten, Wortlisten, Satzstartern und häufigen Sicherungen.</x:v>
      </x:c>
      <x:c r="F47" s="115" t="str">
        <x:v>Merkmale wie Übertreibung, Missverständnis, Pointe textnah belegen und ihre Funktion für Aufbau und Wirkung erklären. Erweiterungsniveau mit selbstständigerer Erschließung, zusätzlichen Belegen und begründeten Urteilen.</x:v>
      </x:c>
      <x:c r="G47" s="115" t="str">
        <x:v>de_k6_st43_schwaenke_merkmale</x:v>
      </x:c>
      <x:c r="H47" s="176" t="e">
        <x:f>HYPERLINK("schueler/de_k6_st43_schwaenke_merkmale_app.html","Lernmodul öffnen")</x:f>
      </x:c>
      <x:c r="I47" s="177" t="e">
        <x:f>HYPERLINK("lehrer/de_k6_st43_schwaenke_merkmale_orga.html","Vorbereitung öffnen")</x:f>
      </x:c>
    </x:row>
    <x:row r="48" ht="65" customHeight="1">
      <x:c r="A48" s="142" t="n">
        <x:v>6</x:v>
      </x:c>
      <x:c r="B48" s="115" t="str">
        <x:v>Lesen/Umgang mit Texten</x:v>
      </x:c>
      <x:c r="C48" s="148" t="n">
        <x:v>44</x:v>
      </x:c>
      <x:c r="D48" s="115" t="str">
        <x:v>Schwänke, Sagen und komische Geschichten: Figuren, Handlung und Konflikt untersuchen</x:v>
      </x:c>
      <x:c r="E48" s="115" t="str">
        <x:v>Figurentypen und gesellschaftliche Kritik mit Figurenkarten oder Handlungsstreifen ordnen; einfache Belege auswählen. Basisniveau mit klaren Teilschritten, Wortlisten, Satzstartern und häufigen Sicherungen.</x:v>
      </x:c>
      <x:c r="F48" s="115" t="str">
        <x:v>Figurentypen und gesellschaftliche Kritik in ihrem Zusammenhang untersuchen; Schlussfolgerungen mit passenden Textbelegen absichern. Erweiterungsniveau mit selbstständigerer Erschließung, zusätzlichen Belegen und begründeten Urteilen.</x:v>
      </x:c>
      <x:c r="G48" s="115" t="str">
        <x:v>de_k6_st44_schwaenke_figuren_handlung</x:v>
      </x:c>
      <x:c r="H48" s="176" t="e">
        <x:f>HYPERLINK("schueler/de_k6_st44_schwaenke_figuren_handlung_app.html","Lernmodul öffnen")</x:f>
      </x:c>
      <x:c r="I48" s="177" t="e">
        <x:f>HYPERLINK("lehrer/de_k6_st44_schwaenke_figuren_handlung_orga.html","Vorbereitung öffnen")</x:f>
      </x:c>
    </x:row>
    <x:row r="49" ht="65" customHeight="1">
      <x:c r="A49" s="142" t="n">
        <x:v>6</x:v>
      </x:c>
      <x:c r="B49" s="115" t="str">
        <x:v>Sprache untersuchen</x:v>
      </x:c>
      <x:c r="C49" s="148" t="n">
        <x:v>45</x:v>
      </x:c>
      <x:c r="D49" s="115" t="str">
        <x:v>Schwänke, Sagen und komische Geschichten: Sprache und Wirkung untersuchen</x:v>
      </x:c>
      <x:c r="E49" s="115" t="str">
        <x:v>Beispiele für Komik durch Wortwahl, Wiederholung und Dialog markieren und ihre Wirkung mit vorgegebenen Begriffen beschreiben. Basisniveau mit klaren Teilschritten, Wortlisten, Satzstartern und häufigen Sicherungen.</x:v>
      </x:c>
      <x:c r="F49" s="115" t="str">
        <x:v>Komik durch Wortwahl, Wiederholung und Dialog fachsprachlich analysieren und auf Figurenzeichnung, Stimmung oder Aussage beziehen. Erweiterungsniveau mit selbstständigerer Erschließung, zusätzlichen Belegen und begründeten Urteilen.</x:v>
      </x:c>
      <x:c r="G49" s="115" t="str">
        <x:v>de_k6_st45_schwaenke_sprache_wirkung</x:v>
      </x:c>
      <x:c r="H49" s="176" t="e">
        <x:f>HYPERLINK("schueler/de_k6_st45_schwaenke_sprache_wirkung_app.html","Lernmodul öffnen")</x:f>
      </x:c>
      <x:c r="I49" s="177" t="e">
        <x:f>HYPERLINK("lehrer/de_k6_st45_schwaenke_sprache_wirkung_orga.html","Vorbereitung öffnen")</x:f>
      </x:c>
    </x:row>
    <x:row r="50" ht="65" customHeight="1">
      <x:c r="A50" s="142" t="n">
        <x:v>6</x:v>
      </x:c>
      <x:c r="B50" s="115" t="str">
        <x:v>Schreiben</x:v>
      </x:c>
      <x:c r="C50" s="148" t="n">
        <x:v>46</x:v>
      </x:c>
      <x:c r="D50" s="115" t="str">
        <x:v>Schwänke, Sagen und komische Geschichten: eine Deutung oder Perspektive vorbereiten</x:v>
      </x:c>
      <x:c r="E50" s="115" t="str">
        <x:v>Eine zentrale Aussage mit Satzstartern formulieren; Beleg und Erklärung in einem Schreibrahmen verbinden. Basisniveau mit klaren Teilschritten, Wortlisten, Satzstartern und häufigen Sicherungen.</x:v>
      </x:c>
      <x:c r="F50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50" s="115" t="str">
        <x:v>de_k6_st46_schwaenke_deutung_planen</x:v>
      </x:c>
      <x:c r="H50" s="176" t="e">
        <x:f>HYPERLINK("schueler/de_k6_st46_schwaenke_deutung_planen_app.html","Lernmodul öffnen")</x:f>
      </x:c>
      <x:c r="I50" s="177" t="e">
        <x:f>HYPERLINK("lehrer/de_k6_st46_schwaenke_deutung_planen_orga.html","Vorbereitung öffnen")</x:f>
      </x:c>
    </x:row>
    <x:row r="51" ht="65" customHeight="1">
      <x:c r="A51" s="142" t="n">
        <x:v>6</x:v>
      </x:c>
      <x:c r="B51" s="115" t="str">
        <x:v>Schreiben</x:v>
      </x:c>
      <x:c r="C51" s="148" t="n">
        <x:v>47</x:v>
      </x:c>
      <x:c r="D51" s="115" t="str">
        <x:v>Schwänke, Sagen und komische Geschichten: szenische Umsetzung gestalten</x:v>
      </x:c>
      <x:c r="E51" s="115" t="str">
        <x:v>Szenische umsetzung nach klaren Vorgaben erstellen; Hilfekarten und Wortbank nutzen. Basisniveau mit klaren Teilschritten, Wortlisten, Satzstartern und häufigen Sicherungen.</x:v>
      </x:c>
      <x:c r="F51" s="115" t="str">
        <x:v>Szenische umsetzung eigenständig, textnah und sprachlich variabel gestalten; Wirkung bewusst planen. Erweiterungsniveau mit selbstständigerer Erschließung, zusätzlichen Belegen und begründeten Urteilen.</x:v>
      </x:c>
      <x:c r="G51" s="115" t="str">
        <x:v>de_k6_st47_schwaenke_produkt</x:v>
      </x:c>
      <x:c r="H51" s="176" t="e">
        <x:f>HYPERLINK("schueler/de_k6_st47_schwaenke_produkt_app.html","Lernmodul öffnen")</x:f>
      </x:c>
      <x:c r="I51" s="177" t="e">
        <x:f>HYPERLINK("lehrer/de_k6_st47_schwaenke_produkt_orga.html","Vorbereitung öffnen")</x:f>
      </x:c>
    </x:row>
    <x:row r="52" ht="65" customHeight="1">
      <x:c r="A52" s="142" t="n">
        <x:v>6</x:v>
      </x:c>
      <x:c r="B52" s="115" t="str">
        <x:v>Sprechen und Zuhören</x:v>
      </x:c>
      <x:c r="C52" s="148" t="n">
        <x:v>48</x:v>
      </x:c>
      <x:c r="D52" s="115" t="str">
        <x:v>Schwänke, Sagen und komische Geschichten: Ergebnisse präsentieren und reflektieren</x:v>
      </x:c>
      <x:c r="E52" s="115" t="str">
        <x:v>Ergebnis kurz vorstellen; zwei vereinbarte Kriterien für Rückmeldung anwenden. Basisniveau mit klaren Teilschritten, Wortlisten, Satzstartern und häufigen Sicherungen.</x:v>
      </x:c>
      <x:c r="F52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52" s="115" t="str">
        <x:v>de_k6_st48_schwaenke_praesentieren</x:v>
      </x:c>
      <x:c r="H52" s="176" t="e">
        <x:f>HYPERLINK("schueler/de_k6_st48_schwaenke_praesentieren_app.html","Lernmodul öffnen")</x:f>
      </x:c>
      <x:c r="I52" s="177" t="e">
        <x:f>HYPERLINK("lehrer/de_k6_st48_schwaenke_praesentieren_orga.html","Vorbereitung öffnen")</x:f>
      </x:c>
    </x:row>
    <x:row r="53" ht="65" customHeight="1">
      <x:c r="A53" s="142" t="n">
        <x:v>6</x:v>
      </x:c>
      <x:c r="B53" s="115" t="str">
        <x:v>Lesen/Umgang mit Texten</x:v>
      </x:c>
      <x:c r="C53" s="148" t="n">
        <x:v>49</x:v>
      </x:c>
      <x:c r="D53" s="115" t="str">
        <x:v>Vorgänge verständlich erklären: Beispieltexte untersuchen</x:v>
      </x:c>
      <x:c r="E53" s="115" t="str">
        <x:v>Ein Beispiel für Vorgangsbeschreibung und Spielanleitung lesen; Aufbau und typische Formulierungen farbig kennzeichnen. Basisniveau mit klaren Teilschritten, Wortlisten, Satzstartern und häufigen Sicherungen.</x:v>
      </x:c>
      <x:c r="F53" s="115" t="str">
        <x:v>Mehrere Beispiele für Vorgangsbeschreibung und Spielanleitung vergleichen; Funktion, Adressat und Qualitätsunterschiede herausarbeiten. Erweiterungsniveau mit selbstständigerer Erschließung, zusätzlichen Belegen und begründeten Urteilen.</x:v>
      </x:c>
      <x:c r="G53" s="115" t="str">
        <x:v>de_k6_st49_vorgang_beispiel</x:v>
      </x:c>
      <x:c r="H53" s="176" t="e">
        <x:f>HYPERLINK("schueler/de_k6_st49_vorgang_beispiel_app.html","Lernmodul öffnen")</x:f>
      </x:c>
      <x:c r="I53" s="177" t="e">
        <x:f>HYPERLINK("lehrer/de_k6_st49_vorgang_beispiel_orga.html","Vorbereitung öffnen")</x:f>
      </x:c>
    </x:row>
    <x:row r="54" ht="65" customHeight="1">
      <x:c r="A54" s="142" t="n">
        <x:v>6</x:v>
      </x:c>
      <x:c r="B54" s="115" t="str">
        <x:v>Schreiben</x:v>
      </x:c>
      <x:c r="C54" s="148" t="n">
        <x:v>50</x:v>
      </x:c>
      <x:c r="D54" s="115" t="str">
        <x:v>Vorgänge verständlich erklären: Schreibziel und Kriterien klären</x:v>
      </x:c>
      <x:c r="E54" s="115" t="str">
        <x:v>Schreibziel „eine Tätigkeit so erklären, dass sie ausführbar ist“ verstehen; eine kurze Kriterienliste auf ein Beispiel anwenden. Basisniveau mit klaren Teilschritten, Wortlisten, Satzstartern und häufigen Sicherungen.</x:v>
      </x:c>
      <x:c r="F54" s="115" t="str">
        <x:v>Schreibziel „eine Tätigkeit so erklären, dass sie ausführbar ist“ präzisieren; Kriterien gewichten und auf unterschiedliche Schreibsituationen übertragen. Erweiterungsniveau mit selbstständigerer Erschließung, zusätzlichen Belegen und begründeten Urteilen.</x:v>
      </x:c>
      <x:c r="G54" s="115" t="str">
        <x:v>de_k6_st50_vorgang_kriterien</x:v>
      </x:c>
      <x:c r="H54" s="176" t="e">
        <x:f>HYPERLINK("schueler/de_k6_st50_vorgang_kriterien_app.html","Lernmodul öffnen")</x:f>
      </x:c>
      <x:c r="I54" s="177" t="e">
        <x:f>HYPERLINK("lehrer/de_k6_st50_vorgang_kriterien_orga.html","Vorbereitung öffnen")</x:f>
      </x:c>
    </x:row>
    <x:row r="55" ht="65" customHeight="1">
      <x:c r="A55" s="142" t="n">
        <x:v>6</x:v>
      </x:c>
      <x:c r="B55" s="115" t="str">
        <x:v>Lesen/Umgang mit Texten</x:v>
      </x:c>
      <x:c r="C55" s="148" t="n">
        <x:v>51</x:v>
      </x:c>
      <x:c r="D55" s="115" t="str">
        <x:v>Vorgänge verständlich erklären: Inhalte auswählen und ordnen</x:v>
      </x:c>
      <x:c r="E55" s="115" t="str">
        <x:v>Material, Arbeitsschritte und Kontrolle mit Leitfragen sammeln und in einer vorgegebenen Reihenfolge ordnen. Basisniveau mit klaren Teilschritten, Wortlisten, Satzstartern und häufigen Sicherungen.</x:v>
      </x:c>
      <x:c r="F55" s="115" t="str">
        <x:v>Material, Arbeitsschritte und Kontrolle selbstständig auswählen, gewichten und in einer passenden Gliederung strukturieren. Erweiterungsniveau mit selbstständigerer Erschließung, zusätzlichen Belegen und begründeten Urteilen.</x:v>
      </x:c>
      <x:c r="G55" s="115" t="str">
        <x:v>de_k6_st51_vorgang_inhalte_ordnen</x:v>
      </x:c>
      <x:c r="H55" s="176" t="e">
        <x:f>HYPERLINK("schueler/de_k6_st51_vorgang_inhalte_ordnen_app.html","Lernmodul öffnen")</x:f>
      </x:c>
      <x:c r="I55" s="177" t="e">
        <x:f>HYPERLINK("lehrer/de_k6_st51_vorgang_inhalte_ordnen_orga.html","Vorbereitung öffnen")</x:f>
      </x:c>
    </x:row>
    <x:row r="56" ht="65" customHeight="1">
      <x:c r="A56" s="142" t="n">
        <x:v>6</x:v>
      </x:c>
      <x:c r="B56" s="115" t="str">
        <x:v>Sprache untersuchen</x:v>
      </x:c>
      <x:c r="C56" s="148" t="n">
        <x:v>52</x:v>
      </x:c>
      <x:c r="D56" s="115" t="str">
        <x:v>Vorgänge verständlich erklären: passende sprachliche Mittel verwenden</x:v>
      </x:c>
      <x:c r="E56" s="115" t="str">
        <x:v>Präsens, Passivumschreibungen, Zeitadverbien in Übungen erkennen und nach Satzmustern anwenden. Basisniveau mit klaren Teilschritten, Wortlisten, Satzstartern und häufigen Sicherungen.</x:v>
      </x:c>
      <x:c r="F56" s="115" t="str">
        <x:v>Präsens, Passivumschreibungen, Zeitadverbien hinsichtlich Wirkung und Angemessenheit prüfen und gezielt variieren. Erweiterungsniveau mit selbstständigerer Erschließung, zusätzlichen Belegen und begründeten Urteilen.</x:v>
      </x:c>
      <x:c r="G56" s="115" t="str">
        <x:v>de_k6_st52_vorgang_sprachmittel</x:v>
      </x:c>
      <x:c r="H56" s="176" t="e">
        <x:f>HYPERLINK("schueler/de_k6_st52_vorgang_sprachmittel_app.html","Lernmodul öffnen")</x:f>
      </x:c>
      <x:c r="I56" s="177" t="e">
        <x:f>HYPERLINK("lehrer/de_k6_st52_vorgang_sprachmittel_orga.html","Vorbereitung öffnen")</x:f>
      </x:c>
    </x:row>
    <x:row r="57" ht="65" customHeight="1">
      <x:c r="A57" s="142" t="n">
        <x:v>6</x:v>
      </x:c>
      <x:c r="B57" s="115" t="str">
        <x:v>Schreiben</x:v>
      </x:c>
      <x:c r="C57" s="148" t="n">
        <x:v>53</x:v>
      </x:c>
      <x:c r="D57" s="115" t="str">
        <x:v>Vorgänge verständlich erklären: einen Schreibplan erstellen</x:v>
      </x:c>
      <x:c r="E57" s="115" t="str">
        <x:v>Einen vorstrukturierten Schreibplan ausfüllen; Einleitung, Hauptteil und Schluss festlegen. Basisniveau mit klaren Teilschritten, Wortlisten, Satzstartern und häufigen Sicherungen.</x:v>
      </x:c>
      <x:c r="F57" s="115" t="str">
        <x:v>Einen eigenen Schreibplan mit Teilzielen, Belegen und sprachlichen Mitteln entwickeln. Erweiterungsniveau mit selbstständigerer Erschließung, zusätzlichen Belegen und begründeten Urteilen.</x:v>
      </x:c>
      <x:c r="G57" s="115" t="str">
        <x:v>de_k6_st53_vorgang_schreibplan</x:v>
      </x:c>
      <x:c r="H57" s="176" t="e">
        <x:f>HYPERLINK("schueler/de_k6_st53_vorgang_schreibplan_app.html","Lernmodul öffnen")</x:f>
      </x:c>
      <x:c r="I57" s="177" t="e">
        <x:f>HYPERLINK("lehrer/de_k6_st53_vorgang_schreibplan_orga.html","Vorbereitung öffnen")</x:f>
      </x:c>
    </x:row>
    <x:row r="58" ht="65" customHeight="1">
      <x:c r="A58" s="142" t="n">
        <x:v>6</x:v>
      </x:c>
      <x:c r="B58" s="115" t="str">
        <x:v>Schreiben</x:v>
      </x:c>
      <x:c r="C58" s="148" t="n">
        <x:v>54</x:v>
      </x:c>
      <x:c r="D58" s="115" t="str">
        <x:v>Vorgänge verständlich erklären: einen ersten Textentwurf verfassen</x:v>
      </x:c>
      <x:c r="E58" s="115" t="str">
        <x:v>Anleitung mit schaubild mithilfe von Schreibrahmen, Satzanfängen und Wortbank verfassen. Basisniveau mit klaren Teilschritten, Wortlisten, Satzstartern und häufigen Sicherungen.</x:v>
      </x:c>
      <x:c r="F58" s="115" t="str">
        <x:v>Anleitung mit schaubild selbstständig, adressatenbezogen und sprachlich differenziert verfassen. Erweiterungsniveau mit selbstständigerer Erschließung, zusätzlichen Belegen und begründeten Urteilen.</x:v>
      </x:c>
      <x:c r="G58" s="115" t="str">
        <x:v>de_k6_st54_vorgang_entwurf</x:v>
      </x:c>
      <x:c r="H58" s="176" t="e">
        <x:f>HYPERLINK("schueler/de_k6_st54_vorgang_entwurf_app.html","Lernmodul öffnen")</x:f>
      </x:c>
      <x:c r="I58" s="177" t="e">
        <x:f>HYPERLINK("lehrer/de_k6_st54_vorgang_entwurf_orga.html","Vorbereitung öffnen")</x:f>
      </x:c>
    </x:row>
    <x:row r="59" ht="65" customHeight="1">
      <x:c r="A59" s="142" t="n">
        <x:v>6</x:v>
      </x:c>
      <x:c r="B59" s="115" t="str">
        <x:v>Schreiben</x:v>
      </x:c>
      <x:c r="C59" s="148" t="n">
        <x:v>55</x:v>
      </x:c>
      <x:c r="D59" s="115" t="str">
        <x:v>Vorgänge verständlich erklären: Text kriteriengeleitet überarbeiten</x:v>
      </x:c>
      <x:c r="E59" s="115" t="str">
        <x:v>Text mit einer kurzen Prüfliste überarbeiten; einen inhaltlichen und einen sprachlichen Fehler verbessern. Basisniveau mit klaren Teilschritten, Wortlisten, Satzstartern und häufigen Sicherungen.</x:v>
      </x:c>
      <x:c r="F59" s="115" t="str">
        <x:v>Text in mehreren Überarbeitungsschritten prüfen; Aufbau, Kohärenz, Stil und Normrichtigkeit gezielt optimieren. Erweiterungsniveau mit selbstständigerer Erschließung, zusätzlichen Belegen und begründeten Urteilen.</x:v>
      </x:c>
      <x:c r="G59" s="115" t="str">
        <x:v>de_k6_st55_vorgang_ueberarbeiten</x:v>
      </x:c>
      <x:c r="H59" s="176" t="e">
        <x:f>HYPERLINK("schueler/de_k6_st55_vorgang_ueberarbeiten_app.html","Lernmodul öffnen")</x:f>
      </x:c>
      <x:c r="I59" s="177" t="e">
        <x:f>HYPERLINK("lehrer/de_k6_st55_vorgang_ueberarbeiten_orga.html","Vorbereitung öffnen")</x:f>
      </x:c>
    </x:row>
    <x:row r="60" ht="65" customHeight="1">
      <x:c r="A60" s="142" t="n">
        <x:v>6</x:v>
      </x:c>
      <x:c r="B60" s="115" t="str">
        <x:v>Sprechen und Zuhören</x:v>
      </x:c>
      <x:c r="C60" s="148" t="n">
        <x:v>56</x:v>
      </x:c>
      <x:c r="D60" s="115" t="str">
        <x:v>Vorgänge verständlich erklären: Texte vorstellen und bewerten</x:v>
      </x:c>
      <x:c r="E60" s="115" t="str">
        <x:v>Ausgewählte Passage vorlesen oder erläutern; Rückmeldung mit einfachen Satzmustern geben. Basisniveau mit klaren Teilschritten, Wortlisten, Satzstartern und häufigen Sicherungen.</x:v>
      </x:c>
      <x:c r="F60" s="115" t="str">
        <x:v>Textwirkung und Schreibentscheidungen erläutern; differenziertes Peer-Feedback geben und begründet annehmen. Erweiterungsniveau mit selbstständigerer Erschließung, zusätzlichen Belegen und begründeten Urteilen.</x:v>
      </x:c>
      <x:c r="G60" s="115" t="str">
        <x:v>de_k6_st56_vorgang_vorstellen</x:v>
      </x:c>
      <x:c r="H60" s="176" t="e">
        <x:f>HYPERLINK("schueler/de_k6_st56_vorgang_vorstellen_app.html","Lernmodul öffnen")</x:f>
      </x:c>
      <x:c r="I60" s="177" t="e">
        <x:f>HYPERLINK("lehrer/de_k6_st56_vorgang_vorstellen_orga.html","Vorbereitung öffnen")</x:f>
      </x:c>
    </x:row>
    <x:row r="61" ht="65" customHeight="1">
      <x:c r="A61" s="142" t="n">
        <x:v>6</x:v>
      </x:c>
      <x:c r="B61" s="115" t="str">
        <x:v>Sprechen und Zuhören</x:v>
      </x:c>
      <x:c r="C61" s="148" t="n">
        <x:v>57</x:v>
      </x:c>
      <x:c r="D61" s="115" t="str">
        <x:v>Gedichte, Moritaten und Balladenvorstufen: Hör- oder Leseeinstieg gestalten</x:v>
      </x:c>
      <x:c r="E61" s="115" t="str">
        <x:v>Einstieg über Bild, Hörtext oder kurzen Auszug; Vorwissen zu erzählende und klangbetonte Gedichte sammeln und zentrale Wörter klären. Basisniveau mit klaren Teilschritten, Wortlisten, Satzstartern und häufigen Sicherungen.</x:v>
      </x:c>
      <x:c r="F61" s="115" t="str">
        <x:v>Aus Titel, Kontext und Gestaltung Erwartungen an erzählende und klangbetonte Gedichte ableiten; erste Hypothesen formulieren und begründen. Erweiterungsniveau mit selbstständigerer Erschließung, zusätzlichen Belegen und begründeten Urteilen.</x:v>
      </x:c>
      <x:c r="G61" s="115" t="str">
        <x:v>de_k6_st57_gedichte_einstieg</x:v>
      </x:c>
      <x:c r="H61" s="176" t="e">
        <x:f>HYPERLINK("schueler/de_k6_st57_gedichte_einstieg_app.html","Lernmodul öffnen")</x:f>
      </x:c>
      <x:c r="I61" s="177" t="e">
        <x:f>HYPERLINK("lehrer/de_k6_st57_gedichte_einstieg_orga.html","Vorbereitung öffnen")</x:f>
      </x:c>
    </x:row>
    <x:row r="62" ht="65" customHeight="1">
      <x:c r="A62" s="142" t="n">
        <x:v>6</x:v>
      </x:c>
      <x:c r="B62" s="115" t="str">
        <x:v>Lesen/Umgang mit Texten</x:v>
      </x:c>
      <x:c r="C62" s="148" t="n">
        <x:v>58</x:v>
      </x:c>
      <x:c r="D62" s="115" t="str">
        <x:v>Gedichte, Moritaten und Balladenvorstufen: den Text mit Lesestrategien erschließen</x:v>
      </x:c>
      <x:c r="E62" s="115" t="str">
        <x:v>Text abschnittsweise lesen; Schlüsselwörter markieren und den Inhalt mit Leitfragen sichern. Basisniveau mit klaren Teilschritten, Wortlisten, Satzstartern und häufigen Sicherungen.</x:v>
      </x:c>
      <x:c r="F62" s="115" t="str">
        <x:v>Lesetechnik passend zum Ziel wählen; Sinnabschnitte, Schlüsselstellen und offene Fragen selbstständig festhalten. Erweiterungsniveau mit selbstständigerer Erschließung, zusätzlichen Belegen und begründeten Urteilen.</x:v>
      </x:c>
      <x:c r="G62" s="115" t="str">
        <x:v>de_k6_st58_gedichte_erschliessen</x:v>
      </x:c>
      <x:c r="H62" s="176" t="e">
        <x:f>HYPERLINK("schueler/de_k6_st58_gedichte_erschliessen_app.html","Lernmodul öffnen")</x:f>
      </x:c>
      <x:c r="I62" s="177" t="e">
        <x:f>HYPERLINK("lehrer/de_k6_st58_gedichte_erschliessen_orga.html","Vorbereitung öffnen")</x:f>
      </x:c>
    </x:row>
    <x:row r="63" ht="65" customHeight="1">
      <x:c r="A63" s="142" t="n">
        <x:v>6</x:v>
      </x:c>
      <x:c r="B63" s="115" t="str">
        <x:v>Lesen/Umgang mit Texten</x:v>
      </x:c>
      <x:c r="C63" s="148" t="n">
        <x:v>59</x:v>
      </x:c>
      <x:c r="D63" s="115" t="str">
        <x:v>Gedichte, Moritaten und Balladenvorstufen: Gattungsmerkmale erkennen</x:v>
      </x:c>
      <x:c r="E63" s="115" t="str">
        <x:v>Merkmale wie Vers, Strophe, Reim, Rhythmus, Handlung mithilfe einer Checkliste zuordnen und an Textstellen zeigen. Basisniveau mit klaren Teilschritten, Wortlisten, Satzstartern und häufigen Sicherungen.</x:v>
      </x:c>
      <x:c r="F63" s="115" t="str">
        <x:v>Merkmale wie Vers, Strophe, Reim, Rhythmus, Handlung textnah belegen und ihre Funktion für Aufbau und Wirkung erklären. Erweiterungsniveau mit selbstständigerer Erschließung, zusätzlichen Belegen und begründeten Urteilen.</x:v>
      </x:c>
      <x:c r="G63" s="115" t="str">
        <x:v>de_k6_st59_gedichte_merkmale</x:v>
      </x:c>
      <x:c r="H63" s="176" t="e">
        <x:f>HYPERLINK("schueler/de_k6_st59_gedichte_merkmale_app.html","Lernmodul öffnen")</x:f>
      </x:c>
      <x:c r="I63" s="177" t="e">
        <x:f>HYPERLINK("lehrer/de_k6_st59_gedichte_merkmale_orga.html","Vorbereitung öffnen")</x:f>
      </x:c>
    </x:row>
    <x:row r="64" ht="65" customHeight="1">
      <x:c r="A64" s="142" t="n">
        <x:v>6</x:v>
      </x:c>
      <x:c r="B64" s="115" t="str">
        <x:v>Lesen/Umgang mit Texten</x:v>
      </x:c>
      <x:c r="C64" s="148" t="n">
        <x:v>60</x:v>
      </x:c>
      <x:c r="D64" s="115" t="str">
        <x:v>Gedichte, Moritaten und Balladenvorstufen: Figuren, Handlung und Konflikt untersuchen</x:v>
      </x:c>
      <x:c r="E64" s="115" t="str">
        <x:v>Stimmung, Sprecher und Spannungsentwicklung mit Figurenkarten oder Handlungsstreifen ordnen; einfache Belege auswählen. Basisniveau mit klaren Teilschritten, Wortlisten, Satzstartern und häufigen Sicherungen.</x:v>
      </x:c>
      <x:c r="F64" s="115" t="str">
        <x:v>Stimmung, Sprecher und Spannungsentwicklung in ihrem Zusammenhang untersuchen; Schlussfolgerungen mit passenden Textbelegen absichern. Erweiterungsniveau mit selbstständigerer Erschließung, zusätzlichen Belegen und begründeten Urteilen.</x:v>
      </x:c>
      <x:c r="G64" s="115" t="str">
        <x:v>de_k6_st60_gedichte_figuren_handlung</x:v>
      </x:c>
      <x:c r="H64" s="176" t="e">
        <x:f>HYPERLINK("schueler/de_k6_st60_gedichte_figuren_handlung_app.html","Lernmodul öffnen")</x:f>
      </x:c>
      <x:c r="I64" s="177" t="e">
        <x:f>HYPERLINK("lehrer/de_k6_st60_gedichte_figuren_handlung_orga.html","Vorbereitung öffnen")</x:f>
      </x:c>
    </x:row>
    <x:row r="65" ht="65" customHeight="1">
      <x:c r="A65" s="142" t="n">
        <x:v>6</x:v>
      </x:c>
      <x:c r="B65" s="115" t="str">
        <x:v>Sprache untersuchen</x:v>
      </x:c>
      <x:c r="C65" s="148" t="n">
        <x:v>61</x:v>
      </x:c>
      <x:c r="D65" s="115" t="str">
        <x:v>Gedichte, Moritaten und Balladenvorstufen: Sprache und Wirkung untersuchen</x:v>
      </x:c>
      <x:c r="E65" s="115" t="str">
        <x:v>Beispiele für Klangfiguren, Wiederholung, bildhafte Sprache markieren und ihre Wirkung mit vorgegebenen Begriffen beschreiben. Basisniveau mit klaren Teilschritten, Wortlisten, Satzstartern und häufigen Sicherungen.</x:v>
      </x:c>
      <x:c r="F65" s="115" t="str">
        <x:v>Klangfiguren, Wiederholung, bildhafte Sprache fachsprachlich analysieren und auf Figurenzeichnung, Stimmung oder Aussage beziehen. Erweiterungsniveau mit selbstständigerer Erschließung, zusätzlichen Belegen und begründeten Urteilen.</x:v>
      </x:c>
      <x:c r="G65" s="115" t="str">
        <x:v>de_k6_st61_gedichte_sprache_wirkung</x:v>
      </x:c>
      <x:c r="H65" s="176" t="e">
        <x:f>HYPERLINK("schueler/de_k6_st61_gedichte_sprache_wirkung_app.html","Lernmodul öffnen")</x:f>
      </x:c>
      <x:c r="I65" s="177" t="e">
        <x:f>HYPERLINK("lehrer/de_k6_st61_gedichte_sprache_wirkung_orga.html","Vorbereitung öffnen")</x:f>
      </x:c>
    </x:row>
    <x:row r="66" ht="65" customHeight="1">
      <x:c r="A66" s="142" t="n">
        <x:v>6</x:v>
      </x:c>
      <x:c r="B66" s="115" t="str">
        <x:v>Schreiben</x:v>
      </x:c>
      <x:c r="C66" s="148" t="n">
        <x:v>62</x:v>
      </x:c>
      <x:c r="D66" s="115" t="str">
        <x:v>Gedichte, Moritaten und Balladenvorstufen: eine Deutung oder Perspektive vorbereiten</x:v>
      </x:c>
      <x:c r="E66" s="115" t="str">
        <x:v>Eine zentrale Aussage mit Satzstartern formulieren; Beleg und Erklärung in einem Schreibrahmen verbinden. Basisniveau mit klaren Teilschritten, Wortlisten, Satzstartern und häufigen Sicherungen.</x:v>
      </x:c>
      <x:c r="F66" s="115" t="str">
        <x:v>Eine schlüssige Deutungshypothese entwickeln; mehrere Belege auswählen, ordnen und gegeneinander abwägen. Erweiterungsniveau mit selbstständigerer Erschließung, zusätzlichen Belegen und begründeten Urteilen.</x:v>
      </x:c>
      <x:c r="G66" s="115" t="str">
        <x:v>de_k6_st62_gedichte_deutung_planen</x:v>
      </x:c>
      <x:c r="H66" s="176" t="e">
        <x:f>HYPERLINK("schueler/de_k6_st62_gedichte_deutung_planen_app.html","Lernmodul öffnen")</x:f>
      </x:c>
      <x:c r="I66" s="177" t="e">
        <x:f>HYPERLINK("lehrer/de_k6_st62_gedichte_deutung_planen_orga.html","Vorbereitung öffnen")</x:f>
      </x:c>
    </x:row>
    <x:row r="67" ht="65" customHeight="1">
      <x:c r="A67" s="142" t="n">
        <x:v>6</x:v>
      </x:c>
      <x:c r="B67" s="115" t="str">
        <x:v>Schreiben</x:v>
      </x:c>
      <x:c r="C67" s="148" t="n">
        <x:v>63</x:v>
      </x:c>
      <x:c r="D67" s="115" t="str">
        <x:v>Gedichte, Moritaten und Balladenvorstufen: Vortrag oder Hörfassung gestalten</x:v>
      </x:c>
      <x:c r="E67" s="115" t="str">
        <x:v>Vortrag oder hörfassung nach klaren Vorgaben erstellen; Hilfekarten und Wortbank nutzen. Basisniveau mit klaren Teilschritten, Wortlisten, Satzstartern und häufigen Sicherungen.</x:v>
      </x:c>
      <x:c r="F67" s="115" t="str">
        <x:v>Vortrag oder hörfassung eigenständig, textnah und sprachlich variabel gestalten; Wirkung bewusst planen. Erweiterungsniveau mit selbstständigerer Erschließung, zusätzlichen Belegen und begründeten Urteilen.</x:v>
      </x:c>
      <x:c r="G67" s="115" t="str">
        <x:v>de_k6_st63_gedichte_produkt</x:v>
      </x:c>
      <x:c r="H67" s="176" t="e">
        <x:f>HYPERLINK("schueler/de_k6_st63_gedichte_produkt_app.html","Lernmodul öffnen")</x:f>
      </x:c>
      <x:c r="I67" s="177" t="e">
        <x:f>HYPERLINK("lehrer/de_k6_st63_gedichte_produkt_orga.html","Vorbereitung öffnen")</x:f>
      </x:c>
    </x:row>
    <x:row r="68" ht="65" customHeight="1">
      <x:c r="A68" s="142" t="n">
        <x:v>6</x:v>
      </x:c>
      <x:c r="B68" s="115" t="str">
        <x:v>Sprechen und Zuhören</x:v>
      </x:c>
      <x:c r="C68" s="148" t="n">
        <x:v>64</x:v>
      </x:c>
      <x:c r="D68" s="115" t="str">
        <x:v>Gedichte, Moritaten und Balladenvorstufen: Ergebnisse präsentieren und reflektieren</x:v>
      </x:c>
      <x:c r="E68" s="115" t="str">
        <x:v>Ergebnis kurz vorstellen; zwei vereinbarte Kriterien für Rückmeldung anwenden. Basisniveau mit klaren Teilschritten, Wortlisten, Satzstartern und häufigen Sicherungen.</x:v>
      </x:c>
      <x:c r="F68" s="115" t="str">
        <x:v>Ergebnis adressatenbezogen präsentieren; Rückmeldungen begründen und die eigene Deutung oder Gestaltung überarbeiten. Erweiterungsniveau mit selbstständigerer Erschließung, zusätzlichen Belegen und begründeten Urteilen.</x:v>
      </x:c>
      <x:c r="G68" s="115" t="str">
        <x:v>de_k6_st64_gedichte_praesentieren</x:v>
      </x:c>
      <x:c r="H68" s="176" t="e">
        <x:f>HYPERLINK("schueler/de_k6_st64_gedichte_praesentieren_app.html","Lernmodul öffnen")</x:f>
      </x:c>
      <x:c r="I68" s="177" t="e">
        <x:f>HYPERLINK("lehrer/de_k6_st64_gedichte_praesentieren_orga.html","Vorbereitung öffnen")</x:f>
      </x:c>
    </x:row>
    <x:row r="69" ht="65" customHeight="1">
      <x:c r="A69" s="142" t="n">
        <x:v>6</x:v>
      </x:c>
      <x:c r="B69" s="115" t="str">
        <x:v>Sprache untersuchen</x:v>
      </x:c>
      <x:c r="C69" s="148" t="n">
        <x:v>65</x:v>
      </x:c>
      <x:c r="D69" s="115" t="str">
        <x:v>Wortbildung und schwierige Schreibungen: Lernstand feststellen</x:v>
      </x:c>
      <x:c r="E69" s="115" t="str">
        <x:v>Kurze Diagnose zu Wortfamilien, Präfixe, Suffixe und Fremdwörter bearbeiten; eigene Unsicherheiten markieren. Basisniveau mit klaren Teilschritten, Wortlisten, Satzstartern und häufigen Sicherungen.</x:v>
      </x:c>
      <x:c r="F69" s="115" t="str">
        <x:v>Diagnose zu Wortfamilien, Präfixe, Suffixe und Fremdwörter auswerten; Fehlermuster benennen und persönliche Lernziele ableiten. Erweiterungsniveau mit selbstständigerer Erschließung, zusätzlichen Belegen und begründeten Urteilen.</x:v>
      </x:c>
      <x:c r="G69" s="115" t="str">
        <x:v>de_k6_st65_wortbildung_diagnose</x:v>
      </x:c>
      <x:c r="H69" s="176" t="e">
        <x:f>HYPERLINK("schueler/de_k6_st65_wortbildung_diagnose_app.html","Lernmodul öffnen")</x:f>
      </x:c>
      <x:c r="I69" s="177" t="e">
        <x:f>HYPERLINK("lehrer/de_k6_st65_wortbildung_diagnose_orga.html","Vorbereitung öffnen")</x:f>
      </x:c>
    </x:row>
    <x:row r="70" ht="65" customHeight="1">
      <x:c r="A70" s="142" t="n">
        <x:v>6</x:v>
      </x:c>
      <x:c r="B70" s="115" t="str">
        <x:v>Sprache untersuchen</x:v>
      </x:c>
      <x:c r="C70" s="148" t="n">
        <x:v>66</x:v>
      </x:c>
      <x:c r="D70" s="115" t="str">
        <x:v>Wortbildung und schwierige Schreibungen: Grundbegriffe sichern</x:v>
      </x:c>
      <x:c r="E70" s="115" t="str">
        <x:v>Wortstamm, Ableitung, Groß- und Kleinschreibung an einfachen Beispielen erkennen und mit Merkkarten sichern. Basisniveau mit klaren Teilschritten, Wortlisten, Satzstartern und häufigen Sicherungen.</x:v>
      </x:c>
      <x:c r="F70" s="115" t="str">
        <x:v>Wortstamm, Ableitung, Groß- und Kleinschreibung fachsprachlich erklären, voneinander abgrenzen und in komplexeren Beispielen bestimmen. Erweiterungsniveau mit selbstständigerer Erschließung, zusätzlichen Belegen und begründeten Urteilen.</x:v>
      </x:c>
      <x:c r="G70" s="115" t="str">
        <x:v>de_k6_st66_wortbildung_grundbegriffe</x:v>
      </x:c>
      <x:c r="H70" s="176" t="e">
        <x:f>HYPERLINK("schueler/de_k6_st66_wortbildung_grundbegriffe_app.html","Lernmodul öffnen")</x:f>
      </x:c>
      <x:c r="I70" s="177" t="e">
        <x:f>HYPERLINK("lehrer/de_k6_st66_wortbildung_grundbegriffe_orga.html","Vorbereitung öffnen")</x:f>
      </x:c>
    </x:row>
    <x:row r="71" ht="65" customHeight="1">
      <x:c r="A71" s="142" t="n">
        <x:v>6</x:v>
      </x:c>
      <x:c r="B71" s="115" t="str">
        <x:v>Sprache untersuchen</x:v>
      </x:c>
      <x:c r="C71" s="148" t="n">
        <x:v>67</x:v>
      </x:c>
      <x:c r="D71" s="115" t="str">
        <x:v>Wortbildung und schwierige Schreibungen: Verfahren anwenden</x:v>
      </x:c>
      <x:c r="E71" s="115" t="str">
        <x:v>Morpheme und Wörterbucharbeit Schritt für Schritt anwenden; Entscheidungen mündlich begründen. Basisniveau mit klaren Teilschritten, Wortlisten, Satzstartern und häufigen Sicherungen.</x:v>
      </x:c>
      <x:c r="F71" s="115" t="str">
        <x:v>Morpheme und Wörterbucharbeit selbstständig auswählen, kombinieren und auf Zweifelsfälle übertragen. Erweiterungsniveau mit selbstständigerer Erschließung, zusätzlichen Belegen und begründeten Urteilen.</x:v>
      </x:c>
      <x:c r="G71" s="115" t="str">
        <x:v>de_k6_st67_wortbildung_verfahren</x:v>
      </x:c>
      <x:c r="H71" s="176" t="e">
        <x:f>HYPERLINK("schueler/de_k6_st67_wortbildung_verfahren_app.html","Lernmodul öffnen")</x:f>
      </x:c>
      <x:c r="I71" s="177" t="e">
        <x:f>HYPERLINK("lehrer/de_k6_st67_wortbildung_verfahren_orga.html","Vorbereitung öffnen")</x:f>
      </x:c>
    </x:row>
    <x:row r="72" ht="65" customHeight="1">
      <x:c r="A72" s="142" t="n">
        <x:v>6</x:v>
      </x:c>
      <x:c r="B72" s="115" t="str">
        <x:v>Sprache untersuchen</x:v>
      </x:c>
      <x:c r="C72" s="148" t="n">
        <x:v>68</x:v>
      </x:c>
      <x:c r="D72" s="115" t="str">
        <x:v>Wortbildung und schwierige Schreibungen: Formen und Funktionen untersuchen</x:v>
      </x:c>
      <x:c r="E72" s="115" t="str">
        <x:v>Formen bilden und ihre Aufgabe im Satz mit Leitfragen beschreiben. Basisniveau mit klaren Teilschritten, Wortlisten, Satzstartern und häufigen Sicherungen.</x:v>
      </x:c>
      <x:c r="F72" s="115" t="str">
        <x:v>Form, Funktion und Wirkung im Satz oder Text untersuchen; alternative Formulierungen vergleichen. Erweiterungsniveau mit selbstständigerer Erschließung, zusätzlichen Belegen und begründeten Urteilen.</x:v>
      </x:c>
      <x:c r="G72" s="115" t="str">
        <x:v>de_k6_st68_wortbildung_funktion</x:v>
      </x:c>
      <x:c r="H72" s="176" t="e">
        <x:f>HYPERLINK("schueler/de_k6_st68_wortbildung_funktion_app.html","Lernmodul öffnen")</x:f>
      </x:c>
      <x:c r="I72" s="177" t="e">
        <x:f>HYPERLINK("lehrer/de_k6_st68_wortbildung_funktion_orga.html","Vorbereitung öffnen")</x:f>
      </x:c>
    </x:row>
    <x:row r="73" ht="65" customHeight="1">
      <x:c r="A73" s="142" t="n">
        <x:v>6</x:v>
      </x:c>
      <x:c r="B73" s="115" t="str">
        <x:v>Schreiben</x:v>
      </x:c>
      <x:c r="C73" s="148" t="n">
        <x:v>69</x:v>
      </x:c>
      <x:c r="D73" s="115" t="str">
        <x:v>Wortbildung und schwierige Schreibungen: Wissen im eigenen Text nutzen</x:v>
      </x:c>
      <x:c r="E73" s="115" t="str">
        <x:v>Sachtexte und eigene fehlerschwerpunkte nach Vorgabe verfassen und die geübten Strukturen farbig markieren. Basisniveau mit klaren Teilschritten, Wortlisten, Satzstartern und häufigen Sicherungen.</x:v>
      </x:c>
      <x:c r="F73" s="115" t="str">
        <x:v>Sachtexte und eigene fehlerschwerpunkte bewusst gestalten und sprachliche Entscheidungen kommentieren. Erweiterungsniveau mit selbstständigerer Erschließung, zusätzlichen Belegen und begründeten Urteilen.</x:v>
      </x:c>
      <x:c r="G73" s="115" t="str">
        <x:v>de_k6_st69_wortbildung_anwenden</x:v>
      </x:c>
      <x:c r="H73" s="176" t="e">
        <x:f>HYPERLINK("schueler/de_k6_st69_wortbildung_anwenden_app.html","Lernmodul öffnen")</x:f>
      </x:c>
      <x:c r="I73" s="177" t="e">
        <x:f>HYPERLINK("lehrer/de_k6_st69_wortbildung_anwenden_orga.html","Vorbereitung öffnen")</x:f>
      </x:c>
    </x:row>
    <x:row r="74" ht="65" customHeight="1">
      <x:c r="A74" s="142" t="n">
        <x:v>6</x:v>
      </x:c>
      <x:c r="B74" s="115" t="str">
        <x:v>Sprache untersuchen</x:v>
      </x:c>
      <x:c r="C74" s="148" t="n">
        <x:v>70</x:v>
      </x:c>
      <x:c r="D74" s="115" t="str">
        <x:v>Wortbildung und schwierige Schreibungen: Fehler finden und korrigieren</x:v>
      </x:c>
      <x:c r="E74" s="115" t="str">
        <x:v>Typische Fehler in kurzen Sätzen finden; passende Regelkarte auswählen und korrigieren. Basisniveau mit klaren Teilschritten, Wortlisten, Satzstartern und häufigen Sicherungen.</x:v>
      </x:c>
      <x:c r="F74" s="115" t="str">
        <x:v>Fehler systematisch diagnostizieren, Regelbezug herstellen und mehrere Korrekturmöglichkeiten bewerten. Erweiterungsniveau mit selbstständigerer Erschließung, zusätzlichen Belegen und begründeten Urteilen.</x:v>
      </x:c>
      <x:c r="G74" s="115" t="str">
        <x:v>de_k6_st70_wortbildung_fehler</x:v>
      </x:c>
      <x:c r="H74" s="176" t="e">
        <x:f>HYPERLINK("schueler/de_k6_st70_wortbildung_fehler_app.html","Lernmodul öffnen")</x:f>
      </x:c>
      <x:c r="I74" s="177" t="e">
        <x:f>HYPERLINK("lehrer/de_k6_st70_wortbildung_fehler_orga.html","Vorbereitung öffnen")</x:f>
      </x:c>
    </x:row>
    <x:row r="75" ht="65" customHeight="1">
      <x:c r="A75" s="142" t="n">
        <x:v>6</x:v>
      </x:c>
      <x:c r="B75" s="115" t="str">
        <x:v>Sprache untersuchen</x:v>
      </x:c>
      <x:c r="C75" s="148" t="n">
        <x:v>71</x:v>
      </x:c>
      <x:c r="D75" s="115" t="str">
        <x:v>Wortbildung und schwierige Schreibungen: Transfer auf unbekannte Beispiele</x:v>
      </x:c>
      <x:c r="E75" s="115" t="str">
        <x:v>Neue Beispiele mit Hilfekarte bearbeiten und Lösungen vergleichen. Basisniveau mit klaren Teilschritten, Wortlisten, Satzstartern und häufigen Sicherungen.</x:v>
      </x:c>
      <x:c r="F75" s="115" t="str">
        <x:v>Unbekannte und mehrdeutige Beispiele selbstständig analysieren; Grenzfälle begründet diskutieren. Erweiterungsniveau mit selbstständigerer Erschließung, zusätzlichen Belegen und begründeten Urteilen.</x:v>
      </x:c>
      <x:c r="G75" s="115" t="str">
        <x:v>de_k6_st71_wortbildung_transfer</x:v>
      </x:c>
      <x:c r="H75" s="176" t="e">
        <x:f>HYPERLINK("schueler/de_k6_st71_wortbildung_transfer_app.html","Lernmodul öffnen")</x:f>
      </x:c>
      <x:c r="I75" s="177" t="e">
        <x:f>HYPERLINK("lehrer/de_k6_st71_wortbildung_transfer_orga.html","Vorbereitung öffnen")</x:f>
      </x:c>
    </x:row>
    <x:row r="76" ht="65" customHeight="1">
      <x:c r="A76" s="142" t="n">
        <x:v>6</x:v>
      </x:c>
      <x:c r="B76" s="115" t="str">
        <x:v>Schreiben</x:v>
      </x:c>
      <x:c r="C76" s="148" t="n">
        <x:v>72</x:v>
      </x:c>
      <x:c r="D76" s="115" t="str">
        <x:v>Wortbildung und schwierige Schreibungen: Lernprodukt und Kompetenzcheck</x:v>
      </x:c>
      <x:c r="E76" s="115" t="str">
        <x:v>Merkblatt oder Übungstext erstellen; Grundregeln in einem kurzen Kompetenzcheck anwenden. Basisniveau mit klaren Teilschritten, Wortlisten, Satzstartern und häufigen Sicherungen.</x:v>
      </x:c>
      <x:c r="F76" s="115" t="str">
        <x:v>Erklärprodukt mit eigenen Beispielen erstellen; Regeln in einem anspruchsvollen Kompetenzcheck sicher anwenden. Erweiterungsniveau mit selbstständigerer Erschließung, zusätzlichen Belegen und begründeten Urteilen.</x:v>
      </x:c>
      <x:c r="G76" s="115" t="str">
        <x:v>de_k6_st72_wortbildung_kompetenzcheck</x:v>
      </x:c>
      <x:c r="H76" s="176" t="e">
        <x:f>HYPERLINK("schueler/de_k6_st72_wortbildung_kompetenzcheck_app.html","Lernmodul öffnen")</x:f>
      </x:c>
      <x:c r="I76" s="177" t="e">
        <x:f>HYPERLINK("lehrer/de_k6_st72_wortbildung_kompetenzcheck_orga.html","Vorbereitung öffnen")</x:f>
      </x:c>
    </x:row>
    <x:row r="77" ht="65" customHeight="1">
      <x:c r="A77" s="142" t="n">
        <x:v>6</x:v>
      </x:c>
      <x:c r="B77" s="115" t="str">
        <x:v>Sprechen und Zuhören</x:v>
      </x:c>
      <x:c r="C77" s="148" t="n">
        <x:v>73</x:v>
      </x:c>
      <x:c r="D77" s="115" t="str">
        <x:v>Recherchieren und einen Kurzvortrag halten: Vorwissen und Positionen klären</x:v>
      </x:c>
      <x:c r="E77" s="115" t="str">
        <x:v>Eigene Erfahrungen zu Informationssuche und Kurzreferat benennen; zentrale Begriffe mit Beispielen klären. Basisniveau mit klaren Teilschritten, Wortlisten, Satzstartern und häufigen Sicherungen.</x:v>
      </x:c>
      <x:c r="F77" s="115" t="str">
        <x:v>Vorwissen zu Informationssuche und Kurzreferat strukturieren; erste Positionen formulieren und mögliche Konflikte benennen. Erweiterungsniveau mit selbstständigerer Erschließung, zusätzlichen Belegen und begründeten Urteilen.</x:v>
      </x:c>
      <x:c r="G77" s="115" t="str">
        <x:v>de_k6_st73_referat_einstieg</x:v>
      </x:c>
      <x:c r="H77" s="176" t="e">
        <x:f>HYPERLINK("schueler/de_k6_st73_referat_einstieg_app.html","Lernmodul öffnen")</x:f>
      </x:c>
      <x:c r="I77" s="177" t="e">
        <x:f>HYPERLINK("lehrer/de_k6_st73_referat_einstieg_orga.html","Vorbereitung öffnen")</x:f>
      </x:c>
    </x:row>
    <x:row r="78" ht="65" customHeight="1">
      <x:c r="A78" s="142" t="n">
        <x:v>6</x:v>
      </x:c>
      <x:c r="B78" s="115" t="str">
        <x:v>Lesen/Umgang mit Texten</x:v>
      </x:c>
      <x:c r="C78" s="148" t="n">
        <x:v>74</x:v>
      </x:c>
      <x:c r="D78" s="115" t="str">
        <x:v>Recherchieren und einen Kurzvortrag halten: Quellen und Materialien erschließen</x:v>
      </x:c>
      <x:c r="E78" s="115" t="str">
        <x:v>Kurze Materialien lesen oder ansehen; Hauptaussagen mit Leitfragen festhalten. Basisniveau mit klaren Teilschritten, Wortlisten, Satzstartern und häufigen Sicherungen.</x:v>
      </x:c>
      <x:c r="F78" s="115" t="str">
        <x:v>Unterschiedliche Materialien selbstständig erschließen; Aussage, Intention und Kontext bestimmen. Erweiterungsniveau mit selbstständigerer Erschließung, zusätzlichen Belegen und begründeten Urteilen.</x:v>
      </x:c>
      <x:c r="G78" s="115" t="str">
        <x:v>de_k6_st74_referat_quellen</x:v>
      </x:c>
      <x:c r="H78" s="176" t="e">
        <x:f>HYPERLINK("schueler/de_k6_st74_referat_quellen_app.html","Lernmodul öffnen")</x:f>
      </x:c>
      <x:c r="I78" s="177" t="e">
        <x:f>HYPERLINK("lehrer/de_k6_st74_referat_quellen_orga.html","Vorbereitung öffnen")</x:f>
      </x:c>
    </x:row>
    <x:row r="79" ht="65" customHeight="1">
      <x:c r="A79" s="142" t="n">
        <x:v>6</x:v>
      </x:c>
      <x:c r="B79" s="115" t="str">
        <x:v>Lesen/Umgang mit Texten</x:v>
      </x:c>
      <x:c r="C79" s="148" t="n">
        <x:v>75</x:v>
      </x:c>
      <x:c r="D79" s="115" t="str">
        <x:v>Recherchieren und einen Kurzvortrag halten: Qualitätskriterien anwenden</x:v>
      </x:c>
      <x:c r="E79" s="115" t="str">
        <x:v>verlässliche Quelle, Stichwortzettel, Bildauswahl in einer Checkliste anwenden und Auffälligkeiten markieren. Basisniveau mit klaren Teilschritten, Wortlisten, Satzstartern und häufigen Sicherungen.</x:v>
      </x:c>
      <x:c r="F79" s="115" t="str">
        <x:v>verlässliche Quelle, Stichwortzettel, Bildauswahl gewichten, auf Grenzfälle anwenden und begründete Qualitätsurteile formulieren. Erweiterungsniveau mit selbstständigerer Erschließung, zusätzlichen Belegen und begründeten Urteilen.</x:v>
      </x:c>
      <x:c r="G79" s="115" t="str">
        <x:v>de_k6_st75_referat_kriterien</x:v>
      </x:c>
      <x:c r="H79" s="176" t="e">
        <x:f>HYPERLINK("schueler/de_k6_st75_referat_kriterien_app.html","Lernmodul öffnen")</x:f>
      </x:c>
      <x:c r="I79" s="177" t="e">
        <x:f>HYPERLINK("lehrer/de_k6_st75_referat_kriterien_orga.html","Vorbereitung öffnen")</x:f>
      </x:c>
    </x:row>
    <x:row r="80" ht="65" customHeight="1">
      <x:c r="A80" s="142" t="n">
        <x:v>6</x:v>
      </x:c>
      <x:c r="B80" s="115" t="str">
        <x:v>Lesen/Umgang mit Texten</x:v>
      </x:c>
      <x:c r="C80" s="148" t="n">
        <x:v>76</x:v>
      </x:c>
      <x:c r="D80" s="115" t="str">
        <x:v>Recherchieren und einen Kurzvortrag halten: Darstellungen vergleichen</x:v>
      </x:c>
      <x:c r="E80" s="115" t="str">
        <x:v>Suchergebnisse und quellenqualität nach vorgegebenen Merkmalen vergleichen. Basisniveau mit klaren Teilschritten, Wortlisten, Satzstartern und häufigen Sicherungen.</x:v>
      </x:c>
      <x:c r="F80" s="115" t="str">
        <x:v>Suchergebnisse und quellenqualität hinsichtlich Informationsauswahl, Gestaltung, Wirkung und Interessen vergleichen. Erweiterungsniveau mit selbstständigerer Erschließung, zusätzlichen Belegen und begründeten Urteilen.</x:v>
      </x:c>
      <x:c r="G80" s="115" t="str">
        <x:v>de_k6_st76_referat_vergleichen</x:v>
      </x:c>
      <x:c r="H80" s="176" t="e">
        <x:f>HYPERLINK("schueler/de_k6_st76_referat_vergleichen_app.html","Lernmodul öffnen")</x:f>
      </x:c>
      <x:c r="I80" s="177" t="e">
        <x:f>HYPERLINK("lehrer/de_k6_st76_referat_vergleichen_orga.html","Vorbereitung öffnen")</x:f>
      </x:c>
    </x:row>
    <x:row r="81" ht="65" customHeight="1">
      <x:c r="A81" s="142" t="n">
        <x:v>6</x:v>
      </x:c>
      <x:c r="B81" s="115" t="str">
        <x:v>Schreiben</x:v>
      </x:c>
      <x:c r="C81" s="148" t="n">
        <x:v>77</x:v>
      </x:c>
      <x:c r="D81" s="115" t="str">
        <x:v>Recherchieren und einen Kurzvortrag halten: Informationen prüfen und ordnen</x:v>
      </x:c>
      <x:c r="E81" s="115" t="str">
        <x:v>Informationen aus vorgegebenen Quellen auswählen; Fundstellen notieren und geordnet ablegen. Basisniveau mit klaren Teilschritten, Wortlisten, Satzstartern und häufigen Sicherungen.</x:v>
      </x:c>
      <x:c r="F81" s="115" t="str">
        <x:v>Recherchefrage entwickeln; Quellen prüfen, Informationen abgleichen und korrekt dokumentieren. Erweiterungsniveau mit selbstständigerer Erschließung, zusätzlichen Belegen und begründeten Urteilen.</x:v>
      </x:c>
      <x:c r="G81" s="115" t="str">
        <x:v>de_k6_st77_referat_recherche</x:v>
      </x:c>
      <x:c r="H81" s="176" t="e">
        <x:f>HYPERLINK("schueler/de_k6_st77_referat_recherche_app.html","Lernmodul öffnen")</x:f>
      </x:c>
      <x:c r="I81" s="177" t="e">
        <x:f>HYPERLINK("lehrer/de_k6_st77_referat_recherche_orga.html","Vorbereitung öffnen")</x:f>
      </x:c>
    </x:row>
    <x:row r="82" ht="65" customHeight="1">
      <x:c r="A82" s="142" t="n">
        <x:v>6</x:v>
      </x:c>
      <x:c r="B82" s="115" t="str">
        <x:v>Schreiben</x:v>
      </x:c>
      <x:c r="C82" s="148" t="n">
        <x:v>78</x:v>
      </x:c>
      <x:c r="D82" s="115" t="str">
        <x:v>Recherchieren und einen Kurzvortrag halten: Produkt planen</x:v>
      </x:c>
      <x:c r="E82" s="115" t="str">
        <x:v>Für Kurzreferat einen vorgegebenen Arbeitsplan ergänzen; Aufgaben verteilen. Basisniveau mit klaren Teilschritten, Wortlisten, Satzstartern und häufigen Sicherungen.</x:v>
      </x:c>
      <x:c r="F82" s="115" t="str">
        <x:v>Für Kurzreferat Zielgruppe, Aufbau, Medienwahl, Zeitplan und Qualitätskontrolle selbstständig festlegen. Erweiterungsniveau mit selbstständigerer Erschließung, zusätzlichen Belegen und begründeten Urteilen.</x:v>
      </x:c>
      <x:c r="G82" s="115" t="str">
        <x:v>de_k6_st78_referat_planen</x:v>
      </x:c>
      <x:c r="H82" s="176" t="e">
        <x:f>HYPERLINK("schueler/de_k6_st78_referat_planen_app.html","Lernmodul öffnen")</x:f>
      </x:c>
      <x:c r="I82" s="177" t="e">
        <x:f>HYPERLINK("lehrer/de_k6_st78_referat_planen_orga.html","Vorbereitung öffnen")</x:f>
      </x:c>
    </x:row>
    <x:row r="83" ht="65" customHeight="1">
      <x:c r="A83" s="142" t="n">
        <x:v>6</x:v>
      </x:c>
      <x:c r="B83" s="115" t="str">
        <x:v>Schreiben</x:v>
      </x:c>
      <x:c r="C83" s="148" t="n">
        <x:v>79</x:v>
      </x:c>
      <x:c r="D83" s="115" t="str">
        <x:v>Recherchieren und einen Kurzvortrag halten: Produkt erstellen</x:v>
      </x:c>
      <x:c r="E83" s="115" t="str">
        <x:v>Kurzreferat mit Vorlage und klaren Teilaufträgen erstellen. Basisniveau mit klaren Teilschritten, Wortlisten, Satzstartern und häufigen Sicherungen.</x:v>
      </x:c>
      <x:c r="F83" s="115" t="str">
        <x:v>Kurzreferat selbstständig, adressatengerecht und quellenbewusst erstellen. Erweiterungsniveau mit selbstständigerer Erschließung, zusätzlichen Belegen und begründeten Urteilen.</x:v>
      </x:c>
      <x:c r="G83" s="115" t="str">
        <x:v>de_k6_st79_referat_erstellen</x:v>
      </x:c>
      <x:c r="H83" s="176" t="e">
        <x:f>HYPERLINK("schueler/de_k6_st79_referat_erstellen_app.html","Lernmodul öffnen")</x:f>
      </x:c>
      <x:c r="I83" s="177" t="e">
        <x:f>HYPERLINK("lehrer/de_k6_st79_referat_erstellen_orga.html","Vorbereitung öffnen")</x:f>
      </x:c>
    </x:row>
    <x:row r="84" ht="65" customHeight="1">
      <x:c r="A84" s="142" t="n">
        <x:v>6</x:v>
      </x:c>
      <x:c r="B84" s="115" t="str">
        <x:v>Sprechen und Zuhören</x:v>
      </x:c>
      <x:c r="C84" s="148" t="n">
        <x:v>80</x:v>
      </x:c>
      <x:c r="D84" s="115" t="str">
        <x:v>Recherchieren und einen Kurzvortrag halten: präsentieren und reflektieren</x:v>
      </x:c>
      <x:c r="E84" s="115" t="str">
        <x:v>Produkt kurz vorstellen; Rückmeldung anhand weniger Kriterien geben und annehmen. Basisniveau mit klaren Teilschritten, Wortlisten, Satzstartern und häufigen Sicherungen.</x:v>
      </x:c>
      <x:c r="F84" s="115" t="str">
        <x:v>Produkt überzeugend präsentieren; Arbeitsprozess, Quellenwahl und Wirkung kritisch reflektieren. Erweiterungsniveau mit selbstständigerer Erschließung, zusätzlichen Belegen und begründeten Urteilen.</x:v>
      </x:c>
      <x:c r="G84" s="115" t="str">
        <x:v>de_k6_st80_referat_reflexion</x:v>
      </x:c>
      <x:c r="H84" s="176" t="e">
        <x:f>HYPERLINK("schueler/de_k6_st80_referat_reflexion_app.html","Lernmodul öffnen")</x:f>
      </x:c>
      <x:c r="I84" s="177" t="e">
        <x:f>HYPERLINK("lehrer/de_k6_st80_referat_reflexion_orga.html","Vorbereitung öffnen")</x:f>
      </x:c>
    </x:row>
    <x:row r="85" ht="65" customHeight="1">
      <x:c r="A85" s="142" t="n">
        <x:v>6</x:v>
      </x:c>
      <x:c r="B85" s="115" t="str">
        <x:v>Lesen/Umgang mit Texten</x:v>
      </x:c>
      <x:c r="C85" s="148" t="n">
        <x:v>81</x:v>
      </x:c>
      <x:c r="D85" s="115" t="str">
        <x:v>Stellung nehmen und werben: Beispieltexte untersuchen</x:v>
      </x:c>
      <x:c r="E85" s="115" t="str">
        <x:v>Ein Beispiel für begründete Stellungnahme und Werbetext lesen; Aufbau und typische Formulierungen farbig kennzeichnen. Basisniveau mit klaren Teilschritten, Wortlisten, Satzstartern und häufigen Sicherungen.</x:v>
      </x:c>
      <x:c r="F85" s="115" t="str">
        <x:v>Mehrere Beispiele für begründete Stellungnahme und Werbetext vergleichen; Funktion, Adressat und Qualitätsunterschiede herausarbeiten. Erweiterungsniveau mit selbstständigerer Erschließung, zusätzlichen Belegen und begründeten Urteilen.</x:v>
      </x:c>
      <x:c r="G85" s="115" t="str">
        <x:v>de_k6_st81_stellungnahme_beispiel</x:v>
      </x:c>
      <x:c r="H85" s="176" t="e">
        <x:f>HYPERLINK("schueler/de_k6_st81_stellungnahme_beispiel_app.html","Lernmodul öffnen")</x:f>
      </x:c>
      <x:c r="I85" s="177" t="e">
        <x:f>HYPERLINK("lehrer/de_k6_st81_stellungnahme_beispiel_orga.html","Vorbereitung öffnen")</x:f>
      </x:c>
    </x:row>
    <x:row r="86" ht="65" customHeight="1">
      <x:c r="A86" s="142" t="n">
        <x:v>6</x:v>
      </x:c>
      <x:c r="B86" s="115" t="str">
        <x:v>Schreiben</x:v>
      </x:c>
      <x:c r="C86" s="148" t="n">
        <x:v>82</x:v>
      </x:c>
      <x:c r="D86" s="115" t="str">
        <x:v>Stellung nehmen und werben: Schreibziel und Kriterien klären</x:v>
      </x:c>
      <x:c r="E86" s="115" t="str">
        <x:v>Schreibziel „eine Meinung mit nachvollziehbaren Gründen vertreten“ verstehen; eine kurze Kriterienliste auf ein Beispiel anwenden. Basisniveau mit klaren Teilschritten, Wortlisten, Satzstartern und häufigen Sicherungen.</x:v>
      </x:c>
      <x:c r="F86" s="115" t="str">
        <x:v>Schreibziel „eine Meinung mit nachvollziehbaren Gründen vertreten“ präzisieren; Kriterien gewichten und auf unterschiedliche Schreibsituationen übertragen. Erweiterungsniveau mit selbstständigerer Erschließung, zusätzlichen Belegen und begründeten Urteilen.</x:v>
      </x:c>
      <x:c r="G86" s="115" t="str">
        <x:v>de_k6_st82_stellungnahme_kriterien</x:v>
      </x:c>
      <x:c r="H86" s="176" t="e">
        <x:f>HYPERLINK("schueler/de_k6_st82_stellungnahme_kriterien_app.html","Lernmodul öffnen")</x:f>
      </x:c>
      <x:c r="I86" s="177" t="e">
        <x:f>HYPERLINK("lehrer/de_k6_st82_stellungnahme_kriterien_orga.html","Vorbereitung öffnen")</x:f>
      </x:c>
    </x:row>
    <x:row r="87" ht="65" customHeight="1">
      <x:c r="A87" s="142" t="n">
        <x:v>6</x:v>
      </x:c>
      <x:c r="B87" s="115" t="str">
        <x:v>Lesen/Umgang mit Texten</x:v>
      </x:c>
      <x:c r="C87" s="148" t="n">
        <x:v>83</x:v>
      </x:c>
      <x:c r="D87" s="115" t="str">
        <x:v>Stellung nehmen und werben: Inhalte auswählen und ordnen</x:v>
      </x:c>
      <x:c r="E87" s="115" t="str">
        <x:v>Behauptung, Begründung und Beispiel mit Leitfragen sammeln und in einer vorgegebenen Reihenfolge ordnen. Basisniveau mit klaren Teilschritten, Wortlisten, Satzstartern und häufigen Sicherungen.</x:v>
      </x:c>
      <x:c r="F87" s="115" t="str">
        <x:v>Behauptung, Begründung und Beispiel selbstständig auswählen, gewichten und in einer passenden Gliederung strukturieren. Erweiterungsniveau mit selbstständigerer Erschließung, zusätzlichen Belegen und begründeten Urteilen.</x:v>
      </x:c>
      <x:c r="G87" s="115" t="str">
        <x:v>de_k6_st83_stellungnahme_inhalte_ordnen</x:v>
      </x:c>
      <x:c r="H87" s="176" t="e">
        <x:f>HYPERLINK("schueler/de_k6_st83_stellungnahme_inhalte_ordnen_app.html","Lernmodul öffnen")</x:f>
      </x:c>
      <x:c r="I87" s="177" t="e">
        <x:f>HYPERLINK("lehrer/de_k6_st83_stellungnahme_inhalte_ordnen_orga.html","Vorbereitung öffnen")</x:f>
      </x:c>
    </x:row>
    <x:row r="88" ht="65" customHeight="1">
      <x:c r="A88" s="142" t="n">
        <x:v>6</x:v>
      </x:c>
      <x:c r="B88" s="115" t="str">
        <x:v>Sprache untersuchen</x:v>
      </x:c>
      <x:c r="C88" s="148" t="n">
        <x:v>84</x:v>
      </x:c>
      <x:c r="D88" s="115" t="str">
        <x:v>Stellung nehmen und werben: passende sprachliche Mittel verwenden</x:v>
      </x:c>
      <x:c r="E88" s="115" t="str">
        <x:v>wertende Wörter, Appell, Werbesprache in Übungen erkennen und nach Satzmustern anwenden. Basisniveau mit klaren Teilschritten, Wortlisten, Satzstartern und häufigen Sicherungen.</x:v>
      </x:c>
      <x:c r="F88" s="115" t="str">
        <x:v>wertende Wörter, Appell, Werbesprache hinsichtlich Wirkung und Angemessenheit prüfen und gezielt variieren. Erweiterungsniveau mit selbstständigerer Erschließung, zusätzlichen Belegen und begründeten Urteilen.</x:v>
      </x:c>
      <x:c r="G88" s="115" t="str">
        <x:v>de_k6_st84_stellungnahme_sprachmittel</x:v>
      </x:c>
      <x:c r="H88" s="176" t="e">
        <x:f>HYPERLINK("schueler/de_k6_st84_stellungnahme_sprachmittel_app.html","Lernmodul öffnen")</x:f>
      </x:c>
      <x:c r="I88" s="177" t="e">
        <x:f>HYPERLINK("lehrer/de_k6_st84_stellungnahme_sprachmittel_orga.html","Vorbereitung öffnen")</x:f>
      </x:c>
    </x:row>
    <x:row r="89" ht="65" customHeight="1">
      <x:c r="A89" s="142" t="n">
        <x:v>6</x:v>
      </x:c>
      <x:c r="B89" s="115" t="str">
        <x:v>Schreiben</x:v>
      </x:c>
      <x:c r="C89" s="148" t="n">
        <x:v>85</x:v>
      </x:c>
      <x:c r="D89" s="115" t="str">
        <x:v>Stellung nehmen und werben: einen Schreibplan erstellen</x:v>
      </x:c>
      <x:c r="E89" s="115" t="str">
        <x:v>Einen vorstrukturierten Schreibplan ausfüllen; Einleitung, Hauptteil und Schluss festlegen. Basisniveau mit klaren Teilschritten, Wortlisten, Satzstartern und häufigen Sicherungen.</x:v>
      </x:c>
      <x:c r="F89" s="115" t="str">
        <x:v>Einen eigenen Schreibplan mit Teilzielen, Belegen und sprachlichen Mitteln entwickeln. Erweiterungsniveau mit selbstständigerer Erschließung, zusätzlichen Belegen und begründeten Urteilen.</x:v>
      </x:c>
      <x:c r="G89" s="115" t="str">
        <x:v>de_k6_st85_stellungnahme_schreibplan</x:v>
      </x:c>
      <x:c r="H89" s="176" t="e">
        <x:f>HYPERLINK("schueler/de_k6_st85_stellungnahme_schreibplan_app.html","Lernmodul öffnen")</x:f>
      </x:c>
      <x:c r="I89" s="177" t="e">
        <x:f>HYPERLINK("lehrer/de_k6_st85_stellungnahme_schreibplan_orga.html","Vorbereitung öffnen")</x:f>
      </x:c>
    </x:row>
    <x:row r="90" ht="65" customHeight="1">
      <x:c r="A90" s="142" t="n">
        <x:v>6</x:v>
      </x:c>
      <x:c r="B90" s="115" t="str">
        <x:v>Schreiben</x:v>
      </x:c>
      <x:c r="C90" s="148" t="n">
        <x:v>86</x:v>
      </x:c>
      <x:c r="D90" s="115" t="str">
        <x:v>Stellung nehmen und werben: einen ersten Textentwurf verfassen</x:v>
      </x:c>
      <x:c r="E90" s="115" t="str">
        <x:v>Stellungnahme oder werbeanzeige mithilfe von Schreibrahmen, Satzanfängen und Wortbank verfassen. Basisniveau mit klaren Teilschritten, Wortlisten, Satzstartern und häufigen Sicherungen.</x:v>
      </x:c>
      <x:c r="F90" s="115" t="str">
        <x:v>Stellungnahme oder werbeanzeige selbstständig, adressatenbezogen und sprachlich differenziert verfassen. Erweiterungsniveau mit selbstständigerer Erschließung, zusätzlichen Belegen und begründeten Urteilen.</x:v>
      </x:c>
      <x:c r="G90" s="115" t="str">
        <x:v>de_k6_st86_stellungnahme_entwurf</x:v>
      </x:c>
      <x:c r="H90" s="176" t="e">
        <x:f>HYPERLINK("schueler/de_k6_st86_stellungnahme_entwurf_app.html","Lernmodul öffnen")</x:f>
      </x:c>
      <x:c r="I90" s="177" t="e">
        <x:f>HYPERLINK("lehrer/de_k6_st86_stellungnahme_entwurf_orga.html","Vorbereitung öffnen")</x:f>
      </x:c>
    </x:row>
    <x:row r="91" ht="65" customHeight="1">
      <x:c r="A91" s="142" t="n">
        <x:v>6</x:v>
      </x:c>
      <x:c r="B91" s="115" t="str">
        <x:v>Schreiben</x:v>
      </x:c>
      <x:c r="C91" s="148" t="n">
        <x:v>87</x:v>
      </x:c>
      <x:c r="D91" s="115" t="str">
        <x:v>Stellung nehmen und werben: Text kriteriengeleitet überarbeiten</x:v>
      </x:c>
      <x:c r="E91" s="115" t="str">
        <x:v>Text mit einer kurzen Prüfliste überarbeiten; einen inhaltlichen und einen sprachlichen Fehler verbessern. Basisniveau mit klaren Teilschritten, Wortlisten, Satzstartern und häufigen Sicherungen.</x:v>
      </x:c>
      <x:c r="F91" s="115" t="str">
        <x:v>Text in mehreren Überarbeitungsschritten prüfen; Aufbau, Kohärenz, Stil und Normrichtigkeit gezielt optimieren. Erweiterungsniveau mit selbstständigerer Erschließung, zusätzlichen Belegen und begründeten Urteilen.</x:v>
      </x:c>
      <x:c r="G91" s="115" t="str">
        <x:v>de_k6_st87_stellungnahme_ueberarbeiten</x:v>
      </x:c>
      <x:c r="H91" s="176" t="e">
        <x:f>HYPERLINK("schueler/de_k6_st87_stellungnahme_ueberarbeiten_app.html","Lernmodul öffnen")</x:f>
      </x:c>
      <x:c r="I91" s="177" t="e">
        <x:f>HYPERLINK("lehrer/de_k6_st87_stellungnahme_ueberarbeiten_orga.html","Vorbereitung öffnen")</x:f>
      </x:c>
    </x:row>
    <x:row r="92" ht="65" customHeight="1">
      <x:c r="A92" s="142" t="n">
        <x:v>6</x:v>
      </x:c>
      <x:c r="B92" s="115" t="str">
        <x:v>Sprechen und Zuhören</x:v>
      </x:c>
      <x:c r="C92" s="148" t="n">
        <x:v>88</x:v>
      </x:c>
      <x:c r="D92" s="115" t="str">
        <x:v>Stellung nehmen und werben: Texte vorstellen und bewerten</x:v>
      </x:c>
      <x:c r="E92" s="115" t="str">
        <x:v>Ausgewählte Passage vorlesen oder erläutern; Rückmeldung mit einfachen Satzmustern geben. Basisniveau mit klaren Teilschritten, Wortlisten, Satzstartern und häufigen Sicherungen.</x:v>
      </x:c>
      <x:c r="F92" s="115" t="str">
        <x:v>Textwirkung und Schreibentscheidungen erläutern; differenziertes Peer-Feedback geben und begründet annehmen. Erweiterungsniveau mit selbstständigerer Erschließung, zusätzlichen Belegen und begründeten Urteilen.</x:v>
      </x:c>
      <x:c r="G92" s="115" t="str">
        <x:v>de_k6_st88_stellungnahme_vorstellen</x:v>
      </x:c>
      <x:c r="H92" s="176" t="e">
        <x:f>HYPERLINK("schueler/de_k6_st88_stellungnahme_vorstellen_app.html","Lernmodul öffnen")</x:f>
      </x:c>
      <x:c r="I92" s="177" t="e">
        <x:f>HYPERLINK("lehrer/de_k6_st88_stellungnahme_vorstellen_orga.html","Vorbereitung öffnen")</x:f>
      </x:c>
    </x:row>
    <x:row r="93" ht="65" customHeight="1">
      <x:c r="A93" s="142" t="n">
        <x:v>6</x:v>
      </x:c>
      <x:c r="B93" s="115" t="str">
        <x:v>Sprechen und Zuhören</x:v>
      </x:c>
      <x:c r="C93" s="148" t="n">
        <x:v>89</x:v>
      </x:c>
      <x:c r="D93" s="115" t="str">
        <x:v>Theater, Hörspiel und Jahresrückblick: Vorwissen und Positionen klären</x:v>
      </x:c>
      <x:c r="E93" s="115" t="str">
        <x:v>Eigene Erfahrungen zu Sketch, Hörspiel und szenisches Spiel benennen; zentrale Begriffe mit Beispielen klären. Basisniveau mit klaren Teilschritten, Wortlisten, Satzstartern und häufigen Sicherungen.</x:v>
      </x:c>
      <x:c r="F93" s="115" t="str">
        <x:v>Vorwissen zu Sketch, Hörspiel und szenisches Spiel strukturieren; erste Positionen formulieren und mögliche Konflikte benennen. Erweiterungsniveau mit selbstständigerer Erschließung, zusätzlichen Belegen und begründeten Urteilen.</x:v>
      </x:c>
      <x:c r="G93" s="115" t="str">
        <x:v>de_k6_st89_theater_einstieg</x:v>
      </x:c>
      <x:c r="H93" s="176" t="e">
        <x:f>HYPERLINK("schueler/de_k6_st89_theater_einstieg_app.html","Lernmodul öffnen")</x:f>
      </x:c>
      <x:c r="I93" s="177" t="e">
        <x:f>HYPERLINK("lehrer/de_k6_st89_theater_einstieg_orga.html","Vorbereitung öffnen")</x:f>
      </x:c>
    </x:row>
    <x:row r="94" ht="65" customHeight="1">
      <x:c r="A94" s="142" t="n">
        <x:v>6</x:v>
      </x:c>
      <x:c r="B94" s="115" t="str">
        <x:v>Lesen/Umgang mit Texten</x:v>
      </x:c>
      <x:c r="C94" s="148" t="n">
        <x:v>90</x:v>
      </x:c>
      <x:c r="D94" s="115" t="str">
        <x:v>Theater, Hörspiel und Jahresrückblick: Quellen und Materialien erschließen</x:v>
      </x:c>
      <x:c r="E94" s="115" t="str">
        <x:v>Kurze Materialien lesen oder ansehen; Hauptaussagen mit Leitfragen festhalten. Basisniveau mit klaren Teilschritten, Wortlisten, Satzstartern und häufigen Sicherungen.</x:v>
      </x:c>
      <x:c r="F94" s="115" t="str">
        <x:v>Unterschiedliche Materialien selbstständig erschließen; Aussage, Intention und Kontext bestimmen. Erweiterungsniveau mit selbstständigerer Erschließung, zusätzlichen Belegen und begründeten Urteilen.</x:v>
      </x:c>
      <x:c r="G94" s="115" t="str">
        <x:v>de_k6_st90_theater_quellen</x:v>
      </x:c>
      <x:c r="H94" s="176" t="e">
        <x:f>HYPERLINK("schueler/de_k6_st90_theater_quellen_app.html","Lernmodul öffnen")</x:f>
      </x:c>
      <x:c r="I94" s="177" t="e">
        <x:f>HYPERLINK("lehrer/de_k6_st90_theater_quellen_orga.html","Vorbereitung öffnen")</x:f>
      </x:c>
    </x:row>
    <x:row r="95" ht="65" customHeight="1">
      <x:c r="A95" s="142" t="n">
        <x:v>6</x:v>
      </x:c>
      <x:c r="B95" s="115" t="str">
        <x:v>Lesen/Umgang mit Texten</x:v>
      </x:c>
      <x:c r="C95" s="148" t="n">
        <x:v>91</x:v>
      </x:c>
      <x:c r="D95" s="115" t="str">
        <x:v>Theater, Hörspiel und Jahresrückblick: Qualitätskriterien anwenden</x:v>
      </x:c>
      <x:c r="E95" s="115" t="str">
        <x:v>Rollen, Sprechweise, Geräusche und Regiehinweise in einer Checkliste anwenden und Auffälligkeiten markieren. Basisniveau mit klaren Teilschritten, Wortlisten, Satzstartern und häufigen Sicherungen.</x:v>
      </x:c>
      <x:c r="F95" s="115" t="str">
        <x:v>Rollen, Sprechweise, Geräusche und Regiehinweise gewichten, auf Grenzfälle anwenden und begründete Qualitätsurteile formulieren. Erweiterungsniveau mit selbstständigerer Erschließung, zusätzlichen Belegen und begründeten Urteilen.</x:v>
      </x:c>
      <x:c r="G95" s="115" t="str">
        <x:v>de_k6_st91_theater_kriterien</x:v>
      </x:c>
      <x:c r="H95" s="176" t="e">
        <x:f>HYPERLINK("schueler/de_k6_st91_theater_kriterien_app.html","Lernmodul öffnen")</x:f>
      </x:c>
      <x:c r="I95" s="177" t="e">
        <x:f>HYPERLINK("lehrer/de_k6_st91_theater_kriterien_orga.html","Vorbereitung öffnen")</x:f>
      </x:c>
    </x:row>
    <x:row r="96" ht="65" customHeight="1">
      <x:c r="A96" s="142" t="n">
        <x:v>6</x:v>
      </x:c>
      <x:c r="B96" s="115" t="str">
        <x:v>Lesen/Umgang mit Texten</x:v>
      </x:c>
      <x:c r="C96" s="148" t="n">
        <x:v>92</x:v>
      </x:c>
      <x:c r="D96" s="115" t="str">
        <x:v>Theater, Hörspiel und Jahresrückblick: Darstellungen vergleichen</x:v>
      </x:c>
      <x:c r="E96" s="115" t="str">
        <x:v>Textvorlage und inszenierung nach vorgegebenen Merkmalen vergleichen. Basisniveau mit klaren Teilschritten, Wortlisten, Satzstartern und häufigen Sicherungen.</x:v>
      </x:c>
      <x:c r="F96" s="115" t="str">
        <x:v>Textvorlage und inszenierung hinsichtlich Informationsauswahl, Gestaltung, Wirkung und Interessen vergleichen. Erweiterungsniveau mit selbstständigerer Erschließung, zusätzlichen Belegen und begründeten Urteilen.</x:v>
      </x:c>
      <x:c r="G96" s="115" t="str">
        <x:v>de_k6_st92_theater_vergleichen</x:v>
      </x:c>
      <x:c r="H96" s="176" t="e">
        <x:f>HYPERLINK("schueler/de_k6_st92_theater_vergleichen_app.html","Lernmodul öffnen")</x:f>
      </x:c>
      <x:c r="I96" s="177" t="e">
        <x:f>HYPERLINK("lehrer/de_k6_st92_theater_vergleichen_orga.html","Vorbereitung öffnen")</x:f>
      </x:c>
    </x:row>
    <x:row r="97" ht="65" customHeight="1">
      <x:c r="A97" s="142" t="n">
        <x:v>6</x:v>
      </x:c>
      <x:c r="B97" s="115" t="str">
        <x:v>Schreiben</x:v>
      </x:c>
      <x:c r="C97" s="148" t="n">
        <x:v>93</x:v>
      </x:c>
      <x:c r="D97" s="115" t="str">
        <x:v>Theater, Hörspiel und Jahresrückblick: Informationen prüfen und ordnen</x:v>
      </x:c>
      <x:c r="E97" s="115" t="str">
        <x:v>Informationen aus vorgegebenen Quellen auswählen; Fundstellen notieren und geordnet ablegen. Basisniveau mit klaren Teilschritten, Wortlisten, Satzstartern und häufigen Sicherungen.</x:v>
      </x:c>
      <x:c r="F97" s="115" t="str">
        <x:v>Recherchefrage entwickeln; Quellen prüfen, Informationen abgleichen und korrekt dokumentieren. Erweiterungsniveau mit selbstständigerer Erschließung, zusätzlichen Belegen und begründeten Urteilen.</x:v>
      </x:c>
      <x:c r="G97" s="115" t="str">
        <x:v>de_k6_st93_theater_recherche</x:v>
      </x:c>
      <x:c r="H97" s="176" t="e">
        <x:f>HYPERLINK("schueler/de_k6_st93_theater_recherche_app.html","Lernmodul öffnen")</x:f>
      </x:c>
      <x:c r="I97" s="177" t="e">
        <x:f>HYPERLINK("lehrer/de_k6_st93_theater_recherche_orga.html","Vorbereitung öffnen")</x:f>
      </x:c>
    </x:row>
    <x:row r="98" ht="65" customHeight="1">
      <x:c r="A98" s="142" t="n">
        <x:v>6</x:v>
      </x:c>
      <x:c r="B98" s="115" t="str">
        <x:v>Schreiben</x:v>
      </x:c>
      <x:c r="C98" s="148" t="n">
        <x:v>94</x:v>
      </x:c>
      <x:c r="D98" s="115" t="str">
        <x:v>Theater, Hörspiel und Jahresrückblick: Produkt planen</x:v>
      </x:c>
      <x:c r="E98" s="115" t="str">
        <x:v>Für kurze Aufführung einen vorgegebenen Arbeitsplan ergänzen; Aufgaben verteilen. Basisniveau mit klaren Teilschritten, Wortlisten, Satzstartern und häufigen Sicherungen.</x:v>
      </x:c>
      <x:c r="F98" s="115" t="str">
        <x:v>Für kurze Aufführung Zielgruppe, Aufbau, Medienwahl, Zeitplan und Qualitätskontrolle selbstständig festlegen. Erweiterungsniveau mit selbstständigerer Erschließung, zusätzlichen Belegen und begründeten Urteilen.</x:v>
      </x:c>
      <x:c r="G98" s="115" t="str">
        <x:v>de_k6_st94_theater_planen</x:v>
      </x:c>
      <x:c r="H98" s="176" t="e">
        <x:f>HYPERLINK("schueler/de_k6_st94_theater_planen_app.html","Lernmodul öffnen")</x:f>
      </x:c>
      <x:c r="I98" s="177" t="e">
        <x:f>HYPERLINK("lehrer/de_k6_st94_theater_planen_orga.html","Vorbereitung öffnen")</x:f>
      </x:c>
    </x:row>
    <x:row r="99" ht="65" customHeight="1">
      <x:c r="A99" s="142" t="n">
        <x:v>6</x:v>
      </x:c>
      <x:c r="B99" s="115" t="str">
        <x:v>Schreiben</x:v>
      </x:c>
      <x:c r="C99" s="148" t="n">
        <x:v>95</x:v>
      </x:c>
      <x:c r="D99" s="115" t="str">
        <x:v>Theater, Hörspiel und Jahresrückblick: Produkt erstellen</x:v>
      </x:c>
      <x:c r="E99" s="115" t="str">
        <x:v>Kurze aufführung mit Vorlage und klaren Teilaufträgen erstellen. Basisniveau mit klaren Teilschritten, Wortlisten, Satzstartern und häufigen Sicherungen.</x:v>
      </x:c>
      <x:c r="F99" s="115" t="str">
        <x:v>Kurze aufführung selbstständig, adressatengerecht und quellenbewusst erstellen. Erweiterungsniveau mit selbstständigerer Erschließung, zusätzlichen Belegen und begründeten Urteilen.</x:v>
      </x:c>
      <x:c r="G99" s="115" t="str">
        <x:v>de_k6_st95_theater_erstellen</x:v>
      </x:c>
      <x:c r="H99" s="176" t="e">
        <x:f>HYPERLINK("schueler/de_k6_st95_theater_erstellen_app.html","Lernmodul öffnen")</x:f>
      </x:c>
      <x:c r="I99" s="177" t="e">
        <x:f>HYPERLINK("lehrer/de_k6_st95_theater_erstellen_orga.html","Vorbereitung öffnen")</x:f>
      </x:c>
    </x:row>
    <x:row r="100" ht="65" customHeight="1">
      <x:c r="A100" s="143" t="n">
        <x:v>6</x:v>
      </x:c>
      <x:c r="B100" s="118" t="str">
        <x:v>Sprechen und Zuhören</x:v>
      </x:c>
      <x:c r="C100" s="149" t="n">
        <x:v>96</x:v>
      </x:c>
      <x:c r="D100" s="118" t="str">
        <x:v>Theater, Hörspiel und Jahresrückblick: präsentieren und reflektieren</x:v>
      </x:c>
      <x:c r="E100" s="118" t="str">
        <x:v>Produkt kurz vorstellen; Rückmeldung anhand weniger Kriterien geben und annehmen. Basisniveau mit klaren Teilschritten, Wortlisten, Satzstartern und häufigen Sicherungen.</x:v>
      </x:c>
      <x:c r="F100" s="118" t="str">
        <x:v>Produkt überzeugend präsentieren; Arbeitsprozess, Quellenwahl und Wirkung kritisch reflektieren. Erweiterungsniveau mit selbstständigerer Erschließung, zusätzlichen Belegen und begründeten Urteilen.</x:v>
      </x:c>
      <x:c r="G100" s="118" t="str">
        <x:v>de_k6_st96_theater_reflexion</x:v>
      </x:c>
      <x:c r="H100" s="178" t="e">
        <x:f>HYPERLINK("schueler/de_k6_st96_theater_reflexion_app.html","Lernmodul öffnen")</x:f>
      </x:c>
      <x:c r="I100" s="179" t="e">
        <x:f>HYPERLINK("lehrer/de_k6_st96_theater_reflexion_orga.html","Vorbereitung öffnen")</x:f>
      </x:c>
    </x:row>
  </x:sheetData>
  <x:mergeCells>
    <x:mergeCell ref="A1:I1"/>
    <x:mergeCell ref="A2:I2"/>
  </x:mergeCells>
  <x:conditionalFormatting sqref="B5:B100">
    <x:cfRule type="expression" dxfId="8" priority="1">
      <x:formula>B5="Sprechen und Zuhören"</x:formula>
    </x:cfRule>
    <x:cfRule type="expression" dxfId="9" priority="2">
      <x:formula>B5="Schreiben"</x:formula>
    </x:cfRule>
    <x:cfRule type="expression" dxfId="10" priority="3">
      <x:formula>B5="Lesen/Umgang mit Texten"</x:formula>
    </x:cfRule>
    <x:cfRule type="expression" dxfId="11" priority="4">
      <x:formula>B5="Sprache untersuchen"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d82d1329ac44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0" hidden="0" customWidth="1"/>
    <x:col min="4" max="4" width="42" hidden="0" customWidth="1"/>
    <x:col min="5" max="5" width="47" hidden="0" customWidth="1"/>
    <x:col min="6" max="6" width="47" hidden="0" customWidth="1"/>
    <x:col min="7" max="7" width="42" hidden="0" customWidth="1"/>
    <x:col min="8" max="8" width="22" hidden="0" customWidth="1"/>
    <x:col min="9" max="9" width="24" hidden="0" customWidth="1"/>
  </x:cols>
  <x:sheetData>
    <x:row r="1" ht="34" customHeight="1">
      <x:c r="A1" s="131" t="str">
        <x:v>Deutsch Klasse 7 – Schüler-Module und Lehrer-Vorbereitungen</x:v>
      </x:c>
      <x:c r="B1" s="131"/>
      <x:c r="C1" s="131"/>
      <x:c r="D1" s="131"/>
      <x:c r="E1" s="131"/>
      <x:c r="F1" s="131"/>
      <x:c r="G1" s="131"/>
      <x:c r="H1" s="131"/>
      <x:c r="I1" s="131"/>
    </x:row>
    <x:row r="2" ht="42" customHeight="1">
      <x:c r="A2" s="13" t="str">
        <x:v>Jede Unterrichtsstunde ist mit einem Schüler-Lernmodul und einer Lehrer-Vorbereitung verknüpft. Die Links funktionieren, wenn die Excel-Datei neben den Ordnern „schueler“ und „lehrer“ liegt.</x:v>
      </x:c>
      <x:c r="B2" s="13"/>
      <x:c r="C2" s="13"/>
      <x:c r="D2" s="13"/>
      <x:c r="E2" s="13"/>
      <x:c r="F2" s="13"/>
      <x:c r="G2" s="13"/>
      <x:c r="H2" s="13"/>
      <x:c r="I2" s="13"/>
    </x:row>
    <x:row r="4" ht="42" customHeight="1">
      <x:c r="A4" s="135" t="str">
        <x:v>Klasse</x:v>
      </x:c>
      <x:c r="B4" s="136" t="str">
        <x:v>Lernbereich</x:v>
      </x:c>
      <x:c r="C4" s="136" t="str">
        <x:v>Stunde</x:v>
      </x:c>
      <x:c r="D4" s="136" t="str">
        <x:v>Thema der Unterrichtsstunde</x:v>
      </x:c>
      <x:c r="E4" s="136" t="str">
        <x:v>Inhalt HSA</x:v>
      </x:c>
      <x:c r="F4" s="136" t="str">
        <x:v>Inhalt RSA</x:v>
      </x:c>
      <x:c r="G4" s="136" t="str">
        <x:v>Modul-ID</x:v>
      </x:c>
      <x:c r="H4" s="136" t="str">
        <x:v>Schüler-Modul</x:v>
      </x:c>
      <x:c r="I4" s="137" t="str">
        <x:v>Lehrer-Vorbereitung</x:v>
      </x:c>
    </x:row>
    <x:row r="5" ht="65" customHeight="1">
      <x:c r="A5" s="141" t="n">
        <x:v>7</x:v>
      </x:c>
      <x:c r="B5" s="112" t="str">
        <x:v>Sprechen und Zuhören</x:v>
      </x:c>
      <x:c r="C5" s="147" t="n">
        <x:v>1</x:v>
      </x:c>
      <x:c r="D5" s="112" t="str">
        <x:v>Kommunikation und Sprachregister: Vorwissen und Positionen klären</x:v>
      </x:c>
      <x:c r="E5" s="112" t="str">
        <x:v>Eigene Erfahrungen zu Gespräche in Alltag, Schule und Öffentlichkeit benennen; zentrale Begriffe mit Beispielen klären. Kurs-I-Niveau: reduzierte Textmenge, Leitfragen, vorstrukturierte Verfahren und alltagsnahe Transferaufgaben.</x:v>
      </x:c>
      <x:c r="F5" s="112" t="str">
        <x:v>Vorwissen zu Gespräche in Alltag, Schule und Öffentlichkeit strukturieren; erste Positionen formulieren und mögliche Konflikte benennen. Kurs-II-Niveau: komplexere Texte, selbstständige Verfahren, Fachbegriffe und vertiefte Deutung oder Bewertung.</x:v>
      </x:c>
      <x:c r="G5" s="112" t="str">
        <x:v>de_k7_st01_kommunikation_einstieg</x:v>
      </x:c>
      <x:c r="H5" s="174" t="e">
        <x:f>HYPERLINK("schueler/de_k7_st01_kommunikation_einstieg_app.html","Lernmodul öffnen")</x:f>
      </x:c>
      <x:c r="I5" s="175" t="e">
        <x:f>HYPERLINK("lehrer/de_k7_st01_kommunikation_einstieg_orga.html","Vorbereitung öffnen")</x:f>
      </x:c>
    </x:row>
    <x:row r="6" ht="65" customHeight="1">
      <x:c r="A6" s="142" t="n">
        <x:v>7</x:v>
      </x:c>
      <x:c r="B6" s="115" t="str">
        <x:v>Lesen/Umgang mit Texten</x:v>
      </x:c>
      <x:c r="C6" s="148" t="n">
        <x:v>2</x:v>
      </x:c>
      <x:c r="D6" s="115" t="str">
        <x:v>Kommunikation und Sprachregister: Quellen und Materialien erschließen</x:v>
      </x:c>
      <x:c r="E6" s="115" t="str">
        <x:v>Kurze Materialien lesen oder ansehen; Hauptaussagen mit Leitfragen festhalten. Kurs-I-Niveau: reduzierte Textmenge, Leitfragen, vorstrukturierte Verfahren und alltagsnahe Transferaufgaben.</x:v>
      </x:c>
      <x:c r="F6" s="115" t="str">
        <x:v>Unterschiedliche Materialien selbstständig erschließen; Aussage, Intention und Kontext bestimmen. Kurs-II-Niveau: komplexere Texte, selbstständige Verfahren, Fachbegriffe und vertiefte Deutung oder Bewertung.</x:v>
      </x:c>
      <x:c r="G6" s="115" t="str">
        <x:v>de_k7_st02_kommunikation_quellen</x:v>
      </x:c>
      <x:c r="H6" s="176" t="e">
        <x:f>HYPERLINK("schueler/de_k7_st02_kommunikation_quellen_app.html","Lernmodul öffnen")</x:f>
      </x:c>
      <x:c r="I6" s="177" t="e">
        <x:f>HYPERLINK("lehrer/de_k7_st02_kommunikation_quellen_orga.html","Vorbereitung öffnen")</x:f>
      </x:c>
    </x:row>
    <x:row r="7" ht="65" customHeight="1">
      <x:c r="A7" s="142" t="n">
        <x:v>7</x:v>
      </x:c>
      <x:c r="B7" s="115" t="str">
        <x:v>Lesen/Umgang mit Texten</x:v>
      </x:c>
      <x:c r="C7" s="148" t="n">
        <x:v>3</x:v>
      </x:c>
      <x:c r="D7" s="115" t="str">
        <x:v>Kommunikation und Sprachregister: Qualitätskriterien anwenden</x:v>
      </x:c>
      <x:c r="E7" s="115" t="str">
        <x:v>Gesprächsregeln, Standardsprache, adressatengerechte Wortwahl in einer Checkliste anwenden und Auffälligkeiten markieren. Kurs-I-Niveau: reduzierte Textmenge, Leitfragen, vorstrukturierte Verfahren und alltagsnahe Transferaufgaben.</x:v>
      </x:c>
      <x:c r="F7" s="115" t="str">
        <x:v>Gesprächsregeln, Standardsprache, adressatengerechte Wortwahl gewichten, auf Grenzfälle anwenden und begründete Qualitätsurteile formulieren. Kurs-II-Niveau: komplexere Texte, selbstständige Verfahren, Fachbegriffe und vertiefte Deutung oder Bewertung.</x:v>
      </x:c>
      <x:c r="G7" s="115" t="str">
        <x:v>de_k7_st03_kommunikation_kriterien</x:v>
      </x:c>
      <x:c r="H7" s="176" t="e">
        <x:f>HYPERLINK("schueler/de_k7_st03_kommunikation_kriterien_app.html","Lernmodul öffnen")</x:f>
      </x:c>
      <x:c r="I7" s="177" t="e">
        <x:f>HYPERLINK("lehrer/de_k7_st03_kommunikation_kriterien_orga.html","Vorbereitung öffnen")</x:f>
      </x:c>
    </x:row>
    <x:row r="8" ht="65" customHeight="1">
      <x:c r="A8" s="142" t="n">
        <x:v>7</x:v>
      </x:c>
      <x:c r="B8" s="115" t="str">
        <x:v>Lesen/Umgang mit Texten</x:v>
      </x:c>
      <x:c r="C8" s="148" t="n">
        <x:v>4</x:v>
      </x:c>
      <x:c r="D8" s="115" t="str">
        <x:v>Kommunikation und Sprachregister: Darstellungen vergleichen</x:v>
      </x:c>
      <x:c r="E8" s="115" t="str">
        <x:v>Privates und formelles sprachhandeln nach vorgegebenen Merkmalen vergleichen. Kurs-I-Niveau: reduzierte Textmenge, Leitfragen, vorstrukturierte Verfahren und alltagsnahe Transferaufgaben.</x:v>
      </x:c>
      <x:c r="F8" s="115" t="str">
        <x:v>Privates und formelles sprachhandeln hinsichtlich Informationsauswahl, Gestaltung, Wirkung und Interessen vergleichen. Kurs-II-Niveau: komplexere Texte, selbstständige Verfahren, Fachbegriffe und vertiefte Deutung oder Bewertung.</x:v>
      </x:c>
      <x:c r="G8" s="115" t="str">
        <x:v>de_k7_st04_kommunikation_vergleichen</x:v>
      </x:c>
      <x:c r="H8" s="176" t="e">
        <x:f>HYPERLINK("schueler/de_k7_st04_kommunikation_vergleichen_app.html","Lernmodul öffnen")</x:f>
      </x:c>
      <x:c r="I8" s="177" t="e">
        <x:f>HYPERLINK("lehrer/de_k7_st04_kommunikation_vergleichen_orga.html","Vorbereitung öffnen")</x:f>
      </x:c>
    </x:row>
    <x:row r="9" ht="65" customHeight="1">
      <x:c r="A9" s="142" t="n">
        <x:v>7</x:v>
      </x:c>
      <x:c r="B9" s="115" t="str">
        <x:v>Schreiben</x:v>
      </x:c>
      <x:c r="C9" s="148" t="n">
        <x:v>5</x:v>
      </x:c>
      <x:c r="D9" s="115" t="str">
        <x:v>Kommunikation und Sprachregister: Informationen prüfen und ordnen</x:v>
      </x:c>
      <x:c r="E9" s="115" t="str">
        <x:v>Informationen aus vorgegebenen Quellen auswählen; Fundstellen notieren und geordnet ablegen. Kurs-I-Niveau: reduzierte Textmenge, Leitfragen, vorstrukturierte Verfahren und alltagsnahe Transferaufgaben.</x:v>
      </x:c>
      <x:c r="F9" s="115" t="str">
        <x:v>Recherchefrage entwickeln; Quellen prüfen, Informationen abgleichen und korrekt dokumentieren. Kurs-II-Niveau: komplexere Texte, selbstständige Verfahren, Fachbegriffe und vertiefte Deutung oder Bewertung.</x:v>
      </x:c>
      <x:c r="G9" s="115" t="str">
        <x:v>de_k7_st05_kommunikation_recherche</x:v>
      </x:c>
      <x:c r="H9" s="176" t="e">
        <x:f>HYPERLINK("schueler/de_k7_st05_kommunikation_recherche_app.html","Lernmodul öffnen")</x:f>
      </x:c>
      <x:c r="I9" s="177" t="e">
        <x:f>HYPERLINK("lehrer/de_k7_st05_kommunikation_recherche_orga.html","Vorbereitung öffnen")</x:f>
      </x:c>
    </x:row>
    <x:row r="10" ht="65" customHeight="1">
      <x:c r="A10" s="142" t="n">
        <x:v>7</x:v>
      </x:c>
      <x:c r="B10" s="115" t="str">
        <x:v>Schreiben</x:v>
      </x:c>
      <x:c r="C10" s="148" t="n">
        <x:v>6</x:v>
      </x:c>
      <x:c r="D10" s="115" t="str">
        <x:v>Kommunikation und Sprachregister: Produkt planen</x:v>
      </x:c>
      <x:c r="E10" s="115" t="str">
        <x:v>Für Gesprächsanalyse einen vorgegebenen Arbeitsplan ergänzen; Aufgaben verteilen. Kurs-I-Niveau: reduzierte Textmenge, Leitfragen, vorstrukturierte Verfahren und alltagsnahe Transferaufgaben.</x:v>
      </x:c>
      <x:c r="F10" s="115" t="str">
        <x:v>Für Gesprächsanalyse Zielgruppe, Aufbau, Medienwahl, Zeitplan und Qualitätskontrolle selbstständig festlegen. Kurs-II-Niveau: komplexere Texte, selbstständige Verfahren, Fachbegriffe und vertiefte Deutung oder Bewertung.</x:v>
      </x:c>
      <x:c r="G10" s="115" t="str">
        <x:v>de_k7_st06_kommunikation_planen</x:v>
      </x:c>
      <x:c r="H10" s="176" t="e">
        <x:f>HYPERLINK("schueler/de_k7_st06_kommunikation_planen_app.html","Lernmodul öffnen")</x:f>
      </x:c>
      <x:c r="I10" s="177" t="e">
        <x:f>HYPERLINK("lehrer/de_k7_st06_kommunikation_planen_orga.html","Vorbereitung öffnen")</x:f>
      </x:c>
    </x:row>
    <x:row r="11" ht="65" customHeight="1">
      <x:c r="A11" s="142" t="n">
        <x:v>7</x:v>
      </x:c>
      <x:c r="B11" s="115" t="str">
        <x:v>Schreiben</x:v>
      </x:c>
      <x:c r="C11" s="148" t="n">
        <x:v>7</x:v>
      </x:c>
      <x:c r="D11" s="115" t="str">
        <x:v>Kommunikation und Sprachregister: Produkt erstellen</x:v>
      </x:c>
      <x:c r="E11" s="115" t="str">
        <x:v>Gesprächsanalyse mit Vorlage und klaren Teilaufträgen erstellen. Kurs-I-Niveau: reduzierte Textmenge, Leitfragen, vorstrukturierte Verfahren und alltagsnahe Transferaufgaben.</x:v>
      </x:c>
      <x:c r="F11" s="115" t="str">
        <x:v>Gesprächsanalyse selbstständig, adressatengerecht und quellenbewusst erstellen. Kurs-II-Niveau: komplexere Texte, selbstständige Verfahren, Fachbegriffe und vertiefte Deutung oder Bewertung.</x:v>
      </x:c>
      <x:c r="G11" s="115" t="str">
        <x:v>de_k7_st07_kommunikation_erstellen</x:v>
      </x:c>
      <x:c r="H11" s="176" t="e">
        <x:f>HYPERLINK("schueler/de_k7_st07_kommunikation_erstellen_app.html","Lernmodul öffnen")</x:f>
      </x:c>
      <x:c r="I11" s="177" t="e">
        <x:f>HYPERLINK("lehrer/de_k7_st07_kommunikation_erstellen_orga.html","Vorbereitung öffnen")</x:f>
      </x:c>
    </x:row>
    <x:row r="12" ht="65" customHeight="1">
      <x:c r="A12" s="142" t="n">
        <x:v>7</x:v>
      </x:c>
      <x:c r="B12" s="115" t="str">
        <x:v>Sprechen und Zuhören</x:v>
      </x:c>
      <x:c r="C12" s="148" t="n">
        <x:v>8</x:v>
      </x:c>
      <x:c r="D12" s="115" t="str">
        <x:v>Kommunikation und Sprachregister: präsentieren und reflektieren</x:v>
      </x:c>
      <x:c r="E12" s="115" t="str">
        <x:v>Produkt kurz vorstellen; Rückmeldung anhand weniger Kriterien geben und annehmen. Kurs-I-Niveau: reduzierte Textmenge, Leitfragen, vorstrukturierte Verfahren und alltagsnahe Transferaufgaben.</x:v>
      </x:c>
      <x:c r="F12" s="115" t="str">
        <x:v>Produkt überzeugend präsentieren; Arbeitsprozess, Quellenwahl und Wirkung kritisch reflektieren. Kurs-II-Niveau: komplexere Texte, selbstständige Verfahren, Fachbegriffe und vertiefte Deutung oder Bewertung.</x:v>
      </x:c>
      <x:c r="G12" s="115" t="str">
        <x:v>de_k7_st08_kommunikation_reflexion</x:v>
      </x:c>
      <x:c r="H12" s="176" t="e">
        <x:f>HYPERLINK("schueler/de_k7_st08_kommunikation_reflexion_app.html","Lernmodul öffnen")</x:f>
      </x:c>
      <x:c r="I12" s="177" t="e">
        <x:f>HYPERLINK("lehrer/de_k7_st08_kommunikation_reflexion_orga.html","Vorbereitung öffnen")</x:f>
      </x:c>
    </x:row>
    <x:row r="13" ht="65" customHeight="1">
      <x:c r="A13" s="142" t="n">
        <x:v>7</x:v>
      </x:c>
      <x:c r="B13" s="115" t="str">
        <x:v>Sprechen und Zuhören</x:v>
      </x:c>
      <x:c r="C13" s="148" t="n">
        <x:v>9</x:v>
      </x:c>
      <x:c r="D13" s="115" t="str">
        <x:v>Kurzgeschichten erschließen: Hör- oder Leseeinstieg gestalten</x:v>
      </x:c>
      <x:c r="E13" s="115" t="str">
        <x:v>Einstieg über Bild, Hörtext oder kurzen Auszug; Vorwissen zu Kurzgeschichten des 20. und 21. Jahrhunderts sammeln und zentrale Wörter klären. Kurs-I-Niveau: reduzierte Textmenge, Leitfragen, vorstrukturierte Verfahren und alltagsnahe Transferaufgaben.</x:v>
      </x:c>
      <x:c r="F13" s="115" t="str">
        <x:v>Aus Titel, Kontext und Gestaltung Erwartungen an Kurzgeschichten des 20. und 21. Jahrhunderts ableiten; erste Hypothesen formulieren und begründen. Kurs-II-Niveau: komplexere Texte, selbstständige Verfahren, Fachbegriffe und vertiefte Deutung oder Bewertung.</x:v>
      </x:c>
      <x:c r="G13" s="115" t="str">
        <x:v>de_k7_st09_kurzgeschichten_einstieg</x:v>
      </x:c>
      <x:c r="H13" s="176" t="e">
        <x:f>HYPERLINK("schueler/de_k7_st09_kurzgeschichten_einstieg_app.html","Lernmodul öffnen")</x:f>
      </x:c>
      <x:c r="I13" s="177" t="e">
        <x:f>HYPERLINK("lehrer/de_k7_st09_kurzgeschichten_einstieg_orga.html","Vorbereitung öffnen")</x:f>
      </x:c>
    </x:row>
    <x:row r="14" ht="65" customHeight="1">
      <x:c r="A14" s="142" t="n">
        <x:v>7</x:v>
      </x:c>
      <x:c r="B14" s="115" t="str">
        <x:v>Lesen/Umgang mit Texten</x:v>
      </x:c>
      <x:c r="C14" s="148" t="n">
        <x:v>10</x:v>
      </x:c>
      <x:c r="D14" s="115" t="str">
        <x:v>Kurzgeschichten erschließen: den Text mit Lesestrategien erschließen</x:v>
      </x:c>
      <x:c r="E14" s="115" t="str">
        <x:v>Text abschnittsweise lesen; Schlüsselwörter markieren und den Inhalt mit Leitfragen sichern. Kurs-I-Niveau: reduzierte Textmenge, Leitfragen, vorstrukturierte Verfahren und alltagsnahe Transferaufgaben.</x:v>
      </x:c>
      <x:c r="F14" s="115" t="str">
        <x:v>Lesetechnik passend zum Ziel wählen; Sinnabschnitte, Schlüsselstellen und offene Fragen selbstständig festhalten. Kurs-II-Niveau: komplexere Texte, selbstständige Verfahren, Fachbegriffe und vertiefte Deutung oder Bewertung.</x:v>
      </x:c>
      <x:c r="G14" s="115" t="str">
        <x:v>de_k7_st10_kurzgeschichten_erschliessen</x:v>
      </x:c>
      <x:c r="H14" s="176" t="e">
        <x:f>HYPERLINK("schueler/de_k7_st10_kurzgeschichten_erschliessen_app.html","Lernmodul öffnen")</x:f>
      </x:c>
      <x:c r="I14" s="177" t="e">
        <x:f>HYPERLINK("lehrer/de_k7_st10_kurzgeschichten_erschliessen_orga.html","Vorbereitung öffnen")</x:f>
      </x:c>
    </x:row>
    <x:row r="15" ht="65" customHeight="1">
      <x:c r="A15" s="142" t="n">
        <x:v>7</x:v>
      </x:c>
      <x:c r="B15" s="115" t="str">
        <x:v>Lesen/Umgang mit Texten</x:v>
      </x:c>
      <x:c r="C15" s="148" t="n">
        <x:v>11</x:v>
      </x:c>
      <x:c r="D15" s="115" t="str">
        <x:v>Kurzgeschichten erschließen: Gattungsmerkmale erkennen</x:v>
      </x:c>
      <x:c r="E15" s="115" t="str">
        <x:v>Merkmale wie unmittelbarer Einstieg, Ausschnitt, offener Schluss, Alltagssituation mithilfe einer Checkliste zuordnen und an Textstellen zeigen. Kurs-I-Niveau: reduzierte Textmenge, Leitfragen, vorstrukturierte Verfahren und alltagsnahe Transferaufgaben.</x:v>
      </x:c>
      <x:c r="F15" s="115" t="str">
        <x:v>Merkmale wie unmittelbarer Einstieg, Ausschnitt, offener Schluss, Alltagssituation textnah belegen und ihre Funktion für Aufbau und Wirkung erklären. Kurs-II-Niveau: komplexere Texte, selbstständige Verfahren, Fachbegriffe und vertiefte Deutung oder Bewertung.</x:v>
      </x:c>
      <x:c r="G15" s="115" t="str">
        <x:v>de_k7_st11_kurzgeschichten_merkmale</x:v>
      </x:c>
      <x:c r="H15" s="176" t="e">
        <x:f>HYPERLINK("schueler/de_k7_st11_kurzgeschichten_merkmale_app.html","Lernmodul öffnen")</x:f>
      </x:c>
      <x:c r="I15" s="177" t="e">
        <x:f>HYPERLINK("lehrer/de_k7_st11_kurzgeschichten_merkmale_orga.html","Vorbereitung öffnen")</x:f>
      </x:c>
    </x:row>
    <x:row r="16" ht="65" customHeight="1">
      <x:c r="A16" s="142" t="n">
        <x:v>7</x:v>
      </x:c>
      <x:c r="B16" s="115" t="str">
        <x:v>Lesen/Umgang mit Texten</x:v>
      </x:c>
      <x:c r="C16" s="148" t="n">
        <x:v>12</x:v>
      </x:c>
      <x:c r="D16" s="115" t="str">
        <x:v>Kurzgeschichten erschließen: Figuren, Handlung und Konflikt untersuchen</x:v>
      </x:c>
      <x:c r="E16" s="115" t="str">
        <x:v>Wendepunkt, Leerstellen und Konflikt mit Figurenkarten oder Handlungsstreifen ordnen; einfache Belege auswählen. Kurs-I-Niveau: reduzierte Textmenge, Leitfragen, vorstrukturierte Verfahren und alltagsnahe Transferaufgaben.</x:v>
      </x:c>
      <x:c r="F16" s="115" t="str">
        <x:v>Wendepunkt, Leerstellen und Konflikt in ihrem Zusammenhang untersuchen; Schlussfolgerungen mit passenden Textbelegen absichern. Kurs-II-Niveau: komplexere Texte, selbstständige Verfahren, Fachbegriffe und vertiefte Deutung oder Bewertung.</x:v>
      </x:c>
      <x:c r="G16" s="115" t="str">
        <x:v>de_k7_st12_kurzgeschichten_figuren_handlung</x:v>
      </x:c>
      <x:c r="H16" s="176" t="e">
        <x:f>HYPERLINK("schueler/de_k7_st12_kurzgeschichten_figuren_handlung_app.html","Lernmodul öffnen")</x:f>
      </x:c>
      <x:c r="I16" s="177" t="e">
        <x:f>HYPERLINK("lehrer/de_k7_st12_kurzgeschichten_figuren_handlung_orga.html","Vorbereitung öffnen")</x:f>
      </x:c>
    </x:row>
    <x:row r="17" ht="65" customHeight="1">
      <x:c r="A17" s="142" t="n">
        <x:v>7</x:v>
      </x:c>
      <x:c r="B17" s="115" t="str">
        <x:v>Sprache untersuchen</x:v>
      </x:c>
      <x:c r="C17" s="148" t="n">
        <x:v>13</x:v>
      </x:c>
      <x:c r="D17" s="115" t="str">
        <x:v>Kurzgeschichten erschließen: Sprache und Wirkung untersuchen</x:v>
      </x:c>
      <x:c r="E17" s="115" t="str">
        <x:v>Beispiele für knappe Sprache, Symbole, Dialoge markieren und ihre Wirkung mit vorgegebenen Begriffen beschreiben. Kurs-I-Niveau: reduzierte Textmenge, Leitfragen, vorstrukturierte Verfahren und alltagsnahe Transferaufgaben.</x:v>
      </x:c>
      <x:c r="F17" s="115" t="str">
        <x:v>knappe Sprache, Symbole, Dialoge fachsprachlich analysieren und auf Figurenzeichnung, Stimmung oder Aussage beziehen. Kurs-II-Niveau: komplexere Texte, selbstständige Verfahren, Fachbegriffe und vertiefte Deutung oder Bewertung.</x:v>
      </x:c>
      <x:c r="G17" s="115" t="str">
        <x:v>de_k7_st13_kurzgeschichten_sprache_wirkung</x:v>
      </x:c>
      <x:c r="H17" s="176" t="e">
        <x:f>HYPERLINK("schueler/de_k7_st13_kurzgeschichten_sprache_wirkung_app.html","Lernmodul öffnen")</x:f>
      </x:c>
      <x:c r="I17" s="177" t="e">
        <x:f>HYPERLINK("lehrer/de_k7_st13_kurzgeschichten_sprache_wirkung_orga.html","Vorbereitung öffnen")</x:f>
      </x:c>
    </x:row>
    <x:row r="18" ht="65" customHeight="1">
      <x:c r="A18" s="142" t="n">
        <x:v>7</x:v>
      </x:c>
      <x:c r="B18" s="115" t="str">
        <x:v>Schreiben</x:v>
      </x:c>
      <x:c r="C18" s="148" t="n">
        <x:v>14</x:v>
      </x:c>
      <x:c r="D18" s="115" t="str">
        <x:v>Kurzgeschichten erschließen: eine Deutung oder Perspektive vorbereiten</x:v>
      </x:c>
      <x:c r="E18" s="115" t="str">
        <x:v>Eine zentrale Aussage mit Satzstartern formulieren; Beleg und Erklärung in einem Schreibrahmen verbinden. Kurs-I-Niveau: reduzierte Textmenge, Leitfragen, vorstrukturierte Verfahren und alltagsnahe Transferaufgaben.</x:v>
      </x:c>
      <x:c r="F18" s="115" t="str">
        <x:v>Eine schlüssige Deutungshypothese entwickeln; mehrere Belege auswählen, ordnen und gegeneinander abwägen. Kurs-II-Niveau: komplexere Texte, selbstständige Verfahren, Fachbegriffe und vertiefte Deutung oder Bewertung.</x:v>
      </x:c>
      <x:c r="G18" s="115" t="str">
        <x:v>de_k7_st14_kurzgeschichten_deutung_planen</x:v>
      </x:c>
      <x:c r="H18" s="176" t="e">
        <x:f>HYPERLINK("schueler/de_k7_st14_kurzgeschichten_deutung_planen_app.html","Lernmodul öffnen")</x:f>
      </x:c>
      <x:c r="I18" s="177" t="e">
        <x:f>HYPERLINK("lehrer/de_k7_st14_kurzgeschichten_deutung_planen_orga.html","Vorbereitung öffnen")</x:f>
      </x:c>
    </x:row>
    <x:row r="19" ht="65" customHeight="1">
      <x:c r="A19" s="142" t="n">
        <x:v>7</x:v>
      </x:c>
      <x:c r="B19" s="115" t="str">
        <x:v>Schreiben</x:v>
      </x:c>
      <x:c r="C19" s="148" t="n">
        <x:v>15</x:v>
      </x:c>
      <x:c r="D19" s="115" t="str">
        <x:v>Kurzgeschichten erschließen: Fortsetzung oder innerer Monolog gestalten</x:v>
      </x:c>
      <x:c r="E19" s="115" t="str">
        <x:v>Fortsetzung oder innerer monolog nach klaren Vorgaben erstellen; Hilfekarten und Wortbank nutzen. Kurs-I-Niveau: reduzierte Textmenge, Leitfragen, vorstrukturierte Verfahren und alltagsnahe Transferaufgaben.</x:v>
      </x:c>
      <x:c r="F19" s="115" t="str">
        <x:v>Fortsetzung oder innerer monolog eigenständig, textnah und sprachlich variabel gestalten; Wirkung bewusst planen. Kurs-II-Niveau: komplexere Texte, selbstständige Verfahren, Fachbegriffe und vertiefte Deutung oder Bewertung.</x:v>
      </x:c>
      <x:c r="G19" s="115" t="str">
        <x:v>de_k7_st15_kurzgeschichten_produkt</x:v>
      </x:c>
      <x:c r="H19" s="176" t="e">
        <x:f>HYPERLINK("schueler/de_k7_st15_kurzgeschichten_produkt_app.html","Lernmodul öffnen")</x:f>
      </x:c>
      <x:c r="I19" s="177" t="e">
        <x:f>HYPERLINK("lehrer/de_k7_st15_kurzgeschichten_produkt_orga.html","Vorbereitung öffnen")</x:f>
      </x:c>
    </x:row>
    <x:row r="20" ht="65" customHeight="1">
      <x:c r="A20" s="142" t="n">
        <x:v>7</x:v>
      </x:c>
      <x:c r="B20" s="115" t="str">
        <x:v>Sprechen und Zuhören</x:v>
      </x:c>
      <x:c r="C20" s="148" t="n">
        <x:v>16</x:v>
      </x:c>
      <x:c r="D20" s="115" t="str">
        <x:v>Kurzgeschichten erschließen: Ergebnisse präsentieren und reflektieren</x:v>
      </x:c>
      <x:c r="E20" s="115" t="str">
        <x:v>Ergebnis kurz vorstellen; zwei vereinbarte Kriterien für Rückmeldung anwenden. Kurs-I-Niveau: reduzierte Textmenge, Leitfragen, vorstrukturierte Verfahren und alltagsnahe Transferaufgaben.</x:v>
      </x:c>
      <x:c r="F20" s="115" t="str">
        <x:v>Ergebnis adressatenbezogen präsentieren; Rückmeldungen begründen und die eigene Deutung oder Gestaltung überarbeiten. Kurs-II-Niveau: komplexere Texte, selbstständige Verfahren, Fachbegriffe und vertiefte Deutung oder Bewertung.</x:v>
      </x:c>
      <x:c r="G20" s="115" t="str">
        <x:v>de_k7_st16_kurzgeschichten_praesentieren</x:v>
      </x:c>
      <x:c r="H20" s="176" t="e">
        <x:f>HYPERLINK("schueler/de_k7_st16_kurzgeschichten_praesentieren_app.html","Lernmodul öffnen")</x:f>
      </x:c>
      <x:c r="I20" s="177" t="e">
        <x:f>HYPERLINK("lehrer/de_k7_st16_kurzgeschichten_praesentieren_orga.html","Vorbereitung öffnen")</x:f>
      </x:c>
    </x:row>
    <x:row r="21" ht="65" customHeight="1">
      <x:c r="A21" s="142" t="n">
        <x:v>7</x:v>
      </x:c>
      <x:c r="B21" s="115" t="str">
        <x:v>Sprechen und Zuhören</x:v>
      </x:c>
      <x:c r="C21" s="148" t="n">
        <x:v>17</x:v>
      </x:c>
      <x:c r="D21" s="115" t="str">
        <x:v>Balladen untersuchen und vortragen: Hör- oder Leseeinstieg gestalten</x:v>
      </x:c>
      <x:c r="E21" s="115" t="str">
        <x:v>Einstieg über Bild, Hörtext oder kurzen Auszug; Vorwissen zu klassische und moderne Balladen sammeln und zentrale Wörter klären. Kurs-I-Niveau: reduzierte Textmenge, Leitfragen, vorstrukturierte Verfahren und alltagsnahe Transferaufgaben.</x:v>
      </x:c>
      <x:c r="F21" s="115" t="str">
        <x:v>Aus Titel, Kontext und Gestaltung Erwartungen an klassische und moderne Balladen ableiten; erste Hypothesen formulieren und begründen. Kurs-II-Niveau: komplexere Texte, selbstständige Verfahren, Fachbegriffe und vertiefte Deutung oder Bewertung.</x:v>
      </x:c>
      <x:c r="G21" s="115" t="str">
        <x:v>de_k7_st17_balladen_einstieg</x:v>
      </x:c>
      <x:c r="H21" s="176" t="e">
        <x:f>HYPERLINK("schueler/de_k7_st17_balladen_einstieg_app.html","Lernmodul öffnen")</x:f>
      </x:c>
      <x:c r="I21" s="177" t="e">
        <x:f>HYPERLINK("lehrer/de_k7_st17_balladen_einstieg_orga.html","Vorbereitung öffnen")</x:f>
      </x:c>
    </x:row>
    <x:row r="22" ht="65" customHeight="1">
      <x:c r="A22" s="142" t="n">
        <x:v>7</x:v>
      </x:c>
      <x:c r="B22" s="115" t="str">
        <x:v>Lesen/Umgang mit Texten</x:v>
      </x:c>
      <x:c r="C22" s="148" t="n">
        <x:v>18</x:v>
      </x:c>
      <x:c r="D22" s="115" t="str">
        <x:v>Balladen untersuchen und vortragen: den Text mit Lesestrategien erschließen</x:v>
      </x:c>
      <x:c r="E22" s="115" t="str">
        <x:v>Text abschnittsweise lesen; Schlüsselwörter markieren und den Inhalt mit Leitfragen sichern. Kurs-I-Niveau: reduzierte Textmenge, Leitfragen, vorstrukturierte Verfahren und alltagsnahe Transferaufgaben.</x:v>
      </x:c>
      <x:c r="F22" s="115" t="str">
        <x:v>Lesetechnik passend zum Ziel wählen; Sinnabschnitte, Schlüsselstellen und offene Fragen selbstständig festhalten. Kurs-II-Niveau: komplexere Texte, selbstständige Verfahren, Fachbegriffe und vertiefte Deutung oder Bewertung.</x:v>
      </x:c>
      <x:c r="G22" s="115" t="str">
        <x:v>de_k7_st18_balladen_erschliessen</x:v>
      </x:c>
      <x:c r="H22" s="176" t="e">
        <x:f>HYPERLINK("schueler/de_k7_st18_balladen_erschliessen_app.html","Lernmodul öffnen")</x:f>
      </x:c>
      <x:c r="I22" s="177" t="e">
        <x:f>HYPERLINK("lehrer/de_k7_st18_balladen_erschliessen_orga.html","Vorbereitung öffnen")</x:f>
      </x:c>
    </x:row>
    <x:row r="23" ht="65" customHeight="1">
      <x:c r="A23" s="142" t="n">
        <x:v>7</x:v>
      </x:c>
      <x:c r="B23" s="115" t="str">
        <x:v>Lesen/Umgang mit Texten</x:v>
      </x:c>
      <x:c r="C23" s="148" t="n">
        <x:v>19</x:v>
      </x:c>
      <x:c r="D23" s="115" t="str">
        <x:v>Balladen untersuchen und vortragen: Gattungsmerkmale erkennen</x:v>
      </x:c>
      <x:c r="E23" s="115" t="str">
        <x:v>Merkmale wie epische, lyrische und dramatische Elemente mithilfe einer Checkliste zuordnen und an Textstellen zeigen. Kurs-I-Niveau: reduzierte Textmenge, Leitfragen, vorstrukturierte Verfahren und alltagsnahe Transferaufgaben.</x:v>
      </x:c>
      <x:c r="F23" s="115" t="str">
        <x:v>Merkmale wie epische, lyrische und dramatische Elemente textnah belegen und ihre Funktion für Aufbau und Wirkung erklären. Kurs-II-Niveau: komplexere Texte, selbstständige Verfahren, Fachbegriffe und vertiefte Deutung oder Bewertung.</x:v>
      </x:c>
      <x:c r="G23" s="115" t="str">
        <x:v>de_k7_st19_balladen_merkmale</x:v>
      </x:c>
      <x:c r="H23" s="176" t="e">
        <x:f>HYPERLINK("schueler/de_k7_st19_balladen_merkmale_app.html","Lernmodul öffnen")</x:f>
      </x:c>
      <x:c r="I23" s="177" t="e">
        <x:f>HYPERLINK("lehrer/de_k7_st19_balladen_merkmale_orga.html","Vorbereitung öffnen")</x:f>
      </x:c>
    </x:row>
    <x:row r="24" ht="65" customHeight="1">
      <x:c r="A24" s="142" t="n">
        <x:v>7</x:v>
      </x:c>
      <x:c r="B24" s="115" t="str">
        <x:v>Lesen/Umgang mit Texten</x:v>
      </x:c>
      <x:c r="C24" s="148" t="n">
        <x:v>20</x:v>
      </x:c>
      <x:c r="D24" s="115" t="str">
        <x:v>Balladen untersuchen und vortragen: Figuren, Handlung und Konflikt untersuchen</x:v>
      </x:c>
      <x:c r="E24" s="115" t="str">
        <x:v>Spannungsbogen, Konflikt und Aussage mit Figurenkarten oder Handlungsstreifen ordnen; einfache Belege auswählen. Kurs-I-Niveau: reduzierte Textmenge, Leitfragen, vorstrukturierte Verfahren und alltagsnahe Transferaufgaben.</x:v>
      </x:c>
      <x:c r="F24" s="115" t="str">
        <x:v>Spannungsbogen, Konflikt und Aussage in ihrem Zusammenhang untersuchen; Schlussfolgerungen mit passenden Textbelegen absichern. Kurs-II-Niveau: komplexere Texte, selbstständige Verfahren, Fachbegriffe und vertiefte Deutung oder Bewertung.</x:v>
      </x:c>
      <x:c r="G24" s="115" t="str">
        <x:v>de_k7_st20_balladen_figuren_handlung</x:v>
      </x:c>
      <x:c r="H24" s="176" t="e">
        <x:f>HYPERLINK("schueler/de_k7_st20_balladen_figuren_handlung_app.html","Lernmodul öffnen")</x:f>
      </x:c>
      <x:c r="I24" s="177" t="e">
        <x:f>HYPERLINK("lehrer/de_k7_st20_balladen_figuren_handlung_orga.html","Vorbereitung öffnen")</x:f>
      </x:c>
    </x:row>
    <x:row r="25" ht="65" customHeight="1">
      <x:c r="A25" s="142" t="n">
        <x:v>7</x:v>
      </x:c>
      <x:c r="B25" s="115" t="str">
        <x:v>Sprache untersuchen</x:v>
      </x:c>
      <x:c r="C25" s="148" t="n">
        <x:v>21</x:v>
      </x:c>
      <x:c r="D25" s="115" t="str">
        <x:v>Balladen untersuchen und vortragen: Sprache und Wirkung untersuchen</x:v>
      </x:c>
      <x:c r="E25" s="115" t="str">
        <x:v>Beispiele für Rhythmus, Klang, direkte Rede, Bildlichkeit markieren und ihre Wirkung mit vorgegebenen Begriffen beschreiben. Kurs-I-Niveau: reduzierte Textmenge, Leitfragen, vorstrukturierte Verfahren und alltagsnahe Transferaufgaben.</x:v>
      </x:c>
      <x:c r="F25" s="115" t="str">
        <x:v>Rhythmus, Klang, direkte Rede, Bildlichkeit fachsprachlich analysieren und auf Figurenzeichnung, Stimmung oder Aussage beziehen. Kurs-II-Niveau: komplexere Texte, selbstständige Verfahren, Fachbegriffe und vertiefte Deutung oder Bewertung.</x:v>
      </x:c>
      <x:c r="G25" s="115" t="str">
        <x:v>de_k7_st21_balladen_sprache_wirkung</x:v>
      </x:c>
      <x:c r="H25" s="176" t="e">
        <x:f>HYPERLINK("schueler/de_k7_st21_balladen_sprache_wirkung_app.html","Lernmodul öffnen")</x:f>
      </x:c>
      <x:c r="I25" s="177" t="e">
        <x:f>HYPERLINK("lehrer/de_k7_st21_balladen_sprache_wirkung_orga.html","Vorbereitung öffnen")</x:f>
      </x:c>
    </x:row>
    <x:row r="26" ht="65" customHeight="1">
      <x:c r="A26" s="142" t="n">
        <x:v>7</x:v>
      </x:c>
      <x:c r="B26" s="115" t="str">
        <x:v>Schreiben</x:v>
      </x:c>
      <x:c r="C26" s="148" t="n">
        <x:v>22</x:v>
      </x:c>
      <x:c r="D26" s="115" t="str">
        <x:v>Balladen untersuchen und vortragen: eine Deutung oder Perspektive vorbereiten</x:v>
      </x:c>
      <x:c r="E26" s="115" t="str">
        <x:v>Eine zentrale Aussage mit Satzstartern formulieren; Beleg und Erklärung in einem Schreibrahmen verbinden. Kurs-I-Niveau: reduzierte Textmenge, Leitfragen, vorstrukturierte Verfahren und alltagsnahe Transferaufgaben.</x:v>
      </x:c>
      <x:c r="F26" s="115" t="str">
        <x:v>Eine schlüssige Deutungshypothese entwickeln; mehrere Belege auswählen, ordnen und gegeneinander abwägen. Kurs-II-Niveau: komplexere Texte, selbstständige Verfahren, Fachbegriffe und vertiefte Deutung oder Bewertung.</x:v>
      </x:c>
      <x:c r="G26" s="115" t="str">
        <x:v>de_k7_st22_balladen_deutung_planen</x:v>
      </x:c>
      <x:c r="H26" s="176" t="e">
        <x:f>HYPERLINK("schueler/de_k7_st22_balladen_deutung_planen_app.html","Lernmodul öffnen")</x:f>
      </x:c>
      <x:c r="I26" s="177" t="e">
        <x:f>HYPERLINK("lehrer/de_k7_st22_balladen_deutung_planen_orga.html","Vorbereitung öffnen")</x:f>
      </x:c>
    </x:row>
    <x:row r="27" ht="65" customHeight="1">
      <x:c r="A27" s="142" t="n">
        <x:v>7</x:v>
      </x:c>
      <x:c r="B27" s="115" t="str">
        <x:v>Schreiben</x:v>
      </x:c>
      <x:c r="C27" s="148" t="n">
        <x:v>23</x:v>
      </x:c>
      <x:c r="D27" s="115" t="str">
        <x:v>Balladen untersuchen und vortragen: gestaltender Vortrag gestalten</x:v>
      </x:c>
      <x:c r="E27" s="115" t="str">
        <x:v>Gestaltender vortrag nach klaren Vorgaben erstellen; Hilfekarten und Wortbank nutzen. Kurs-I-Niveau: reduzierte Textmenge, Leitfragen, vorstrukturierte Verfahren und alltagsnahe Transferaufgaben.</x:v>
      </x:c>
      <x:c r="F27" s="115" t="str">
        <x:v>Gestaltender vortrag eigenständig, textnah und sprachlich variabel gestalten; Wirkung bewusst planen. Kurs-II-Niveau: komplexere Texte, selbstständige Verfahren, Fachbegriffe und vertiefte Deutung oder Bewertung.</x:v>
      </x:c>
      <x:c r="G27" s="115" t="str">
        <x:v>de_k7_st23_balladen_produkt</x:v>
      </x:c>
      <x:c r="H27" s="176" t="e">
        <x:f>HYPERLINK("schueler/de_k7_st23_balladen_produkt_app.html","Lernmodul öffnen")</x:f>
      </x:c>
      <x:c r="I27" s="177" t="e">
        <x:f>HYPERLINK("lehrer/de_k7_st23_balladen_produkt_orga.html","Vorbereitung öffnen")</x:f>
      </x:c>
    </x:row>
    <x:row r="28" ht="65" customHeight="1">
      <x:c r="A28" s="142" t="n">
        <x:v>7</x:v>
      </x:c>
      <x:c r="B28" s="115" t="str">
        <x:v>Sprechen und Zuhören</x:v>
      </x:c>
      <x:c r="C28" s="148" t="n">
        <x:v>24</x:v>
      </x:c>
      <x:c r="D28" s="115" t="str">
        <x:v>Balladen untersuchen und vortragen: Ergebnisse präsentieren und reflektieren</x:v>
      </x:c>
      <x:c r="E28" s="115" t="str">
        <x:v>Ergebnis kurz vorstellen; zwei vereinbarte Kriterien für Rückmeldung anwenden. Kurs-I-Niveau: reduzierte Textmenge, Leitfragen, vorstrukturierte Verfahren und alltagsnahe Transferaufgaben.</x:v>
      </x:c>
      <x:c r="F28" s="115" t="str">
        <x:v>Ergebnis adressatenbezogen präsentieren; Rückmeldungen begründen und die eigene Deutung oder Gestaltung überarbeiten. Kurs-II-Niveau: komplexere Texte, selbstständige Verfahren, Fachbegriffe und vertiefte Deutung oder Bewertung.</x:v>
      </x:c>
      <x:c r="G28" s="115" t="str">
        <x:v>de_k7_st24_balladen_praesentieren</x:v>
      </x:c>
      <x:c r="H28" s="176" t="e">
        <x:f>HYPERLINK("schueler/de_k7_st24_balladen_praesentieren_app.html","Lernmodul öffnen")</x:f>
      </x:c>
      <x:c r="I28" s="177" t="e">
        <x:f>HYPERLINK("lehrer/de_k7_st24_balladen_praesentieren_orga.html","Vorbereitung öffnen")</x:f>
      </x:c>
    </x:row>
    <x:row r="29" ht="65" customHeight="1">
      <x:c r="A29" s="142" t="n">
        <x:v>7</x:v>
      </x:c>
      <x:c r="B29" s="115" t="str">
        <x:v>Lesen/Umgang mit Texten</x:v>
      </x:c>
      <x:c r="C29" s="148" t="n">
        <x:v>25</x:v>
      </x:c>
      <x:c r="D29" s="115" t="str">
        <x:v>Inhaltsangaben verfassen: Beispieltexte untersuchen</x:v>
      </x:c>
      <x:c r="E29" s="115" t="str">
        <x:v>Ein Beispiel für Inhaltsangabe zu epischen Texten lesen; Aufbau und typische Formulierungen farbig kennzeichnen. Kurs-I-Niveau: reduzierte Textmenge, Leitfragen, vorstrukturierte Verfahren und alltagsnahe Transferaufgaben.</x:v>
      </x:c>
      <x:c r="F29" s="115" t="str">
        <x:v>Mehrere Beispiele für Inhaltsangabe zu epischen Texten vergleichen; Funktion, Adressat und Qualitätsunterschiede herausarbeiten. Kurs-II-Niveau: komplexere Texte, selbstständige Verfahren, Fachbegriffe und vertiefte Deutung oder Bewertung.</x:v>
      </x:c>
      <x:c r="G29" s="115" t="str">
        <x:v>de_k7_st25_inhaltsangabe_beispiel</x:v>
      </x:c>
      <x:c r="H29" s="176" t="e">
        <x:f>HYPERLINK("schueler/de_k7_st25_inhaltsangabe_beispiel_app.html","Lernmodul öffnen")</x:f>
      </x:c>
      <x:c r="I29" s="177" t="e">
        <x:f>HYPERLINK("lehrer/de_k7_st25_inhaltsangabe_beispiel_orga.html","Vorbereitung öffnen")</x:f>
      </x:c>
    </x:row>
    <x:row r="30" ht="65" customHeight="1">
      <x:c r="A30" s="142" t="n">
        <x:v>7</x:v>
      </x:c>
      <x:c r="B30" s="115" t="str">
        <x:v>Schreiben</x:v>
      </x:c>
      <x:c r="C30" s="148" t="n">
        <x:v>26</x:v>
      </x:c>
      <x:c r="D30" s="115" t="str">
        <x:v>Inhaltsangaben verfassen: Schreibziel und Kriterien klären</x:v>
      </x:c>
      <x:c r="E30" s="115" t="str">
        <x:v>Schreibziel „wesentliche Handlung knapp und geordnet wiedergeben“ verstehen; eine kurze Kriterienliste auf ein Beispiel anwenden. Kurs-I-Niveau: reduzierte Textmenge, Leitfragen, vorstrukturierte Verfahren und alltagsnahe Transferaufgaben.</x:v>
      </x:c>
      <x:c r="F30" s="115" t="str">
        <x:v>Schreibziel „wesentliche Handlung knapp und geordnet wiedergeben“ präzisieren; Kriterien gewichten und auf unterschiedliche Schreibsituationen übertragen. Kurs-II-Niveau: komplexere Texte, selbstständige Verfahren, Fachbegriffe und vertiefte Deutung oder Bewertung.</x:v>
      </x:c>
      <x:c r="G30" s="115" t="str">
        <x:v>de_k7_st26_inhaltsangabe_kriterien</x:v>
      </x:c>
      <x:c r="H30" s="176" t="e">
        <x:f>HYPERLINK("schueler/de_k7_st26_inhaltsangabe_kriterien_app.html","Lernmodul öffnen")</x:f>
      </x:c>
      <x:c r="I30" s="177" t="e">
        <x:f>HYPERLINK("lehrer/de_k7_st26_inhaltsangabe_kriterien_orga.html","Vorbereitung öffnen")</x:f>
      </x:c>
    </x:row>
    <x:row r="31" ht="65" customHeight="1">
      <x:c r="A31" s="142" t="n">
        <x:v>7</x:v>
      </x:c>
      <x:c r="B31" s="115" t="str">
        <x:v>Lesen/Umgang mit Texten</x:v>
      </x:c>
      <x:c r="C31" s="148" t="n">
        <x:v>27</x:v>
      </x:c>
      <x:c r="D31" s="115" t="str">
        <x:v>Inhaltsangaben verfassen: Inhalte auswählen und ordnen</x:v>
      </x:c>
      <x:c r="E31" s="115" t="str">
        <x:v>Einleitung, Hauptteil, Textbelege mit Leitfragen sammeln und in einer vorgegebenen Reihenfolge ordnen. Kurs-I-Niveau: reduzierte Textmenge, Leitfragen, vorstrukturierte Verfahren und alltagsnahe Transferaufgaben.</x:v>
      </x:c>
      <x:c r="F31" s="115" t="str">
        <x:v>Einleitung, Hauptteil, Textbelege selbstständig auswählen, gewichten und in einer passenden Gliederung strukturieren. Kurs-II-Niveau: komplexere Texte, selbstständige Verfahren, Fachbegriffe und vertiefte Deutung oder Bewertung.</x:v>
      </x:c>
      <x:c r="G31" s="115" t="str">
        <x:v>de_k7_st27_inhaltsangabe_inhalte_ordnen</x:v>
      </x:c>
      <x:c r="H31" s="176" t="e">
        <x:f>HYPERLINK("schueler/de_k7_st27_inhaltsangabe_inhalte_ordnen_app.html","Lernmodul öffnen")</x:f>
      </x:c>
      <x:c r="I31" s="177" t="e">
        <x:f>HYPERLINK("lehrer/de_k7_st27_inhaltsangabe_inhalte_ordnen_orga.html","Vorbereitung öffnen")</x:f>
      </x:c>
    </x:row>
    <x:row r="32" ht="65" customHeight="1">
      <x:c r="A32" s="142" t="n">
        <x:v>7</x:v>
      </x:c>
      <x:c r="B32" s="115" t="str">
        <x:v>Sprache untersuchen</x:v>
      </x:c>
      <x:c r="C32" s="148" t="n">
        <x:v>28</x:v>
      </x:c>
      <x:c r="D32" s="115" t="str">
        <x:v>Inhaltsangaben verfassen: passende sprachliche Mittel verwenden</x:v>
      </x:c>
      <x:c r="E32" s="115" t="str">
        <x:v>Präsens, sachliche Sprache, indirekte Rede in Übungen erkennen und nach Satzmustern anwenden. Kurs-I-Niveau: reduzierte Textmenge, Leitfragen, vorstrukturierte Verfahren und alltagsnahe Transferaufgaben.</x:v>
      </x:c>
      <x:c r="F32" s="115" t="str">
        <x:v>Präsens, sachliche Sprache, indirekte Rede hinsichtlich Wirkung und Angemessenheit prüfen und gezielt variieren. Kurs-II-Niveau: komplexere Texte, selbstständige Verfahren, Fachbegriffe und vertiefte Deutung oder Bewertung.</x:v>
      </x:c>
      <x:c r="G32" s="115" t="str">
        <x:v>de_k7_st28_inhaltsangabe_sprachmittel</x:v>
      </x:c>
      <x:c r="H32" s="176" t="e">
        <x:f>HYPERLINK("schueler/de_k7_st28_inhaltsangabe_sprachmittel_app.html","Lernmodul öffnen")</x:f>
      </x:c>
      <x:c r="I32" s="177" t="e">
        <x:f>HYPERLINK("lehrer/de_k7_st28_inhaltsangabe_sprachmittel_orga.html","Vorbereitung öffnen")</x:f>
      </x:c>
    </x:row>
    <x:row r="33" ht="65" customHeight="1">
      <x:c r="A33" s="142" t="n">
        <x:v>7</x:v>
      </x:c>
      <x:c r="B33" s="115" t="str">
        <x:v>Schreiben</x:v>
      </x:c>
      <x:c r="C33" s="148" t="n">
        <x:v>29</x:v>
      </x:c>
      <x:c r="D33" s="115" t="str">
        <x:v>Inhaltsangaben verfassen: einen Schreibplan erstellen</x:v>
      </x:c>
      <x:c r="E33" s="115" t="str">
        <x:v>Einen vorstrukturierten Schreibplan ausfüllen; Einleitung, Hauptteil und Schluss festlegen. Kurs-I-Niveau: reduzierte Textmenge, Leitfragen, vorstrukturierte Verfahren und alltagsnahe Transferaufgaben.</x:v>
      </x:c>
      <x:c r="F33" s="115" t="str">
        <x:v>Einen eigenen Schreibplan mit Teilzielen, Belegen und sprachlichen Mitteln entwickeln. Kurs-II-Niveau: komplexere Texte, selbstständige Verfahren, Fachbegriffe und vertiefte Deutung oder Bewertung.</x:v>
      </x:c>
      <x:c r="G33" s="115" t="str">
        <x:v>de_k7_st29_inhaltsangabe_schreibplan</x:v>
      </x:c>
      <x:c r="H33" s="176" t="e">
        <x:f>HYPERLINK("schueler/de_k7_st29_inhaltsangabe_schreibplan_app.html","Lernmodul öffnen")</x:f>
      </x:c>
      <x:c r="I33" s="177" t="e">
        <x:f>HYPERLINK("lehrer/de_k7_st29_inhaltsangabe_schreibplan_orga.html","Vorbereitung öffnen")</x:f>
      </x:c>
    </x:row>
    <x:row r="34" ht="65" customHeight="1">
      <x:c r="A34" s="142" t="n">
        <x:v>7</x:v>
      </x:c>
      <x:c r="B34" s="115" t="str">
        <x:v>Schreiben</x:v>
      </x:c>
      <x:c r="C34" s="148" t="n">
        <x:v>30</x:v>
      </x:c>
      <x:c r="D34" s="115" t="str">
        <x:v>Inhaltsangaben verfassen: einen ersten Textentwurf verfassen</x:v>
      </x:c>
      <x:c r="E34" s="115" t="str">
        <x:v>Vollständige inhaltsangabe mithilfe von Schreibrahmen, Satzanfängen und Wortbank verfassen. Kurs-I-Niveau: reduzierte Textmenge, Leitfragen, vorstrukturierte Verfahren und alltagsnahe Transferaufgaben.</x:v>
      </x:c>
      <x:c r="F34" s="115" t="str">
        <x:v>Vollständige inhaltsangabe selbstständig, adressatenbezogen und sprachlich differenziert verfassen. Kurs-II-Niveau: komplexere Texte, selbstständige Verfahren, Fachbegriffe und vertiefte Deutung oder Bewertung.</x:v>
      </x:c>
      <x:c r="G34" s="115" t="str">
        <x:v>de_k7_st30_inhaltsangabe_entwurf</x:v>
      </x:c>
      <x:c r="H34" s="176" t="e">
        <x:f>HYPERLINK("schueler/de_k7_st30_inhaltsangabe_entwurf_app.html","Lernmodul öffnen")</x:f>
      </x:c>
      <x:c r="I34" s="177" t="e">
        <x:f>HYPERLINK("lehrer/de_k7_st30_inhaltsangabe_entwurf_orga.html","Vorbereitung öffnen")</x:f>
      </x:c>
    </x:row>
    <x:row r="35" ht="65" customHeight="1">
      <x:c r="A35" s="142" t="n">
        <x:v>7</x:v>
      </x:c>
      <x:c r="B35" s="115" t="str">
        <x:v>Schreiben</x:v>
      </x:c>
      <x:c r="C35" s="148" t="n">
        <x:v>31</x:v>
      </x:c>
      <x:c r="D35" s="115" t="str">
        <x:v>Inhaltsangaben verfassen: Text kriteriengeleitet überarbeiten</x:v>
      </x:c>
      <x:c r="E35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35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35" s="115" t="str">
        <x:v>de_k7_st31_inhaltsangabe_ueberarbeiten</x:v>
      </x:c>
      <x:c r="H35" s="176" t="e">
        <x:f>HYPERLINK("schueler/de_k7_st31_inhaltsangabe_ueberarbeiten_app.html","Lernmodul öffnen")</x:f>
      </x:c>
      <x:c r="I35" s="177" t="e">
        <x:f>HYPERLINK("lehrer/de_k7_st31_inhaltsangabe_ueberarbeiten_orga.html","Vorbereitung öffnen")</x:f>
      </x:c>
    </x:row>
    <x:row r="36" ht="65" customHeight="1">
      <x:c r="A36" s="142" t="n">
        <x:v>7</x:v>
      </x:c>
      <x:c r="B36" s="115" t="str">
        <x:v>Sprechen und Zuhören</x:v>
      </x:c>
      <x:c r="C36" s="148" t="n">
        <x:v>32</x:v>
      </x:c>
      <x:c r="D36" s="115" t="str">
        <x:v>Inhaltsangaben verfassen: Texte vorstellen und bewerten</x:v>
      </x:c>
      <x:c r="E36" s="115" t="str">
        <x:v>Ausgewählte Passage vorlesen oder erläutern; Rückmeldung mit einfachen Satzmustern geben. Kurs-I-Niveau: reduzierte Textmenge, Leitfragen, vorstrukturierte Verfahren und alltagsnahe Transferaufgaben.</x:v>
      </x:c>
      <x:c r="F36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36" s="115" t="str">
        <x:v>de_k7_st32_inhaltsangabe_vorstellen</x:v>
      </x:c>
      <x:c r="H36" s="176" t="e">
        <x:f>HYPERLINK("schueler/de_k7_st32_inhaltsangabe_vorstellen_app.html","Lernmodul öffnen")</x:f>
      </x:c>
      <x:c r="I36" s="177" t="e">
        <x:f>HYPERLINK("lehrer/de_k7_st32_inhaltsangabe_vorstellen_orga.html","Vorbereitung öffnen")</x:f>
      </x:c>
    </x:row>
    <x:row r="37" ht="65" customHeight="1">
      <x:c r="A37" s="142" t="n">
        <x:v>7</x:v>
      </x:c>
      <x:c r="B37" s="115" t="str">
        <x:v>Sprache untersuchen</x:v>
      </x:c>
      <x:c r="C37" s="148" t="n">
        <x:v>33</x:v>
      </x:c>
      <x:c r="D37" s="115" t="str">
        <x:v>Adverbiale Bestimmungen und Satzbau: Lernstand feststellen</x:v>
      </x:c>
      <x:c r="E37" s="115" t="str">
        <x:v>Kurze Diagnose zu Satzglieder und adverbiale Bestimmungen bearbeiten; eigene Unsicherheiten markieren. Kurs-I-Niveau: reduzierte Textmenge, Leitfragen, vorstrukturierte Verfahren und alltagsnahe Transferaufgaben.</x:v>
      </x:c>
      <x:c r="F37" s="115" t="str">
        <x:v>Diagnose zu Satzglieder und adverbiale Bestimmungen auswerten; Fehlermuster benennen und persönliche Lernziele ableiten. Kurs-II-Niveau: komplexere Texte, selbstständige Verfahren, Fachbegriffe und vertiefte Deutung oder Bewertung.</x:v>
      </x:c>
      <x:c r="G37" s="115" t="str">
        <x:v>de_k7_st33_adverbiale_diagnose</x:v>
      </x:c>
      <x:c r="H37" s="176" t="e">
        <x:f>HYPERLINK("schueler/de_k7_st33_adverbiale_diagnose_app.html","Lernmodul öffnen")</x:f>
      </x:c>
      <x:c r="I37" s="177" t="e">
        <x:f>HYPERLINK("lehrer/de_k7_st33_adverbiale_diagnose_orga.html","Vorbereitung öffnen")</x:f>
      </x:c>
    </x:row>
    <x:row r="38" ht="65" customHeight="1">
      <x:c r="A38" s="142" t="n">
        <x:v>7</x:v>
      </x:c>
      <x:c r="B38" s="115" t="str">
        <x:v>Sprache untersuchen</x:v>
      </x:c>
      <x:c r="C38" s="148" t="n">
        <x:v>34</x:v>
      </x:c>
      <x:c r="D38" s="115" t="str">
        <x:v>Adverbiale Bestimmungen und Satzbau: Grundbegriffe sichern</x:v>
      </x:c>
      <x:c r="E38" s="115" t="str">
        <x:v>Frageprobe, Umstellprobe, lokale, temporale, modale und kausale Angaben an einfachen Beispielen erkennen und mit Merkkarten sichern. Kurs-I-Niveau: reduzierte Textmenge, Leitfragen, vorstrukturierte Verfahren und alltagsnahe Transferaufgaben.</x:v>
      </x:c>
      <x:c r="F38" s="115" t="str">
        <x:v>Frageprobe, Umstellprobe, lokale, temporale, modale und kausale Angaben fachsprachlich erklären, voneinander abgrenzen und in komplexeren Beispielen bestimmen. Kurs-II-Niveau: komplexere Texte, selbstständige Verfahren, Fachbegriffe und vertiefte Deutung oder Bewertung.</x:v>
      </x:c>
      <x:c r="G38" s="115" t="str">
        <x:v>de_k7_st34_adverbiale_grundbegriffe</x:v>
      </x:c>
      <x:c r="H38" s="176" t="e">
        <x:f>HYPERLINK("schueler/de_k7_st34_adverbiale_grundbegriffe_app.html","Lernmodul öffnen")</x:f>
      </x:c>
      <x:c r="I38" s="177" t="e">
        <x:f>HYPERLINK("lehrer/de_k7_st34_adverbiale_grundbegriffe_orga.html","Vorbereitung öffnen")</x:f>
      </x:c>
    </x:row>
    <x:row r="39" ht="65" customHeight="1">
      <x:c r="A39" s="142" t="n">
        <x:v>7</x:v>
      </x:c>
      <x:c r="B39" s="115" t="str">
        <x:v>Sprache untersuchen</x:v>
      </x:c>
      <x:c r="C39" s="148" t="n">
        <x:v>35</x:v>
      </x:c>
      <x:c r="D39" s="115" t="str">
        <x:v>Adverbiale Bestimmungen und Satzbau: Verfahren anwenden</x:v>
      </x:c>
      <x:c r="E39" s="115" t="str">
        <x:v>Satzgliedanalyse Schritt für Schritt anwenden; Entscheidungen mündlich begründen. Kurs-I-Niveau: reduzierte Textmenge, Leitfragen, vorstrukturierte Verfahren und alltagsnahe Transferaufgaben.</x:v>
      </x:c>
      <x:c r="F39" s="115" t="str">
        <x:v>Satzgliedanalyse selbstständig auswählen, kombinieren und auf Zweifelsfälle übertragen. Kurs-II-Niveau: komplexere Texte, selbstständige Verfahren, Fachbegriffe und vertiefte Deutung oder Bewertung.</x:v>
      </x:c>
      <x:c r="G39" s="115" t="str">
        <x:v>de_k7_st35_adverbiale_verfahren</x:v>
      </x:c>
      <x:c r="H39" s="176" t="e">
        <x:f>HYPERLINK("schueler/de_k7_st35_adverbiale_verfahren_app.html","Lernmodul öffnen")</x:f>
      </x:c>
      <x:c r="I39" s="177" t="e">
        <x:f>HYPERLINK("lehrer/de_k7_st35_adverbiale_verfahren_orga.html","Vorbereitung öffnen")</x:f>
      </x:c>
    </x:row>
    <x:row r="40" ht="65" customHeight="1">
      <x:c r="A40" s="142" t="n">
        <x:v>7</x:v>
      </x:c>
      <x:c r="B40" s="115" t="str">
        <x:v>Sprache untersuchen</x:v>
      </x:c>
      <x:c r="C40" s="148" t="n">
        <x:v>36</x:v>
      </x:c>
      <x:c r="D40" s="115" t="str">
        <x:v>Adverbiale Bestimmungen und Satzbau: Formen und Funktionen untersuchen</x:v>
      </x:c>
      <x:c r="E40" s="115" t="str">
        <x:v>Formen bilden und ihre Aufgabe im Satz mit Leitfragen beschreiben. Kurs-I-Niveau: reduzierte Textmenge, Leitfragen, vorstrukturierte Verfahren und alltagsnahe Transferaufgaben.</x:v>
      </x:c>
      <x:c r="F40" s="115" t="str">
        <x:v>Form, Funktion und Wirkung im Satz oder Text untersuchen; alternative Formulierungen vergleichen. Kurs-II-Niveau: komplexere Texte, selbstständige Verfahren, Fachbegriffe und vertiefte Deutung oder Bewertung.</x:v>
      </x:c>
      <x:c r="G40" s="115" t="str">
        <x:v>de_k7_st36_adverbiale_funktion</x:v>
      </x:c>
      <x:c r="H40" s="176" t="e">
        <x:f>HYPERLINK("schueler/de_k7_st36_adverbiale_funktion_app.html","Lernmodul öffnen")</x:f>
      </x:c>
      <x:c r="I40" s="177" t="e">
        <x:f>HYPERLINK("lehrer/de_k7_st36_adverbiale_funktion_orga.html","Vorbereitung öffnen")</x:f>
      </x:c>
    </x:row>
    <x:row r="41" ht="65" customHeight="1">
      <x:c r="A41" s="142" t="n">
        <x:v>7</x:v>
      </x:c>
      <x:c r="B41" s="115" t="str">
        <x:v>Schreiben</x:v>
      </x:c>
      <x:c r="C41" s="148" t="n">
        <x:v>37</x:v>
      </x:c>
      <x:c r="D41" s="115" t="str">
        <x:v>Adverbiale Bestimmungen und Satzbau: Wissen im eigenen Text nutzen</x:v>
      </x:c>
      <x:c r="E41" s="115" t="str">
        <x:v>Präzise erzähl- und sachtexte nach Vorgabe verfassen und die geübten Strukturen farbig markieren. Kurs-I-Niveau: reduzierte Textmenge, Leitfragen, vorstrukturierte Verfahren und alltagsnahe Transferaufgaben.</x:v>
      </x:c>
      <x:c r="F41" s="115" t="str">
        <x:v>Präzise erzähl- und sachtexte bewusst gestalten und sprachliche Entscheidungen kommentieren. Kurs-II-Niveau: komplexere Texte, selbstständige Verfahren, Fachbegriffe und vertiefte Deutung oder Bewertung.</x:v>
      </x:c>
      <x:c r="G41" s="115" t="str">
        <x:v>de_k7_st37_adverbiale_anwenden</x:v>
      </x:c>
      <x:c r="H41" s="176" t="e">
        <x:f>HYPERLINK("schueler/de_k7_st37_adverbiale_anwenden_app.html","Lernmodul öffnen")</x:f>
      </x:c>
      <x:c r="I41" s="177" t="e">
        <x:f>HYPERLINK("lehrer/de_k7_st37_adverbiale_anwenden_orga.html","Vorbereitung öffnen")</x:f>
      </x:c>
    </x:row>
    <x:row r="42" ht="65" customHeight="1">
      <x:c r="A42" s="142" t="n">
        <x:v>7</x:v>
      </x:c>
      <x:c r="B42" s="115" t="str">
        <x:v>Sprache untersuchen</x:v>
      </x:c>
      <x:c r="C42" s="148" t="n">
        <x:v>38</x:v>
      </x:c>
      <x:c r="D42" s="115" t="str">
        <x:v>Adverbiale Bestimmungen und Satzbau: Fehler finden und korrigieren</x:v>
      </x:c>
      <x:c r="E42" s="115" t="str">
        <x:v>Typische Fehler in kurzen Sätzen finden; passende Regelkarte auswählen und korrigieren. Kurs-I-Niveau: reduzierte Textmenge, Leitfragen, vorstrukturierte Verfahren und alltagsnahe Transferaufgaben.</x:v>
      </x:c>
      <x:c r="F42" s="115" t="str">
        <x:v>Fehler systematisch diagnostizieren, Regelbezug herstellen und mehrere Korrekturmöglichkeiten bewerten. Kurs-II-Niveau: komplexere Texte, selbstständige Verfahren, Fachbegriffe und vertiefte Deutung oder Bewertung.</x:v>
      </x:c>
      <x:c r="G42" s="115" t="str">
        <x:v>de_k7_st38_adverbiale_fehler</x:v>
      </x:c>
      <x:c r="H42" s="176" t="e">
        <x:f>HYPERLINK("schueler/de_k7_st38_adverbiale_fehler_app.html","Lernmodul öffnen")</x:f>
      </x:c>
      <x:c r="I42" s="177" t="e">
        <x:f>HYPERLINK("lehrer/de_k7_st38_adverbiale_fehler_orga.html","Vorbereitung öffnen")</x:f>
      </x:c>
    </x:row>
    <x:row r="43" ht="65" customHeight="1">
      <x:c r="A43" s="142" t="n">
        <x:v>7</x:v>
      </x:c>
      <x:c r="B43" s="115" t="str">
        <x:v>Sprache untersuchen</x:v>
      </x:c>
      <x:c r="C43" s="148" t="n">
        <x:v>39</x:v>
      </x:c>
      <x:c r="D43" s="115" t="str">
        <x:v>Adverbiale Bestimmungen und Satzbau: Transfer auf unbekannte Beispiele</x:v>
      </x:c>
      <x:c r="E43" s="115" t="str">
        <x:v>Neue Beispiele mit Hilfekarte bearbeiten und Lösungen vergleichen. Kurs-I-Niveau: reduzierte Textmenge, Leitfragen, vorstrukturierte Verfahren und alltagsnahe Transferaufgaben.</x:v>
      </x:c>
      <x:c r="F43" s="115" t="str">
        <x:v>Unbekannte und mehrdeutige Beispiele selbstständig analysieren; Grenzfälle begründet diskutieren. Kurs-II-Niveau: komplexere Texte, selbstständige Verfahren, Fachbegriffe und vertiefte Deutung oder Bewertung.</x:v>
      </x:c>
      <x:c r="G43" s="115" t="str">
        <x:v>de_k7_st39_adverbiale_transfer</x:v>
      </x:c>
      <x:c r="H43" s="176" t="e">
        <x:f>HYPERLINK("schueler/de_k7_st39_adverbiale_transfer_app.html","Lernmodul öffnen")</x:f>
      </x:c>
      <x:c r="I43" s="177" t="e">
        <x:f>HYPERLINK("lehrer/de_k7_st39_adverbiale_transfer_orga.html","Vorbereitung öffnen")</x:f>
      </x:c>
    </x:row>
    <x:row r="44" ht="65" customHeight="1">
      <x:c r="A44" s="142" t="n">
        <x:v>7</x:v>
      </x:c>
      <x:c r="B44" s="115" t="str">
        <x:v>Schreiben</x:v>
      </x:c>
      <x:c r="C44" s="148" t="n">
        <x:v>40</x:v>
      </x:c>
      <x:c r="D44" s="115" t="str">
        <x:v>Adverbiale Bestimmungen und Satzbau: Lernprodukt und Kompetenzcheck</x:v>
      </x:c>
      <x:c r="E44" s="115" t="str">
        <x:v>Merkblatt oder Übungstext erstellen; Grundregeln in einem kurzen Kompetenzcheck anwenden. Kurs-I-Niveau: reduzierte Textmenge, Leitfragen, vorstrukturierte Verfahren und alltagsnahe Transferaufgaben.</x:v>
      </x:c>
      <x:c r="F44" s="115" t="str">
        <x:v>Erklärprodukt mit eigenen Beispielen erstellen; Regeln in einem anspruchsvollen Kompetenzcheck sicher anwenden. Kurs-II-Niveau: komplexere Texte, selbstständige Verfahren, Fachbegriffe und vertiefte Deutung oder Bewertung.</x:v>
      </x:c>
      <x:c r="G44" s="115" t="str">
        <x:v>de_k7_st40_adverbiale_kompetenzcheck</x:v>
      </x:c>
      <x:c r="H44" s="176" t="e">
        <x:f>HYPERLINK("schueler/de_k7_st40_adverbiale_kompetenzcheck_app.html","Lernmodul öffnen")</x:f>
      </x:c>
      <x:c r="I44" s="177" t="e">
        <x:f>HYPERLINK("lehrer/de_k7_st40_adverbiale_kompetenzcheck_orga.html","Vorbereitung öffnen")</x:f>
      </x:c>
    </x:row>
    <x:row r="45" ht="65" customHeight="1">
      <x:c r="A45" s="142" t="n">
        <x:v>7</x:v>
      </x:c>
      <x:c r="B45" s="115" t="str">
        <x:v>Lesen/Umgang mit Texten</x:v>
      </x:c>
      <x:c r="C45" s="148" t="n">
        <x:v>41</x:v>
      </x:c>
      <x:c r="D45" s="115" t="str">
        <x:v>Argumentieren und Stellung nehmen: Beispieltexte untersuchen</x:v>
      </x:c>
      <x:c r="E45" s="115" t="str">
        <x:v>Ein Beispiel für begründete Stellungnahme lesen; Aufbau und typische Formulierungen farbig kennzeichnen. Kurs-I-Niveau: reduzierte Textmenge, Leitfragen, vorstrukturierte Verfahren und alltagsnahe Transferaufgaben.</x:v>
      </x:c>
      <x:c r="F45" s="115" t="str">
        <x:v>Mehrere Beispiele für begründete Stellungnahme vergleichen; Funktion, Adressat und Qualitätsunterschiede herausarbeiten. Kurs-II-Niveau: komplexere Texte, selbstständige Verfahren, Fachbegriffe und vertiefte Deutung oder Bewertung.</x:v>
      </x:c>
      <x:c r="G45" s="115" t="str">
        <x:v>de_k7_st41_argumentieren_beispiel</x:v>
      </x:c>
      <x:c r="H45" s="176" t="e">
        <x:f>HYPERLINK("schueler/de_k7_st41_argumentieren_beispiel_app.html","Lernmodul öffnen")</x:f>
      </x:c>
      <x:c r="I45" s="177" t="e">
        <x:f>HYPERLINK("lehrer/de_k7_st41_argumentieren_beispiel_orga.html","Vorbereitung öffnen")</x:f>
      </x:c>
    </x:row>
    <x:row r="46" ht="65" customHeight="1">
      <x:c r="A46" s="142" t="n">
        <x:v>7</x:v>
      </x:c>
      <x:c r="B46" s="115" t="str">
        <x:v>Schreiben</x:v>
      </x:c>
      <x:c r="C46" s="148" t="n">
        <x:v>42</x:v>
      </x:c>
      <x:c r="D46" s="115" t="str">
        <x:v>Argumentieren und Stellung nehmen: Schreibziel und Kriterien klären</x:v>
      </x:c>
      <x:c r="E46" s="115" t="str">
        <x:v>Schreibziel „eine Position nachvollziehbar vertreten“ verstehen; eine kurze Kriterienliste auf ein Beispiel anwenden. Kurs-I-Niveau: reduzierte Textmenge, Leitfragen, vorstrukturierte Verfahren und alltagsnahe Transferaufgaben.</x:v>
      </x:c>
      <x:c r="F46" s="115" t="str">
        <x:v>Schreibziel „eine Position nachvollziehbar vertreten“ präzisieren; Kriterien gewichten und auf unterschiedliche Schreibsituationen übertragen. Kurs-II-Niveau: komplexere Texte, selbstständige Verfahren, Fachbegriffe und vertiefte Deutung oder Bewertung.</x:v>
      </x:c>
      <x:c r="G46" s="115" t="str">
        <x:v>de_k7_st42_argumentieren_kriterien</x:v>
      </x:c>
      <x:c r="H46" s="176" t="e">
        <x:f>HYPERLINK("schueler/de_k7_st42_argumentieren_kriterien_app.html","Lernmodul öffnen")</x:f>
      </x:c>
      <x:c r="I46" s="177" t="e">
        <x:f>HYPERLINK("lehrer/de_k7_st42_argumentieren_kriterien_orga.html","Vorbereitung öffnen")</x:f>
      </x:c>
    </x:row>
    <x:row r="47" ht="65" customHeight="1">
      <x:c r="A47" s="142" t="n">
        <x:v>7</x:v>
      </x:c>
      <x:c r="B47" s="115" t="str">
        <x:v>Lesen/Umgang mit Texten</x:v>
      </x:c>
      <x:c r="C47" s="148" t="n">
        <x:v>43</x:v>
      </x:c>
      <x:c r="D47" s="115" t="str">
        <x:v>Argumentieren und Stellung nehmen: Inhalte auswählen und ordnen</x:v>
      </x:c>
      <x:c r="E47" s="115" t="str">
        <x:v>These, Argument, Beispiel und Schluss mit Leitfragen sammeln und in einer vorgegebenen Reihenfolge ordnen. Kurs-I-Niveau: reduzierte Textmenge, Leitfragen, vorstrukturierte Verfahren und alltagsnahe Transferaufgaben.</x:v>
      </x:c>
      <x:c r="F47" s="115" t="str">
        <x:v>These, Argument, Beispiel und Schluss selbstständig auswählen, gewichten und in einer passenden Gliederung strukturieren. Kurs-II-Niveau: komplexere Texte, selbstständige Verfahren, Fachbegriffe und vertiefte Deutung oder Bewertung.</x:v>
      </x:c>
      <x:c r="G47" s="115" t="str">
        <x:v>de_k7_st43_argumentieren_inhalte_ordnen</x:v>
      </x:c>
      <x:c r="H47" s="176" t="e">
        <x:f>HYPERLINK("schueler/de_k7_st43_argumentieren_inhalte_ordnen_app.html","Lernmodul öffnen")</x:f>
      </x:c>
      <x:c r="I47" s="177" t="e">
        <x:f>HYPERLINK("lehrer/de_k7_st43_argumentieren_inhalte_ordnen_orga.html","Vorbereitung öffnen")</x:f>
      </x:c>
    </x:row>
    <x:row r="48" ht="65" customHeight="1">
      <x:c r="A48" s="142" t="n">
        <x:v>7</x:v>
      </x:c>
      <x:c r="B48" s="115" t="str">
        <x:v>Sprache untersuchen</x:v>
      </x:c>
      <x:c r="C48" s="148" t="n">
        <x:v>44</x:v>
      </x:c>
      <x:c r="D48" s="115" t="str">
        <x:v>Argumentieren und Stellung nehmen: passende sprachliche Mittel verwenden</x:v>
      </x:c>
      <x:c r="E48" s="115" t="str">
        <x:v>Verknüpfungswörter, sachlicher Ton, Gegenargument in Übungen erkennen und nach Satzmustern anwenden. Kurs-I-Niveau: reduzierte Textmenge, Leitfragen, vorstrukturierte Verfahren und alltagsnahe Transferaufgaben.</x:v>
      </x:c>
      <x:c r="F48" s="115" t="str">
        <x:v>Verknüpfungswörter, sachlicher Ton, Gegenargument hinsichtlich Wirkung und Angemessenheit prüfen und gezielt variieren. Kurs-II-Niveau: komplexere Texte, selbstständige Verfahren, Fachbegriffe und vertiefte Deutung oder Bewertung.</x:v>
      </x:c>
      <x:c r="G48" s="115" t="str">
        <x:v>de_k7_st44_argumentieren_sprachmittel</x:v>
      </x:c>
      <x:c r="H48" s="176" t="e">
        <x:f>HYPERLINK("schueler/de_k7_st44_argumentieren_sprachmittel_app.html","Lernmodul öffnen")</x:f>
      </x:c>
      <x:c r="I48" s="177" t="e">
        <x:f>HYPERLINK("lehrer/de_k7_st44_argumentieren_sprachmittel_orga.html","Vorbereitung öffnen")</x:f>
      </x:c>
    </x:row>
    <x:row r="49" ht="65" customHeight="1">
      <x:c r="A49" s="142" t="n">
        <x:v>7</x:v>
      </x:c>
      <x:c r="B49" s="115" t="str">
        <x:v>Schreiben</x:v>
      </x:c>
      <x:c r="C49" s="148" t="n">
        <x:v>45</x:v>
      </x:c>
      <x:c r="D49" s="115" t="str">
        <x:v>Argumentieren und Stellung nehmen: einen Schreibplan erstellen</x:v>
      </x:c>
      <x:c r="E49" s="115" t="str">
        <x:v>Einen vorstrukturierten Schreibplan ausfüllen; Einleitung, Hauptteil und Schluss festlegen. Kurs-I-Niveau: reduzierte Textmenge, Leitfragen, vorstrukturierte Verfahren und alltagsnahe Transferaufgaben.</x:v>
      </x:c>
      <x:c r="F49" s="115" t="str">
        <x:v>Einen eigenen Schreibplan mit Teilzielen, Belegen und sprachlichen Mitteln entwickeln. Kurs-II-Niveau: komplexere Texte, selbstständige Verfahren, Fachbegriffe und vertiefte Deutung oder Bewertung.</x:v>
      </x:c>
      <x:c r="G49" s="115" t="str">
        <x:v>de_k7_st45_argumentieren_schreibplan</x:v>
      </x:c>
      <x:c r="H49" s="176" t="e">
        <x:f>HYPERLINK("schueler/de_k7_st45_argumentieren_schreibplan_app.html","Lernmodul öffnen")</x:f>
      </x:c>
      <x:c r="I49" s="177" t="e">
        <x:f>HYPERLINK("lehrer/de_k7_st45_argumentieren_schreibplan_orga.html","Vorbereitung öffnen")</x:f>
      </x:c>
    </x:row>
    <x:row r="50" ht="65" customHeight="1">
      <x:c r="A50" s="142" t="n">
        <x:v>7</x:v>
      </x:c>
      <x:c r="B50" s="115" t="str">
        <x:v>Schreiben</x:v>
      </x:c>
      <x:c r="C50" s="148" t="n">
        <x:v>46</x:v>
      </x:c>
      <x:c r="D50" s="115" t="str">
        <x:v>Argumentieren und Stellung nehmen: einen ersten Textentwurf verfassen</x:v>
      </x:c>
      <x:c r="E50" s="115" t="str">
        <x:v>Schriftliche stellungnahme mithilfe von Schreibrahmen, Satzanfängen und Wortbank verfassen. Kurs-I-Niveau: reduzierte Textmenge, Leitfragen, vorstrukturierte Verfahren und alltagsnahe Transferaufgaben.</x:v>
      </x:c>
      <x:c r="F50" s="115" t="str">
        <x:v>Schriftliche stellungnahme selbstständig, adressatenbezogen und sprachlich differenziert verfassen. Kurs-II-Niveau: komplexere Texte, selbstständige Verfahren, Fachbegriffe und vertiefte Deutung oder Bewertung.</x:v>
      </x:c>
      <x:c r="G50" s="115" t="str">
        <x:v>de_k7_st46_argumentieren_entwurf</x:v>
      </x:c>
      <x:c r="H50" s="176" t="e">
        <x:f>HYPERLINK("schueler/de_k7_st46_argumentieren_entwurf_app.html","Lernmodul öffnen")</x:f>
      </x:c>
      <x:c r="I50" s="177" t="e">
        <x:f>HYPERLINK("lehrer/de_k7_st46_argumentieren_entwurf_orga.html","Vorbereitung öffnen")</x:f>
      </x:c>
    </x:row>
    <x:row r="51" ht="65" customHeight="1">
      <x:c r="A51" s="142" t="n">
        <x:v>7</x:v>
      </x:c>
      <x:c r="B51" s="115" t="str">
        <x:v>Schreiben</x:v>
      </x:c>
      <x:c r="C51" s="148" t="n">
        <x:v>47</x:v>
      </x:c>
      <x:c r="D51" s="115" t="str">
        <x:v>Argumentieren und Stellung nehmen: Text kriteriengeleitet überarbeiten</x:v>
      </x:c>
      <x:c r="E51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51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51" s="115" t="str">
        <x:v>de_k7_st47_argumentieren_ueberarbeiten</x:v>
      </x:c>
      <x:c r="H51" s="176" t="e">
        <x:f>HYPERLINK("schueler/de_k7_st47_argumentieren_ueberarbeiten_app.html","Lernmodul öffnen")</x:f>
      </x:c>
      <x:c r="I51" s="177" t="e">
        <x:f>HYPERLINK("lehrer/de_k7_st47_argumentieren_ueberarbeiten_orga.html","Vorbereitung öffnen")</x:f>
      </x:c>
    </x:row>
    <x:row r="52" ht="65" customHeight="1">
      <x:c r="A52" s="142" t="n">
        <x:v>7</x:v>
      </x:c>
      <x:c r="B52" s="115" t="str">
        <x:v>Sprechen und Zuhören</x:v>
      </x:c>
      <x:c r="C52" s="148" t="n">
        <x:v>48</x:v>
      </x:c>
      <x:c r="D52" s="115" t="str">
        <x:v>Argumentieren und Stellung nehmen: Texte vorstellen und bewerten</x:v>
      </x:c>
      <x:c r="E52" s="115" t="str">
        <x:v>Ausgewählte Passage vorlesen oder erläutern; Rückmeldung mit einfachen Satzmustern geben. Kurs-I-Niveau: reduzierte Textmenge, Leitfragen, vorstrukturierte Verfahren und alltagsnahe Transferaufgaben.</x:v>
      </x:c>
      <x:c r="F52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52" s="115" t="str">
        <x:v>de_k7_st48_argumentieren_vorstellen</x:v>
      </x:c>
      <x:c r="H52" s="176" t="e">
        <x:f>HYPERLINK("schueler/de_k7_st48_argumentieren_vorstellen_app.html","Lernmodul öffnen")</x:f>
      </x:c>
      <x:c r="I52" s="177" t="e">
        <x:f>HYPERLINK("lehrer/de_k7_st48_argumentieren_vorstellen_orga.html","Vorbereitung öffnen")</x:f>
      </x:c>
    </x:row>
    <x:row r="53" ht="65" customHeight="1">
      <x:c r="A53" s="142" t="n">
        <x:v>7</x:v>
      </x:c>
      <x:c r="B53" s="115" t="str">
        <x:v>Sprechen und Zuhören</x:v>
      </x:c>
      <x:c r="C53" s="148" t="n">
        <x:v>49</x:v>
      </x:c>
      <x:c r="D53" s="115" t="str">
        <x:v>Jugendroman und Lebenswelt: Hör- oder Leseeinstieg gestalten</x:v>
      </x:c>
      <x:c r="E53" s="115" t="str">
        <x:v>Einstieg über Bild, Hörtext oder kurzen Auszug; Vorwissen zu Jugendroman als Ganzschrift sammeln und zentrale Wörter klären. Kurs-I-Niveau: reduzierte Textmenge, Leitfragen, vorstrukturierte Verfahren und alltagsnahe Transferaufgaben.</x:v>
      </x:c>
      <x:c r="F53" s="115" t="str">
        <x:v>Aus Titel, Kontext und Gestaltung Erwartungen an Jugendroman als Ganzschrift ableiten; erste Hypothesen formulieren und begründen. Kurs-II-Niveau: komplexere Texte, selbstständige Verfahren, Fachbegriffe und vertiefte Deutung oder Bewertung.</x:v>
      </x:c>
      <x:c r="G53" s="115" t="str">
        <x:v>de_k7_st49_roman_einstieg</x:v>
      </x:c>
      <x:c r="H53" s="176" t="e">
        <x:f>HYPERLINK("schueler/de_k7_st49_roman_einstieg_app.html","Lernmodul öffnen")</x:f>
      </x:c>
      <x:c r="I53" s="177" t="e">
        <x:f>HYPERLINK("lehrer/de_k7_st49_roman_einstieg_orga.html","Vorbereitung öffnen")</x:f>
      </x:c>
    </x:row>
    <x:row r="54" ht="65" customHeight="1">
      <x:c r="A54" s="142" t="n">
        <x:v>7</x:v>
      </x:c>
      <x:c r="B54" s="115" t="str">
        <x:v>Lesen/Umgang mit Texten</x:v>
      </x:c>
      <x:c r="C54" s="148" t="n">
        <x:v>50</x:v>
      </x:c>
      <x:c r="D54" s="115" t="str">
        <x:v>Jugendroman und Lebenswelt: den Text mit Lesestrategien erschließen</x:v>
      </x:c>
      <x:c r="E54" s="115" t="str">
        <x:v>Text abschnittsweise lesen; Schlüsselwörter markieren und den Inhalt mit Leitfragen sichern. Kurs-I-Niveau: reduzierte Textmenge, Leitfragen, vorstrukturierte Verfahren und alltagsnahe Transferaufgaben.</x:v>
      </x:c>
      <x:c r="F54" s="115" t="str">
        <x:v>Lesetechnik passend zum Ziel wählen; Sinnabschnitte, Schlüsselstellen und offene Fragen selbstständig festhalten. Kurs-II-Niveau: komplexere Texte, selbstständige Verfahren, Fachbegriffe und vertiefte Deutung oder Bewertung.</x:v>
      </x:c>
      <x:c r="G54" s="115" t="str">
        <x:v>de_k7_st50_roman_erschliessen</x:v>
      </x:c>
      <x:c r="H54" s="176" t="e">
        <x:f>HYPERLINK("schueler/de_k7_st50_roman_erschliessen_app.html","Lernmodul öffnen")</x:f>
      </x:c>
      <x:c r="I54" s="177" t="e">
        <x:f>HYPERLINK("lehrer/de_k7_st50_roman_erschliessen_orga.html","Vorbereitung öffnen")</x:f>
      </x:c>
    </x:row>
    <x:row r="55" ht="65" customHeight="1">
      <x:c r="A55" s="142" t="n">
        <x:v>7</x:v>
      </x:c>
      <x:c r="B55" s="115" t="str">
        <x:v>Lesen/Umgang mit Texten</x:v>
      </x:c>
      <x:c r="C55" s="148" t="n">
        <x:v>51</x:v>
      </x:c>
      <x:c r="D55" s="115" t="str">
        <x:v>Jugendroman und Lebenswelt: Gattungsmerkmale erkennen</x:v>
      </x:c>
      <x:c r="E55" s="115" t="str">
        <x:v>Merkmale wie Figuren, Beziehungen, Konflikte und Kapitelstruktur mithilfe einer Checkliste zuordnen und an Textstellen zeigen. Kurs-I-Niveau: reduzierte Textmenge, Leitfragen, vorstrukturierte Verfahren und alltagsnahe Transferaufgaben.</x:v>
      </x:c>
      <x:c r="F55" s="115" t="str">
        <x:v>Merkmale wie Figuren, Beziehungen, Konflikte und Kapitelstruktur textnah belegen und ihre Funktion für Aufbau und Wirkung erklären. Kurs-II-Niveau: komplexere Texte, selbstständige Verfahren, Fachbegriffe und vertiefte Deutung oder Bewertung.</x:v>
      </x:c>
      <x:c r="G55" s="115" t="str">
        <x:v>de_k7_st51_roman_merkmale</x:v>
      </x:c>
      <x:c r="H55" s="176" t="e">
        <x:f>HYPERLINK("schueler/de_k7_st51_roman_merkmale_app.html","Lernmodul öffnen")</x:f>
      </x:c>
      <x:c r="I55" s="177" t="e">
        <x:f>HYPERLINK("lehrer/de_k7_st51_roman_merkmale_orga.html","Vorbereitung öffnen")</x:f>
      </x:c>
    </x:row>
    <x:row r="56" ht="65" customHeight="1">
      <x:c r="A56" s="142" t="n">
        <x:v>7</x:v>
      </x:c>
      <x:c r="B56" s="115" t="str">
        <x:v>Lesen/Umgang mit Texten</x:v>
      </x:c>
      <x:c r="C56" s="148" t="n">
        <x:v>52</x:v>
      </x:c>
      <x:c r="D56" s="115" t="str">
        <x:v>Jugendroman und Lebenswelt: Figuren, Handlung und Konflikt untersuchen</x:v>
      </x:c>
      <x:c r="E56" s="115" t="str">
        <x:v>Motive, Werte, Entwicklung und Erzählweise mit Figurenkarten oder Handlungsstreifen ordnen; einfache Belege auswählen. Kurs-I-Niveau: reduzierte Textmenge, Leitfragen, vorstrukturierte Verfahren und alltagsnahe Transferaufgaben.</x:v>
      </x:c>
      <x:c r="F56" s="115" t="str">
        <x:v>Motive, Werte, Entwicklung und Erzählweise in ihrem Zusammenhang untersuchen; Schlussfolgerungen mit passenden Textbelegen absichern. Kurs-II-Niveau: komplexere Texte, selbstständige Verfahren, Fachbegriffe und vertiefte Deutung oder Bewertung.</x:v>
      </x:c>
      <x:c r="G56" s="115" t="str">
        <x:v>de_k7_st52_roman_figuren_handlung</x:v>
      </x:c>
      <x:c r="H56" s="176" t="e">
        <x:f>HYPERLINK("schueler/de_k7_st52_roman_figuren_handlung_app.html","Lernmodul öffnen")</x:f>
      </x:c>
      <x:c r="I56" s="177" t="e">
        <x:f>HYPERLINK("lehrer/de_k7_st52_roman_figuren_handlung_orga.html","Vorbereitung öffnen")</x:f>
      </x:c>
    </x:row>
    <x:row r="57" ht="65" customHeight="1">
      <x:c r="A57" s="142" t="n">
        <x:v>7</x:v>
      </x:c>
      <x:c r="B57" s="115" t="str">
        <x:v>Sprache untersuchen</x:v>
      </x:c>
      <x:c r="C57" s="148" t="n">
        <x:v>53</x:v>
      </x:c>
      <x:c r="D57" s="115" t="str">
        <x:v>Jugendroman und Lebenswelt: Sprache und Wirkung untersuchen</x:v>
      </x:c>
      <x:c r="E57" s="115" t="str">
        <x:v>Beispiele für Figurenrede, Perspektive, Zeitgestaltung markieren und ihre Wirkung mit vorgegebenen Begriffen beschreiben. Kurs-I-Niveau: reduzierte Textmenge, Leitfragen, vorstrukturierte Verfahren und alltagsnahe Transferaufgaben.</x:v>
      </x:c>
      <x:c r="F57" s="115" t="str">
        <x:v>Figurenrede, Perspektive, Zeitgestaltung fachsprachlich analysieren und auf Figurenzeichnung, Stimmung oder Aussage beziehen. Kurs-II-Niveau: komplexere Texte, selbstständige Verfahren, Fachbegriffe und vertiefte Deutung oder Bewertung.</x:v>
      </x:c>
      <x:c r="G57" s="115" t="str">
        <x:v>de_k7_st53_roman_sprache_wirkung</x:v>
      </x:c>
      <x:c r="H57" s="176" t="e">
        <x:f>HYPERLINK("schueler/de_k7_st53_roman_sprache_wirkung_app.html","Lernmodul öffnen")</x:f>
      </x:c>
      <x:c r="I57" s="177" t="e">
        <x:f>HYPERLINK("lehrer/de_k7_st53_roman_sprache_wirkung_orga.html","Vorbereitung öffnen")</x:f>
      </x:c>
    </x:row>
    <x:row r="58" ht="65" customHeight="1">
      <x:c r="A58" s="142" t="n">
        <x:v>7</x:v>
      </x:c>
      <x:c r="B58" s="115" t="str">
        <x:v>Schreiben</x:v>
      </x:c>
      <x:c r="C58" s="148" t="n">
        <x:v>54</x:v>
      </x:c>
      <x:c r="D58" s="115" t="str">
        <x:v>Jugendroman und Lebenswelt: eine Deutung oder Perspektive vorbereiten</x:v>
      </x:c>
      <x:c r="E58" s="115" t="str">
        <x:v>Eine zentrale Aussage mit Satzstartern formulieren; Beleg und Erklärung in einem Schreibrahmen verbinden. Kurs-I-Niveau: reduzierte Textmenge, Leitfragen, vorstrukturierte Verfahren und alltagsnahe Transferaufgaben.</x:v>
      </x:c>
      <x:c r="F58" s="115" t="str">
        <x:v>Eine schlüssige Deutungshypothese entwickeln; mehrere Belege auswählen, ordnen und gegeneinander abwägen. Kurs-II-Niveau: komplexere Texte, selbstständige Verfahren, Fachbegriffe und vertiefte Deutung oder Bewertung.</x:v>
      </x:c>
      <x:c r="G58" s="115" t="str">
        <x:v>de_k7_st54_roman_deutung_planen</x:v>
      </x:c>
      <x:c r="H58" s="176" t="e">
        <x:f>HYPERLINK("schueler/de_k7_st54_roman_deutung_planen_app.html","Lernmodul öffnen")</x:f>
      </x:c>
      <x:c r="I58" s="177" t="e">
        <x:f>HYPERLINK("lehrer/de_k7_st54_roman_deutung_planen_orga.html","Vorbereitung öffnen")</x:f>
      </x:c>
    </x:row>
    <x:row r="59" ht="65" customHeight="1">
      <x:c r="A59" s="142" t="n">
        <x:v>7</x:v>
      </x:c>
      <x:c r="B59" s="115" t="str">
        <x:v>Schreiben</x:v>
      </x:c>
      <x:c r="C59" s="148" t="n">
        <x:v>55</x:v>
      </x:c>
      <x:c r="D59" s="115" t="str">
        <x:v>Jugendroman und Lebenswelt: Lesetagebuch oder Podcast gestalten</x:v>
      </x:c>
      <x:c r="E59" s="115" t="str">
        <x:v>Lesetagebuch oder podcast nach klaren Vorgaben erstellen; Hilfekarten und Wortbank nutzen. Kurs-I-Niveau: reduzierte Textmenge, Leitfragen, vorstrukturierte Verfahren und alltagsnahe Transferaufgaben.</x:v>
      </x:c>
      <x:c r="F59" s="115" t="str">
        <x:v>Lesetagebuch oder podcast eigenständig, textnah und sprachlich variabel gestalten; Wirkung bewusst planen. Kurs-II-Niveau: komplexere Texte, selbstständige Verfahren, Fachbegriffe und vertiefte Deutung oder Bewertung.</x:v>
      </x:c>
      <x:c r="G59" s="115" t="str">
        <x:v>de_k7_st55_roman_produkt</x:v>
      </x:c>
      <x:c r="H59" s="176" t="e">
        <x:f>HYPERLINK("schueler/de_k7_st55_roman_produkt_app.html","Lernmodul öffnen")</x:f>
      </x:c>
      <x:c r="I59" s="177" t="e">
        <x:f>HYPERLINK("lehrer/de_k7_st55_roman_produkt_orga.html","Vorbereitung öffnen")</x:f>
      </x:c>
    </x:row>
    <x:row r="60" ht="65" customHeight="1">
      <x:c r="A60" s="142" t="n">
        <x:v>7</x:v>
      </x:c>
      <x:c r="B60" s="115" t="str">
        <x:v>Sprechen und Zuhören</x:v>
      </x:c>
      <x:c r="C60" s="148" t="n">
        <x:v>56</x:v>
      </x:c>
      <x:c r="D60" s="115" t="str">
        <x:v>Jugendroman und Lebenswelt: Ergebnisse präsentieren und reflektieren</x:v>
      </x:c>
      <x:c r="E60" s="115" t="str">
        <x:v>Ergebnis kurz vorstellen; zwei vereinbarte Kriterien für Rückmeldung anwenden. Kurs-I-Niveau: reduzierte Textmenge, Leitfragen, vorstrukturierte Verfahren und alltagsnahe Transferaufgaben.</x:v>
      </x:c>
      <x:c r="F60" s="115" t="str">
        <x:v>Ergebnis adressatenbezogen präsentieren; Rückmeldungen begründen und die eigene Deutung oder Gestaltung überarbeiten. Kurs-II-Niveau: komplexere Texte, selbstständige Verfahren, Fachbegriffe und vertiefte Deutung oder Bewertung.</x:v>
      </x:c>
      <x:c r="G60" s="115" t="str">
        <x:v>de_k7_st56_roman_praesentieren</x:v>
      </x:c>
      <x:c r="H60" s="176" t="e">
        <x:f>HYPERLINK("schueler/de_k7_st56_roman_praesentieren_app.html","Lernmodul öffnen")</x:f>
      </x:c>
      <x:c r="I60" s="177" t="e">
        <x:f>HYPERLINK("lehrer/de_k7_st56_roman_praesentieren_orga.html","Vorbereitung öffnen")</x:f>
      </x:c>
    </x:row>
    <x:row r="61" ht="65" customHeight="1">
      <x:c r="A61" s="142" t="n">
        <x:v>7</x:v>
      </x:c>
      <x:c r="B61" s="115" t="str">
        <x:v>Lesen/Umgang mit Texten</x:v>
      </x:c>
      <x:c r="C61" s="148" t="n">
        <x:v>57</x:v>
      </x:c>
      <x:c r="D61" s="115" t="str">
        <x:v>Reportage und lebendiger Bericht: Beispieltexte untersuchen</x:v>
      </x:c>
      <x:c r="E61" s="115" t="str">
        <x:v>Ein Beispiel für Bericht und Reportage lesen; Aufbau und typische Formulierungen farbig kennzeichnen. Kurs-I-Niveau: reduzierte Textmenge, Leitfragen, vorstrukturierte Verfahren und alltagsnahe Transferaufgaben.</x:v>
      </x:c>
      <x:c r="F61" s="115" t="str">
        <x:v>Mehrere Beispiele für Bericht und Reportage vergleichen; Funktion, Adressat und Qualitätsunterschiede herausarbeiten. Kurs-II-Niveau: komplexere Texte, selbstständige Verfahren, Fachbegriffe und vertiefte Deutung oder Bewertung.</x:v>
      </x:c>
      <x:c r="G61" s="115" t="str">
        <x:v>de_k7_st57_reportage_beispiel</x:v>
      </x:c>
      <x:c r="H61" s="176" t="e">
        <x:f>HYPERLINK("schueler/de_k7_st57_reportage_beispiel_app.html","Lernmodul öffnen")</x:f>
      </x:c>
      <x:c r="I61" s="177" t="e">
        <x:f>HYPERLINK("lehrer/de_k7_st57_reportage_beispiel_orga.html","Vorbereitung öffnen")</x:f>
      </x:c>
    </x:row>
    <x:row r="62" ht="65" customHeight="1">
      <x:c r="A62" s="142" t="n">
        <x:v>7</x:v>
      </x:c>
      <x:c r="B62" s="115" t="str">
        <x:v>Schreiben</x:v>
      </x:c>
      <x:c r="C62" s="148" t="n">
        <x:v>58</x:v>
      </x:c>
      <x:c r="D62" s="115" t="str">
        <x:v>Reportage und lebendiger Bericht: Schreibziel und Kriterien klären</x:v>
      </x:c>
      <x:c r="E62" s="115" t="str">
        <x:v>Schreibziel „Fakten korrekt und anschaulich darstellen“ verstehen; eine kurze Kriterienliste auf ein Beispiel anwenden. Kurs-I-Niveau: reduzierte Textmenge, Leitfragen, vorstrukturierte Verfahren und alltagsnahe Transferaufgaben.</x:v>
      </x:c>
      <x:c r="F62" s="115" t="str">
        <x:v>Schreibziel „Fakten korrekt und anschaulich darstellen“ präzisieren; Kriterien gewichten und auf unterschiedliche Schreibsituationen übertragen. Kurs-II-Niveau: komplexere Texte, selbstständige Verfahren, Fachbegriffe und vertiefte Deutung oder Bewertung.</x:v>
      </x:c>
      <x:c r="G62" s="115" t="str">
        <x:v>de_k7_st58_reportage_kriterien</x:v>
      </x:c>
      <x:c r="H62" s="176" t="e">
        <x:f>HYPERLINK("schueler/de_k7_st58_reportage_kriterien_app.html","Lernmodul öffnen")</x:f>
      </x:c>
      <x:c r="I62" s="177" t="e">
        <x:f>HYPERLINK("lehrer/de_k7_st58_reportage_kriterien_orga.html","Vorbereitung öffnen")</x:f>
      </x:c>
    </x:row>
    <x:row r="63" ht="65" customHeight="1">
      <x:c r="A63" s="142" t="n">
        <x:v>7</x:v>
      </x:c>
      <x:c r="B63" s="115" t="str">
        <x:v>Lesen/Umgang mit Texten</x:v>
      </x:c>
      <x:c r="C63" s="148" t="n">
        <x:v>59</x:v>
      </x:c>
      <x:c r="D63" s="115" t="str">
        <x:v>Reportage und lebendiger Bericht: Inhalte auswählen und ordnen</x:v>
      </x:c>
      <x:c r="E63" s="115" t="str">
        <x:v>Recherche, Aufbau und Perspektive mit Leitfragen sammeln und in einer vorgegebenen Reihenfolge ordnen. Kurs-I-Niveau: reduzierte Textmenge, Leitfragen, vorstrukturierte Verfahren und alltagsnahe Transferaufgaben.</x:v>
      </x:c>
      <x:c r="F63" s="115" t="str">
        <x:v>Recherche, Aufbau und Perspektive selbstständig auswählen, gewichten und in einer passenden Gliederung strukturieren. Kurs-II-Niveau: komplexere Texte, selbstständige Verfahren, Fachbegriffe und vertiefte Deutung oder Bewertung.</x:v>
      </x:c>
      <x:c r="G63" s="115" t="str">
        <x:v>de_k7_st59_reportage_inhalte_ordnen</x:v>
      </x:c>
      <x:c r="H63" s="176" t="e">
        <x:f>HYPERLINK("schueler/de_k7_st59_reportage_inhalte_ordnen_app.html","Lernmodul öffnen")</x:f>
      </x:c>
      <x:c r="I63" s="177" t="e">
        <x:f>HYPERLINK("lehrer/de_k7_st59_reportage_inhalte_ordnen_orga.html","Vorbereitung öffnen")</x:f>
      </x:c>
    </x:row>
    <x:row r="64" ht="65" customHeight="1">
      <x:c r="A64" s="142" t="n">
        <x:v>7</x:v>
      </x:c>
      <x:c r="B64" s="115" t="str">
        <x:v>Sprache untersuchen</x:v>
      </x:c>
      <x:c r="C64" s="148" t="n">
        <x:v>60</x:v>
      </x:c>
      <x:c r="D64" s="115" t="str">
        <x:v>Reportage und lebendiger Bericht: passende sprachliche Mittel verwenden</x:v>
      </x:c>
      <x:c r="E64" s="115" t="str">
        <x:v>szenischer Einstieg, Zitate, beschreibende Passagen in Übungen erkennen und nach Satzmustern anwenden. Kurs-I-Niveau: reduzierte Textmenge, Leitfragen, vorstrukturierte Verfahren und alltagsnahe Transferaufgaben.</x:v>
      </x:c>
      <x:c r="F64" s="115" t="str">
        <x:v>szenischer Einstieg, Zitate, beschreibende Passagen hinsichtlich Wirkung und Angemessenheit prüfen und gezielt variieren. Kurs-II-Niveau: komplexere Texte, selbstständige Verfahren, Fachbegriffe und vertiefte Deutung oder Bewertung.</x:v>
      </x:c>
      <x:c r="G64" s="115" t="str">
        <x:v>de_k7_st60_reportage_sprachmittel</x:v>
      </x:c>
      <x:c r="H64" s="176" t="e">
        <x:f>HYPERLINK("schueler/de_k7_st60_reportage_sprachmittel_app.html","Lernmodul öffnen")</x:f>
      </x:c>
      <x:c r="I64" s="177" t="e">
        <x:f>HYPERLINK("lehrer/de_k7_st60_reportage_sprachmittel_orga.html","Vorbereitung öffnen")</x:f>
      </x:c>
    </x:row>
    <x:row r="65" ht="65" customHeight="1">
      <x:c r="A65" s="142" t="n">
        <x:v>7</x:v>
      </x:c>
      <x:c r="B65" s="115" t="str">
        <x:v>Schreiben</x:v>
      </x:c>
      <x:c r="C65" s="148" t="n">
        <x:v>61</x:v>
      </x:c>
      <x:c r="D65" s="115" t="str">
        <x:v>Reportage und lebendiger Bericht: einen Schreibplan erstellen</x:v>
      </x:c>
      <x:c r="E65" s="115" t="str">
        <x:v>Einen vorstrukturierten Schreibplan ausfüllen; Einleitung, Hauptteil und Schluss festlegen. Kurs-I-Niveau: reduzierte Textmenge, Leitfragen, vorstrukturierte Verfahren und alltagsnahe Transferaufgaben.</x:v>
      </x:c>
      <x:c r="F65" s="115" t="str">
        <x:v>Einen eigenen Schreibplan mit Teilzielen, Belegen und sprachlichen Mitteln entwickeln. Kurs-II-Niveau: komplexere Texte, selbstständige Verfahren, Fachbegriffe und vertiefte Deutung oder Bewertung.</x:v>
      </x:c>
      <x:c r="G65" s="115" t="str">
        <x:v>de_k7_st61_reportage_schreibplan</x:v>
      </x:c>
      <x:c r="H65" s="176" t="e">
        <x:f>HYPERLINK("schueler/de_k7_st61_reportage_schreibplan_app.html","Lernmodul öffnen")</x:f>
      </x:c>
      <x:c r="I65" s="177" t="e">
        <x:f>HYPERLINK("lehrer/de_k7_st61_reportage_schreibplan_orga.html","Vorbereitung öffnen")</x:f>
      </x:c>
    </x:row>
    <x:row r="66" ht="65" customHeight="1">
      <x:c r="A66" s="142" t="n">
        <x:v>7</x:v>
      </x:c>
      <x:c r="B66" s="115" t="str">
        <x:v>Schreiben</x:v>
      </x:c>
      <x:c r="C66" s="148" t="n">
        <x:v>62</x:v>
      </x:c>
      <x:c r="D66" s="115" t="str">
        <x:v>Reportage und lebendiger Bericht: einen ersten Textentwurf verfassen</x:v>
      </x:c>
      <x:c r="E66" s="115" t="str">
        <x:v>Schulreportage mithilfe von Schreibrahmen, Satzanfängen und Wortbank verfassen. Kurs-I-Niveau: reduzierte Textmenge, Leitfragen, vorstrukturierte Verfahren und alltagsnahe Transferaufgaben.</x:v>
      </x:c>
      <x:c r="F66" s="115" t="str">
        <x:v>Schulreportage selbstständig, adressatenbezogen und sprachlich differenziert verfassen. Kurs-II-Niveau: komplexere Texte, selbstständige Verfahren, Fachbegriffe und vertiefte Deutung oder Bewertung.</x:v>
      </x:c>
      <x:c r="G66" s="115" t="str">
        <x:v>de_k7_st62_reportage_entwurf</x:v>
      </x:c>
      <x:c r="H66" s="176" t="e">
        <x:f>HYPERLINK("schueler/de_k7_st62_reportage_entwurf_app.html","Lernmodul öffnen")</x:f>
      </x:c>
      <x:c r="I66" s="177" t="e">
        <x:f>HYPERLINK("lehrer/de_k7_st62_reportage_entwurf_orga.html","Vorbereitung öffnen")</x:f>
      </x:c>
    </x:row>
    <x:row r="67" ht="65" customHeight="1">
      <x:c r="A67" s="142" t="n">
        <x:v>7</x:v>
      </x:c>
      <x:c r="B67" s="115" t="str">
        <x:v>Schreiben</x:v>
      </x:c>
      <x:c r="C67" s="148" t="n">
        <x:v>63</x:v>
      </x:c>
      <x:c r="D67" s="115" t="str">
        <x:v>Reportage und lebendiger Bericht: Text kriteriengeleitet überarbeiten</x:v>
      </x:c>
      <x:c r="E67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67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67" s="115" t="str">
        <x:v>de_k7_st63_reportage_ueberarbeiten</x:v>
      </x:c>
      <x:c r="H67" s="176" t="e">
        <x:f>HYPERLINK("schueler/de_k7_st63_reportage_ueberarbeiten_app.html","Lernmodul öffnen")</x:f>
      </x:c>
      <x:c r="I67" s="177" t="e">
        <x:f>HYPERLINK("lehrer/de_k7_st63_reportage_ueberarbeiten_orga.html","Vorbereitung öffnen")</x:f>
      </x:c>
    </x:row>
    <x:row r="68" ht="65" customHeight="1">
      <x:c r="A68" s="142" t="n">
        <x:v>7</x:v>
      </x:c>
      <x:c r="B68" s="115" t="str">
        <x:v>Sprechen und Zuhören</x:v>
      </x:c>
      <x:c r="C68" s="148" t="n">
        <x:v>64</x:v>
      </x:c>
      <x:c r="D68" s="115" t="str">
        <x:v>Reportage und lebendiger Bericht: Texte vorstellen und bewerten</x:v>
      </x:c>
      <x:c r="E68" s="115" t="str">
        <x:v>Ausgewählte Passage vorlesen oder erläutern; Rückmeldung mit einfachen Satzmustern geben. Kurs-I-Niveau: reduzierte Textmenge, Leitfragen, vorstrukturierte Verfahren und alltagsnahe Transferaufgaben.</x:v>
      </x:c>
      <x:c r="F68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68" s="115" t="str">
        <x:v>de_k7_st64_reportage_vorstellen</x:v>
      </x:c>
      <x:c r="H68" s="176" t="e">
        <x:f>HYPERLINK("schueler/de_k7_st64_reportage_vorstellen_app.html","Lernmodul öffnen")</x:f>
      </x:c>
      <x:c r="I68" s="177" t="e">
        <x:f>HYPERLINK("lehrer/de_k7_st64_reportage_vorstellen_orga.html","Vorbereitung öffnen")</x:f>
      </x:c>
    </x:row>
    <x:row r="69" ht="65" customHeight="1">
      <x:c r="A69" s="142" t="n">
        <x:v>7</x:v>
      </x:c>
      <x:c r="B69" s="115" t="str">
        <x:v>Sprechen und Zuhören</x:v>
      </x:c>
      <x:c r="C69" s="148" t="n">
        <x:v>65</x:v>
      </x:c>
      <x:c r="D69" s="115" t="str">
        <x:v>Werbung analysieren: Vorwissen und Positionen klären</x:v>
      </x:c>
      <x:c r="E69" s="115" t="str">
        <x:v>Eigene Erfahrungen zu Werbeanzeigen, Spots und Influencer-Werbung benennen; zentrale Begriffe mit Beispielen klären. Kurs-I-Niveau: reduzierte Textmenge, Leitfragen, vorstrukturierte Verfahren und alltagsnahe Transferaufgaben.</x:v>
      </x:c>
      <x:c r="F69" s="115" t="str">
        <x:v>Vorwissen zu Werbeanzeigen, Spots und Influencer-Werbung strukturieren; erste Positionen formulieren und mögliche Konflikte benennen. Kurs-II-Niveau: komplexere Texte, selbstständige Verfahren, Fachbegriffe und vertiefte Deutung oder Bewertung.</x:v>
      </x:c>
      <x:c r="G69" s="115" t="str">
        <x:v>de_k7_st65_werbung_einstieg</x:v>
      </x:c>
      <x:c r="H69" s="176" t="e">
        <x:f>HYPERLINK("schueler/de_k7_st65_werbung_einstieg_app.html","Lernmodul öffnen")</x:f>
      </x:c>
      <x:c r="I69" s="177" t="e">
        <x:f>HYPERLINK("lehrer/de_k7_st65_werbung_einstieg_orga.html","Vorbereitung öffnen")</x:f>
      </x:c>
    </x:row>
    <x:row r="70" ht="65" customHeight="1">
      <x:c r="A70" s="142" t="n">
        <x:v>7</x:v>
      </x:c>
      <x:c r="B70" s="115" t="str">
        <x:v>Lesen/Umgang mit Texten</x:v>
      </x:c>
      <x:c r="C70" s="148" t="n">
        <x:v>66</x:v>
      </x:c>
      <x:c r="D70" s="115" t="str">
        <x:v>Werbung analysieren: Quellen und Materialien erschließen</x:v>
      </x:c>
      <x:c r="E70" s="115" t="str">
        <x:v>Kurze Materialien lesen oder ansehen; Hauptaussagen mit Leitfragen festhalten. Kurs-I-Niveau: reduzierte Textmenge, Leitfragen, vorstrukturierte Verfahren und alltagsnahe Transferaufgaben.</x:v>
      </x:c>
      <x:c r="F70" s="115" t="str">
        <x:v>Unterschiedliche Materialien selbstständig erschließen; Aussage, Intention und Kontext bestimmen. Kurs-II-Niveau: komplexere Texte, selbstständige Verfahren, Fachbegriffe und vertiefte Deutung oder Bewertung.</x:v>
      </x:c>
      <x:c r="G70" s="115" t="str">
        <x:v>de_k7_st66_werbung_quellen</x:v>
      </x:c>
      <x:c r="H70" s="176" t="e">
        <x:f>HYPERLINK("schueler/de_k7_st66_werbung_quellen_app.html","Lernmodul öffnen")</x:f>
      </x:c>
      <x:c r="I70" s="177" t="e">
        <x:f>HYPERLINK("lehrer/de_k7_st66_werbung_quellen_orga.html","Vorbereitung öffnen")</x:f>
      </x:c>
    </x:row>
    <x:row r="71" ht="65" customHeight="1">
      <x:c r="A71" s="142" t="n">
        <x:v>7</x:v>
      </x:c>
      <x:c r="B71" s="115" t="str">
        <x:v>Lesen/Umgang mit Texten</x:v>
      </x:c>
      <x:c r="C71" s="148" t="n">
        <x:v>67</x:v>
      </x:c>
      <x:c r="D71" s="115" t="str">
        <x:v>Werbung analysieren: Qualitätskriterien anwenden</x:v>
      </x:c>
      <x:c r="E71" s="115" t="str">
        <x:v>Produkt, Zielgruppe, Botschaft und Kennzeichnung in einer Checkliste anwenden und Auffälligkeiten markieren. Kurs-I-Niveau: reduzierte Textmenge, Leitfragen, vorstrukturierte Verfahren und alltagsnahe Transferaufgaben.</x:v>
      </x:c>
      <x:c r="F71" s="115" t="str">
        <x:v>Produkt, Zielgruppe, Botschaft und Kennzeichnung gewichten, auf Grenzfälle anwenden und begründete Qualitätsurteile formulieren. Kurs-II-Niveau: komplexere Texte, selbstständige Verfahren, Fachbegriffe und vertiefte Deutung oder Bewertung.</x:v>
      </x:c>
      <x:c r="G71" s="115" t="str">
        <x:v>de_k7_st67_werbung_kriterien</x:v>
      </x:c>
      <x:c r="H71" s="176" t="e">
        <x:f>HYPERLINK("schueler/de_k7_st67_werbung_kriterien_app.html","Lernmodul öffnen")</x:f>
      </x:c>
      <x:c r="I71" s="177" t="e">
        <x:f>HYPERLINK("lehrer/de_k7_st67_werbung_kriterien_orga.html","Vorbereitung öffnen")</x:f>
      </x:c>
    </x:row>
    <x:row r="72" ht="65" customHeight="1">
      <x:c r="A72" s="142" t="n">
        <x:v>7</x:v>
      </x:c>
      <x:c r="B72" s="115" t="str">
        <x:v>Lesen/Umgang mit Texten</x:v>
      </x:c>
      <x:c r="C72" s="148" t="n">
        <x:v>68</x:v>
      </x:c>
      <x:c r="D72" s="115" t="str">
        <x:v>Werbung analysieren: Darstellungen vergleichen</x:v>
      </x:c>
      <x:c r="E72" s="115" t="str">
        <x:v>Printanzeige, video und social-media-beitrag nach vorgegebenen Merkmalen vergleichen. Kurs-I-Niveau: reduzierte Textmenge, Leitfragen, vorstrukturierte Verfahren und alltagsnahe Transferaufgaben.</x:v>
      </x:c>
      <x:c r="F72" s="115" t="str">
        <x:v>Printanzeige, video und social-media-beitrag hinsichtlich Informationsauswahl, Gestaltung, Wirkung und Interessen vergleichen. Kurs-II-Niveau: komplexere Texte, selbstständige Verfahren, Fachbegriffe und vertiefte Deutung oder Bewertung.</x:v>
      </x:c>
      <x:c r="G72" s="115" t="str">
        <x:v>de_k7_st68_werbung_vergleichen</x:v>
      </x:c>
      <x:c r="H72" s="176" t="e">
        <x:f>HYPERLINK("schueler/de_k7_st68_werbung_vergleichen_app.html","Lernmodul öffnen")</x:f>
      </x:c>
      <x:c r="I72" s="177" t="e">
        <x:f>HYPERLINK("lehrer/de_k7_st68_werbung_vergleichen_orga.html","Vorbereitung öffnen")</x:f>
      </x:c>
    </x:row>
    <x:row r="73" ht="65" customHeight="1">
      <x:c r="A73" s="142" t="n">
        <x:v>7</x:v>
      </x:c>
      <x:c r="B73" s="115" t="str">
        <x:v>Schreiben</x:v>
      </x:c>
      <x:c r="C73" s="148" t="n">
        <x:v>69</x:v>
      </x:c>
      <x:c r="D73" s="115" t="str">
        <x:v>Werbung analysieren: Informationen prüfen und ordnen</x:v>
      </x:c>
      <x:c r="E73" s="115" t="str">
        <x:v>Informationen aus vorgegebenen Quellen auswählen; Fundstellen notieren und geordnet ablegen. Kurs-I-Niveau: reduzierte Textmenge, Leitfragen, vorstrukturierte Verfahren und alltagsnahe Transferaufgaben.</x:v>
      </x:c>
      <x:c r="F73" s="115" t="str">
        <x:v>Recherchefrage entwickeln; Quellen prüfen, Informationen abgleichen und korrekt dokumentieren. Kurs-II-Niveau: komplexere Texte, selbstständige Verfahren, Fachbegriffe und vertiefte Deutung oder Bewertung.</x:v>
      </x:c>
      <x:c r="G73" s="115" t="str">
        <x:v>de_k7_st69_werbung_recherche</x:v>
      </x:c>
      <x:c r="H73" s="176" t="e">
        <x:f>HYPERLINK("schueler/de_k7_st69_werbung_recherche_app.html","Lernmodul öffnen")</x:f>
      </x:c>
      <x:c r="I73" s="177" t="e">
        <x:f>HYPERLINK("lehrer/de_k7_st69_werbung_recherche_orga.html","Vorbereitung öffnen")</x:f>
      </x:c>
    </x:row>
    <x:row r="74" ht="65" customHeight="1">
      <x:c r="A74" s="142" t="n">
        <x:v>7</x:v>
      </x:c>
      <x:c r="B74" s="115" t="str">
        <x:v>Schreiben</x:v>
      </x:c>
      <x:c r="C74" s="148" t="n">
        <x:v>70</x:v>
      </x:c>
      <x:c r="D74" s="115" t="str">
        <x:v>Werbung analysieren: Produkt planen</x:v>
      </x:c>
      <x:c r="E74" s="115" t="str">
        <x:v>Für Werbeanalyse einen vorgegebenen Arbeitsplan ergänzen; Aufgaben verteilen. Kurs-I-Niveau: reduzierte Textmenge, Leitfragen, vorstrukturierte Verfahren und alltagsnahe Transferaufgaben.</x:v>
      </x:c>
      <x:c r="F74" s="115" t="str">
        <x:v>Für Werbeanalyse Zielgruppe, Aufbau, Medienwahl, Zeitplan und Qualitätskontrolle selbstständig festlegen. Kurs-II-Niveau: komplexere Texte, selbstständige Verfahren, Fachbegriffe und vertiefte Deutung oder Bewertung.</x:v>
      </x:c>
      <x:c r="G74" s="115" t="str">
        <x:v>de_k7_st70_werbung_planen</x:v>
      </x:c>
      <x:c r="H74" s="176" t="e">
        <x:f>HYPERLINK("schueler/de_k7_st70_werbung_planen_app.html","Lernmodul öffnen")</x:f>
      </x:c>
      <x:c r="I74" s="177" t="e">
        <x:f>HYPERLINK("lehrer/de_k7_st70_werbung_planen_orga.html","Vorbereitung öffnen")</x:f>
      </x:c>
    </x:row>
    <x:row r="75" ht="65" customHeight="1">
      <x:c r="A75" s="142" t="n">
        <x:v>7</x:v>
      </x:c>
      <x:c r="B75" s="115" t="str">
        <x:v>Schreiben</x:v>
      </x:c>
      <x:c r="C75" s="148" t="n">
        <x:v>71</x:v>
      </x:c>
      <x:c r="D75" s="115" t="str">
        <x:v>Werbung analysieren: Produkt erstellen</x:v>
      </x:c>
      <x:c r="E75" s="115" t="str">
        <x:v>Werbeanalyse mit Vorlage und klaren Teilaufträgen erstellen. Kurs-I-Niveau: reduzierte Textmenge, Leitfragen, vorstrukturierte Verfahren und alltagsnahe Transferaufgaben.</x:v>
      </x:c>
      <x:c r="F75" s="115" t="str">
        <x:v>Werbeanalyse selbstständig, adressatengerecht und quellenbewusst erstellen. Kurs-II-Niveau: komplexere Texte, selbstständige Verfahren, Fachbegriffe und vertiefte Deutung oder Bewertung.</x:v>
      </x:c>
      <x:c r="G75" s="115" t="str">
        <x:v>de_k7_st71_werbung_erstellen</x:v>
      </x:c>
      <x:c r="H75" s="176" t="e">
        <x:f>HYPERLINK("schueler/de_k7_st71_werbung_erstellen_app.html","Lernmodul öffnen")</x:f>
      </x:c>
      <x:c r="I75" s="177" t="e">
        <x:f>HYPERLINK("lehrer/de_k7_st71_werbung_erstellen_orga.html","Vorbereitung öffnen")</x:f>
      </x:c>
    </x:row>
    <x:row r="76" ht="65" customHeight="1">
      <x:c r="A76" s="142" t="n">
        <x:v>7</x:v>
      </x:c>
      <x:c r="B76" s="115" t="str">
        <x:v>Sprechen und Zuhören</x:v>
      </x:c>
      <x:c r="C76" s="148" t="n">
        <x:v>72</x:v>
      </x:c>
      <x:c r="D76" s="115" t="str">
        <x:v>Werbung analysieren: präsentieren und reflektieren</x:v>
      </x:c>
      <x:c r="E76" s="115" t="str">
        <x:v>Produkt kurz vorstellen; Rückmeldung anhand weniger Kriterien geben und annehmen. Kurs-I-Niveau: reduzierte Textmenge, Leitfragen, vorstrukturierte Verfahren und alltagsnahe Transferaufgaben.</x:v>
      </x:c>
      <x:c r="F76" s="115" t="str">
        <x:v>Produkt überzeugend präsentieren; Arbeitsprozess, Quellenwahl und Wirkung kritisch reflektieren. Kurs-II-Niveau: komplexere Texte, selbstständige Verfahren, Fachbegriffe und vertiefte Deutung oder Bewertung.</x:v>
      </x:c>
      <x:c r="G76" s="115" t="str">
        <x:v>de_k7_st72_werbung_reflexion</x:v>
      </x:c>
      <x:c r="H76" s="176" t="e">
        <x:f>HYPERLINK("schueler/de_k7_st72_werbung_reflexion_app.html","Lernmodul öffnen")</x:f>
      </x:c>
      <x:c r="I76" s="177" t="e">
        <x:f>HYPERLINK("lehrer/de_k7_st72_werbung_reflexion_orga.html","Vorbereitung öffnen")</x:f>
      </x:c>
    </x:row>
    <x:row r="77" ht="65" customHeight="1">
      <x:c r="A77" s="142" t="n">
        <x:v>7</x:v>
      </x:c>
      <x:c r="B77" s="115" t="str">
        <x:v>Sprache untersuchen</x:v>
      </x:c>
      <x:c r="C77" s="148" t="n">
        <x:v>73</x:v>
      </x:c>
      <x:c r="D77" s="115" t="str">
        <x:v>Zeichensetzung und Fremdwörter: Lernstand feststellen</x:v>
      </x:c>
      <x:c r="E77" s="115" t="str">
        <x:v>Kurze Diagnose zu Komma, direkte Rede und Fremdwortschreibung bearbeiten; eigene Unsicherheiten markieren. Kurs-I-Niveau: reduzierte Textmenge, Leitfragen, vorstrukturierte Verfahren und alltagsnahe Transferaufgaben.</x:v>
      </x:c>
      <x:c r="F77" s="115" t="str">
        <x:v>Diagnose zu Komma, direkte Rede und Fremdwortschreibung auswerten; Fehlermuster benennen und persönliche Lernziele ableiten. Kurs-II-Niveau: komplexere Texte, selbstständige Verfahren, Fachbegriffe und vertiefte Deutung oder Bewertung.</x:v>
      </x:c>
      <x:c r="G77" s="115" t="str">
        <x:v>de_k7_st73_zeichensetzung_diagnose</x:v>
      </x:c>
      <x:c r="H77" s="176" t="e">
        <x:f>HYPERLINK("schueler/de_k7_st73_zeichensetzung_diagnose_app.html","Lernmodul öffnen")</x:f>
      </x:c>
      <x:c r="I77" s="177" t="e">
        <x:f>HYPERLINK("lehrer/de_k7_st73_zeichensetzung_diagnose_orga.html","Vorbereitung öffnen")</x:f>
      </x:c>
    </x:row>
    <x:row r="78" ht="65" customHeight="1">
      <x:c r="A78" s="142" t="n">
        <x:v>7</x:v>
      </x:c>
      <x:c r="B78" s="115" t="str">
        <x:v>Sprache untersuchen</x:v>
      </x:c>
      <x:c r="C78" s="148" t="n">
        <x:v>74</x:v>
      </x:c>
      <x:c r="D78" s="115" t="str">
        <x:v>Zeichensetzung und Fremdwörter: Grundbegriffe sichern</x:v>
      </x:c>
      <x:c r="E78" s="115" t="str">
        <x:v>Satzgrenzen, Aufzählungen, Anrede und Wortbausteine an einfachen Beispielen erkennen und mit Merkkarten sichern. Kurs-I-Niveau: reduzierte Textmenge, Leitfragen, vorstrukturierte Verfahren und alltagsnahe Transferaufgaben.</x:v>
      </x:c>
      <x:c r="F78" s="115" t="str">
        <x:v>Satzgrenzen, Aufzählungen, Anrede und Wortbausteine fachsprachlich erklären, voneinander abgrenzen und in komplexeren Beispielen bestimmen. Kurs-II-Niveau: komplexere Texte, selbstständige Verfahren, Fachbegriffe und vertiefte Deutung oder Bewertung.</x:v>
      </x:c>
      <x:c r="G78" s="115" t="str">
        <x:v>de_k7_st74_zeichensetzung_grundbegriffe</x:v>
      </x:c>
      <x:c r="H78" s="176" t="e">
        <x:f>HYPERLINK("schueler/de_k7_st74_zeichensetzung_grundbegriffe_app.html","Lernmodul öffnen")</x:f>
      </x:c>
      <x:c r="I78" s="177" t="e">
        <x:f>HYPERLINK("lehrer/de_k7_st74_zeichensetzung_grundbegriffe_orga.html","Vorbereitung öffnen")</x:f>
      </x:c>
    </x:row>
    <x:row r="79" ht="65" customHeight="1">
      <x:c r="A79" s="142" t="n">
        <x:v>7</x:v>
      </x:c>
      <x:c r="B79" s="115" t="str">
        <x:v>Sprache untersuchen</x:v>
      </x:c>
      <x:c r="C79" s="148" t="n">
        <x:v>75</x:v>
      </x:c>
      <x:c r="D79" s="115" t="str">
        <x:v>Zeichensetzung und Fremdwörter: Verfahren anwenden</x:v>
      </x:c>
      <x:c r="E79" s="115" t="str">
        <x:v>grammatische Proben Schritt für Schritt anwenden; Entscheidungen mündlich begründen. Kurs-I-Niveau: reduzierte Textmenge, Leitfragen, vorstrukturierte Verfahren und alltagsnahe Transferaufgaben.</x:v>
      </x:c>
      <x:c r="F79" s="115" t="str">
        <x:v>grammatische Proben selbstständig auswählen, kombinieren und auf Zweifelsfälle übertragen. Kurs-II-Niveau: komplexere Texte, selbstständige Verfahren, Fachbegriffe und vertiefte Deutung oder Bewertung.</x:v>
      </x:c>
      <x:c r="G79" s="115" t="str">
        <x:v>de_k7_st75_zeichensetzung_verfahren</x:v>
      </x:c>
      <x:c r="H79" s="176" t="e">
        <x:f>HYPERLINK("schueler/de_k7_st75_zeichensetzung_verfahren_app.html","Lernmodul öffnen")</x:f>
      </x:c>
      <x:c r="I79" s="177" t="e">
        <x:f>HYPERLINK("lehrer/de_k7_st75_zeichensetzung_verfahren_orga.html","Vorbereitung öffnen")</x:f>
      </x:c>
    </x:row>
    <x:row r="80" ht="65" customHeight="1">
      <x:c r="A80" s="142" t="n">
        <x:v>7</x:v>
      </x:c>
      <x:c r="B80" s="115" t="str">
        <x:v>Sprache untersuchen</x:v>
      </x:c>
      <x:c r="C80" s="148" t="n">
        <x:v>76</x:v>
      </x:c>
      <x:c r="D80" s="115" t="str">
        <x:v>Zeichensetzung und Fremdwörter: Formen und Funktionen untersuchen</x:v>
      </x:c>
      <x:c r="E80" s="115" t="str">
        <x:v>Formen bilden und ihre Aufgabe im Satz mit Leitfragen beschreiben. Kurs-I-Niveau: reduzierte Textmenge, Leitfragen, vorstrukturierte Verfahren und alltagsnahe Transferaufgaben.</x:v>
      </x:c>
      <x:c r="F80" s="115" t="str">
        <x:v>Form, Funktion und Wirkung im Satz oder Text untersuchen; alternative Formulierungen vergleichen. Kurs-II-Niveau: komplexere Texte, selbstständige Verfahren, Fachbegriffe und vertiefte Deutung oder Bewertung.</x:v>
      </x:c>
      <x:c r="G80" s="115" t="str">
        <x:v>de_k7_st76_zeichensetzung_funktion</x:v>
      </x:c>
      <x:c r="H80" s="176" t="e">
        <x:f>HYPERLINK("schueler/de_k7_st76_zeichensetzung_funktion_app.html","Lernmodul öffnen")</x:f>
      </x:c>
      <x:c r="I80" s="177" t="e">
        <x:f>HYPERLINK("lehrer/de_k7_st76_zeichensetzung_funktion_orga.html","Vorbereitung öffnen")</x:f>
      </x:c>
    </x:row>
    <x:row r="81" ht="65" customHeight="1">
      <x:c r="A81" s="142" t="n">
        <x:v>7</x:v>
      </x:c>
      <x:c r="B81" s="115" t="str">
        <x:v>Schreiben</x:v>
      </x:c>
      <x:c r="C81" s="148" t="n">
        <x:v>77</x:v>
      </x:c>
      <x:c r="D81" s="115" t="str">
        <x:v>Zeichensetzung und Fremdwörter: Wissen im eigenen Text nutzen</x:v>
      </x:c>
      <x:c r="E81" s="115" t="str">
        <x:v>Eigene texte und fehlerschwerpunkte nach Vorgabe verfassen und die geübten Strukturen farbig markieren. Kurs-I-Niveau: reduzierte Textmenge, Leitfragen, vorstrukturierte Verfahren und alltagsnahe Transferaufgaben.</x:v>
      </x:c>
      <x:c r="F81" s="115" t="str">
        <x:v>Eigene texte und fehlerschwerpunkte bewusst gestalten und sprachliche Entscheidungen kommentieren. Kurs-II-Niveau: komplexere Texte, selbstständige Verfahren, Fachbegriffe und vertiefte Deutung oder Bewertung.</x:v>
      </x:c>
      <x:c r="G81" s="115" t="str">
        <x:v>de_k7_st77_zeichensetzung_anwenden</x:v>
      </x:c>
      <x:c r="H81" s="176" t="e">
        <x:f>HYPERLINK("schueler/de_k7_st77_zeichensetzung_anwenden_app.html","Lernmodul öffnen")</x:f>
      </x:c>
      <x:c r="I81" s="177" t="e">
        <x:f>HYPERLINK("lehrer/de_k7_st77_zeichensetzung_anwenden_orga.html","Vorbereitung öffnen")</x:f>
      </x:c>
    </x:row>
    <x:row r="82" ht="65" customHeight="1">
      <x:c r="A82" s="142" t="n">
        <x:v>7</x:v>
      </x:c>
      <x:c r="B82" s="115" t="str">
        <x:v>Sprache untersuchen</x:v>
      </x:c>
      <x:c r="C82" s="148" t="n">
        <x:v>78</x:v>
      </x:c>
      <x:c r="D82" s="115" t="str">
        <x:v>Zeichensetzung und Fremdwörter: Fehler finden und korrigieren</x:v>
      </x:c>
      <x:c r="E82" s="115" t="str">
        <x:v>Typische Fehler in kurzen Sätzen finden; passende Regelkarte auswählen und korrigieren. Kurs-I-Niveau: reduzierte Textmenge, Leitfragen, vorstrukturierte Verfahren und alltagsnahe Transferaufgaben.</x:v>
      </x:c>
      <x:c r="F82" s="115" t="str">
        <x:v>Fehler systematisch diagnostizieren, Regelbezug herstellen und mehrere Korrekturmöglichkeiten bewerten. Kurs-II-Niveau: komplexere Texte, selbstständige Verfahren, Fachbegriffe und vertiefte Deutung oder Bewertung.</x:v>
      </x:c>
      <x:c r="G82" s="115" t="str">
        <x:v>de_k7_st78_zeichensetzung_fehler</x:v>
      </x:c>
      <x:c r="H82" s="176" t="e">
        <x:f>HYPERLINK("schueler/de_k7_st78_zeichensetzung_fehler_app.html","Lernmodul öffnen")</x:f>
      </x:c>
      <x:c r="I82" s="177" t="e">
        <x:f>HYPERLINK("lehrer/de_k7_st78_zeichensetzung_fehler_orga.html","Vorbereitung öffnen")</x:f>
      </x:c>
    </x:row>
    <x:row r="83" ht="65" customHeight="1">
      <x:c r="A83" s="142" t="n">
        <x:v>7</x:v>
      </x:c>
      <x:c r="B83" s="115" t="str">
        <x:v>Sprache untersuchen</x:v>
      </x:c>
      <x:c r="C83" s="148" t="n">
        <x:v>79</x:v>
      </x:c>
      <x:c r="D83" s="115" t="str">
        <x:v>Zeichensetzung und Fremdwörter: Transfer auf unbekannte Beispiele</x:v>
      </x:c>
      <x:c r="E83" s="115" t="str">
        <x:v>Neue Beispiele mit Hilfekarte bearbeiten und Lösungen vergleichen. Kurs-I-Niveau: reduzierte Textmenge, Leitfragen, vorstrukturierte Verfahren und alltagsnahe Transferaufgaben.</x:v>
      </x:c>
      <x:c r="F83" s="115" t="str">
        <x:v>Unbekannte und mehrdeutige Beispiele selbstständig analysieren; Grenzfälle begründet diskutieren. Kurs-II-Niveau: komplexere Texte, selbstständige Verfahren, Fachbegriffe und vertiefte Deutung oder Bewertung.</x:v>
      </x:c>
      <x:c r="G83" s="115" t="str">
        <x:v>de_k7_st79_zeichensetzung_transfer</x:v>
      </x:c>
      <x:c r="H83" s="176" t="e">
        <x:f>HYPERLINK("schueler/de_k7_st79_zeichensetzung_transfer_app.html","Lernmodul öffnen")</x:f>
      </x:c>
      <x:c r="I83" s="177" t="e">
        <x:f>HYPERLINK("lehrer/de_k7_st79_zeichensetzung_transfer_orga.html","Vorbereitung öffnen")</x:f>
      </x:c>
    </x:row>
    <x:row r="84" ht="65" customHeight="1">
      <x:c r="A84" s="142" t="n">
        <x:v>7</x:v>
      </x:c>
      <x:c r="B84" s="115" t="str">
        <x:v>Schreiben</x:v>
      </x:c>
      <x:c r="C84" s="148" t="n">
        <x:v>80</x:v>
      </x:c>
      <x:c r="D84" s="115" t="str">
        <x:v>Zeichensetzung und Fremdwörter: Lernprodukt und Kompetenzcheck</x:v>
      </x:c>
      <x:c r="E84" s="115" t="str">
        <x:v>Merkblatt oder Übungstext erstellen; Grundregeln in einem kurzen Kompetenzcheck anwenden. Kurs-I-Niveau: reduzierte Textmenge, Leitfragen, vorstrukturierte Verfahren und alltagsnahe Transferaufgaben.</x:v>
      </x:c>
      <x:c r="F84" s="115" t="str">
        <x:v>Erklärprodukt mit eigenen Beispielen erstellen; Regeln in einem anspruchsvollen Kompetenzcheck sicher anwenden. Kurs-II-Niveau: komplexere Texte, selbstständige Verfahren, Fachbegriffe und vertiefte Deutung oder Bewertung.</x:v>
      </x:c>
      <x:c r="G84" s="115" t="str">
        <x:v>de_k7_st80_zeichensetzung_kompetenzcheck</x:v>
      </x:c>
      <x:c r="H84" s="176" t="e">
        <x:f>HYPERLINK("schueler/de_k7_st80_zeichensetzung_kompetenzcheck_app.html","Lernmodul öffnen")</x:f>
      </x:c>
      <x:c r="I84" s="177" t="e">
        <x:f>HYPERLINK("lehrer/de_k7_st80_zeichensetzung_kompetenzcheck_orga.html","Vorbereitung öffnen")</x:f>
      </x:c>
    </x:row>
    <x:row r="85" ht="65" customHeight="1">
      <x:c r="A85" s="142" t="n">
        <x:v>7</x:v>
      </x:c>
      <x:c r="B85" s="115" t="str">
        <x:v>Lesen/Umgang mit Texten</x:v>
      </x:c>
      <x:c r="C85" s="148" t="n">
        <x:v>81</x:v>
      </x:c>
      <x:c r="D85" s="115" t="str">
        <x:v>Offizielle Briefe und Reklamationen: Beispieltexte untersuchen</x:v>
      </x:c>
      <x:c r="E85" s="115" t="str">
        <x:v>Ein Beispiel für Anfrage, Beschwerde und Reklamation lesen; Aufbau und typische Formulierungen farbig kennzeichnen. Kurs-I-Niveau: reduzierte Textmenge, Leitfragen, vorstrukturierte Verfahren und alltagsnahe Transferaufgaben.</x:v>
      </x:c>
      <x:c r="F85" s="115" t="str">
        <x:v>Mehrere Beispiele für Anfrage, Beschwerde und Reklamation vergleichen; Funktion, Adressat und Qualitätsunterschiede herausarbeiten. Kurs-II-Niveau: komplexere Texte, selbstständige Verfahren, Fachbegriffe und vertiefte Deutung oder Bewertung.</x:v>
      </x:c>
      <x:c r="G85" s="115" t="str">
        <x:v>de_k7_st81_offizieller_brief_beispiel</x:v>
      </x:c>
      <x:c r="H85" s="176" t="e">
        <x:f>HYPERLINK("schueler/de_k7_st81_offizieller_brief_beispiel_app.html","Lernmodul öffnen")</x:f>
      </x:c>
      <x:c r="I85" s="177" t="e">
        <x:f>HYPERLINK("lehrer/de_k7_st81_offizieller_brief_beispiel_orga.html","Vorbereitung öffnen")</x:f>
      </x:c>
    </x:row>
    <x:row r="86" ht="65" customHeight="1">
      <x:c r="A86" s="142" t="n">
        <x:v>7</x:v>
      </x:c>
      <x:c r="B86" s="115" t="str">
        <x:v>Schreiben</x:v>
      </x:c>
      <x:c r="C86" s="148" t="n">
        <x:v>82</x:v>
      </x:c>
      <x:c r="D86" s="115" t="str">
        <x:v>Offizielle Briefe und Reklamationen: Schreibziel und Kriterien klären</x:v>
      </x:c>
      <x:c r="E86" s="115" t="str">
        <x:v>Schreibziel „ein Anliegen höflich, klar und vollständig formulieren“ verstehen; eine kurze Kriterienliste auf ein Beispiel anwenden. Kurs-I-Niveau: reduzierte Textmenge, Leitfragen, vorstrukturierte Verfahren und alltagsnahe Transferaufgaben.</x:v>
      </x:c>
      <x:c r="F86" s="115" t="str">
        <x:v>Schreibziel „ein Anliegen höflich, klar und vollständig formulieren“ präzisieren; Kriterien gewichten und auf unterschiedliche Schreibsituationen übertragen. Kurs-II-Niveau: komplexere Texte, selbstständige Verfahren, Fachbegriffe und vertiefte Deutung oder Bewertung.</x:v>
      </x:c>
      <x:c r="G86" s="115" t="str">
        <x:v>de_k7_st82_offizieller_brief_kriterien</x:v>
      </x:c>
      <x:c r="H86" s="176" t="e">
        <x:f>HYPERLINK("schueler/de_k7_st82_offizieller_brief_kriterien_app.html","Lernmodul öffnen")</x:f>
      </x:c>
      <x:c r="I86" s="177" t="e">
        <x:f>HYPERLINK("lehrer/de_k7_st82_offizieller_brief_kriterien_orga.html","Vorbereitung öffnen")</x:f>
      </x:c>
    </x:row>
    <x:row r="87" ht="65" customHeight="1">
      <x:c r="A87" s="142" t="n">
        <x:v>7</x:v>
      </x:c>
      <x:c r="B87" s="115" t="str">
        <x:v>Lesen/Umgang mit Texten</x:v>
      </x:c>
      <x:c r="C87" s="148" t="n">
        <x:v>83</x:v>
      </x:c>
      <x:c r="D87" s="115" t="str">
        <x:v>Offizielle Briefe und Reklamationen: Inhalte auswählen und ordnen</x:v>
      </x:c>
      <x:c r="E87" s="115" t="str">
        <x:v>Anlass, Forderung, Begründung, Nachweis mit Leitfragen sammeln und in einer vorgegebenen Reihenfolge ordnen. Kurs-I-Niveau: reduzierte Textmenge, Leitfragen, vorstrukturierte Verfahren und alltagsnahe Transferaufgaben.</x:v>
      </x:c>
      <x:c r="F87" s="115" t="str">
        <x:v>Anlass, Forderung, Begründung, Nachweis selbstständig auswählen, gewichten und in einer passenden Gliederung strukturieren. Kurs-II-Niveau: komplexere Texte, selbstständige Verfahren, Fachbegriffe und vertiefte Deutung oder Bewertung.</x:v>
      </x:c>
      <x:c r="G87" s="115" t="str">
        <x:v>de_k7_st83_offizieller_brief_inhalte_ordnen</x:v>
      </x:c>
      <x:c r="H87" s="176" t="e">
        <x:f>HYPERLINK("schueler/de_k7_st83_offizieller_brief_inhalte_ordnen_app.html","Lernmodul öffnen")</x:f>
      </x:c>
      <x:c r="I87" s="177" t="e">
        <x:f>HYPERLINK("lehrer/de_k7_st83_offizieller_brief_inhalte_ordnen_orga.html","Vorbereitung öffnen")</x:f>
      </x:c>
    </x:row>
    <x:row r="88" ht="65" customHeight="1">
      <x:c r="A88" s="142" t="n">
        <x:v>7</x:v>
      </x:c>
      <x:c r="B88" s="115" t="str">
        <x:v>Sprache untersuchen</x:v>
      </x:c>
      <x:c r="C88" s="148" t="n">
        <x:v>84</x:v>
      </x:c>
      <x:c r="D88" s="115" t="str">
        <x:v>Offizielle Briefe und Reklamationen: passende sprachliche Mittel verwenden</x:v>
      </x:c>
      <x:c r="E88" s="115" t="str">
        <x:v>formelle Anrede, sachlicher Ton, klare Absätze in Übungen erkennen und nach Satzmustern anwenden. Kurs-I-Niveau: reduzierte Textmenge, Leitfragen, vorstrukturierte Verfahren und alltagsnahe Transferaufgaben.</x:v>
      </x:c>
      <x:c r="F88" s="115" t="str">
        <x:v>formelle Anrede, sachlicher Ton, klare Absätze hinsichtlich Wirkung und Angemessenheit prüfen und gezielt variieren. Kurs-II-Niveau: komplexere Texte, selbstständige Verfahren, Fachbegriffe und vertiefte Deutung oder Bewertung.</x:v>
      </x:c>
      <x:c r="G88" s="115" t="str">
        <x:v>de_k7_st84_offizieller_brief_sprachmittel</x:v>
      </x:c>
      <x:c r="H88" s="176" t="e">
        <x:f>HYPERLINK("schueler/de_k7_st84_offizieller_brief_sprachmittel_app.html","Lernmodul öffnen")</x:f>
      </x:c>
      <x:c r="I88" s="177" t="e">
        <x:f>HYPERLINK("lehrer/de_k7_st84_offizieller_brief_sprachmittel_orga.html","Vorbereitung öffnen")</x:f>
      </x:c>
    </x:row>
    <x:row r="89" ht="65" customHeight="1">
      <x:c r="A89" s="142" t="n">
        <x:v>7</x:v>
      </x:c>
      <x:c r="B89" s="115" t="str">
        <x:v>Schreiben</x:v>
      </x:c>
      <x:c r="C89" s="148" t="n">
        <x:v>85</x:v>
      </x:c>
      <x:c r="D89" s="115" t="str">
        <x:v>Offizielle Briefe und Reklamationen: einen Schreibplan erstellen</x:v>
      </x:c>
      <x:c r="E89" s="115" t="str">
        <x:v>Einen vorstrukturierten Schreibplan ausfüllen; Einleitung, Hauptteil und Schluss festlegen. Kurs-I-Niveau: reduzierte Textmenge, Leitfragen, vorstrukturierte Verfahren und alltagsnahe Transferaufgaben.</x:v>
      </x:c>
      <x:c r="F89" s="115" t="str">
        <x:v>Einen eigenen Schreibplan mit Teilzielen, Belegen und sprachlichen Mitteln entwickeln. Kurs-II-Niveau: komplexere Texte, selbstständige Verfahren, Fachbegriffe und vertiefte Deutung oder Bewertung.</x:v>
      </x:c>
      <x:c r="G89" s="115" t="str">
        <x:v>de_k7_st85_offizieller_brief_schreibplan</x:v>
      </x:c>
      <x:c r="H89" s="176" t="e">
        <x:f>HYPERLINK("schueler/de_k7_st85_offizieller_brief_schreibplan_app.html","Lernmodul öffnen")</x:f>
      </x:c>
      <x:c r="I89" s="177" t="e">
        <x:f>HYPERLINK("lehrer/de_k7_st85_offizieller_brief_schreibplan_orga.html","Vorbereitung öffnen")</x:f>
      </x:c>
    </x:row>
    <x:row r="90" ht="65" customHeight="1">
      <x:c r="A90" s="142" t="n">
        <x:v>7</x:v>
      </x:c>
      <x:c r="B90" s="115" t="str">
        <x:v>Schreiben</x:v>
      </x:c>
      <x:c r="C90" s="148" t="n">
        <x:v>86</x:v>
      </x:c>
      <x:c r="D90" s="115" t="str">
        <x:v>Offizielle Briefe und Reklamationen: einen ersten Textentwurf verfassen</x:v>
      </x:c>
      <x:c r="E90" s="115" t="str">
        <x:v>Offizieller brief mithilfe von Schreibrahmen, Satzanfängen und Wortbank verfassen. Kurs-I-Niveau: reduzierte Textmenge, Leitfragen, vorstrukturierte Verfahren und alltagsnahe Transferaufgaben.</x:v>
      </x:c>
      <x:c r="F90" s="115" t="str">
        <x:v>Offizieller brief selbstständig, adressatenbezogen und sprachlich differenziert verfassen. Kurs-II-Niveau: komplexere Texte, selbstständige Verfahren, Fachbegriffe und vertiefte Deutung oder Bewertung.</x:v>
      </x:c>
      <x:c r="G90" s="115" t="str">
        <x:v>de_k7_st86_offizieller_brief_entwurf</x:v>
      </x:c>
      <x:c r="H90" s="176" t="e">
        <x:f>HYPERLINK("schueler/de_k7_st86_offizieller_brief_entwurf_app.html","Lernmodul öffnen")</x:f>
      </x:c>
      <x:c r="I90" s="177" t="e">
        <x:f>HYPERLINK("lehrer/de_k7_st86_offizieller_brief_entwurf_orga.html","Vorbereitung öffnen")</x:f>
      </x:c>
    </x:row>
    <x:row r="91" ht="65" customHeight="1">
      <x:c r="A91" s="142" t="n">
        <x:v>7</x:v>
      </x:c>
      <x:c r="B91" s="115" t="str">
        <x:v>Schreiben</x:v>
      </x:c>
      <x:c r="C91" s="148" t="n">
        <x:v>87</x:v>
      </x:c>
      <x:c r="D91" s="115" t="str">
        <x:v>Offizielle Briefe und Reklamationen: Text kriteriengeleitet überarbeiten</x:v>
      </x:c>
      <x:c r="E91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91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91" s="115" t="str">
        <x:v>de_k7_st87_offizieller_brief_ueberarbeiten</x:v>
      </x:c>
      <x:c r="H91" s="176" t="e">
        <x:f>HYPERLINK("schueler/de_k7_st87_offizieller_brief_ueberarbeiten_app.html","Lernmodul öffnen")</x:f>
      </x:c>
      <x:c r="I91" s="177" t="e">
        <x:f>HYPERLINK("lehrer/de_k7_st87_offizieller_brief_ueberarbeiten_orga.html","Vorbereitung öffnen")</x:f>
      </x:c>
    </x:row>
    <x:row r="92" ht="65" customHeight="1">
      <x:c r="A92" s="142" t="n">
        <x:v>7</x:v>
      </x:c>
      <x:c r="B92" s="115" t="str">
        <x:v>Sprechen und Zuhören</x:v>
      </x:c>
      <x:c r="C92" s="148" t="n">
        <x:v>88</x:v>
      </x:c>
      <x:c r="D92" s="115" t="str">
        <x:v>Offizielle Briefe und Reklamationen: Texte vorstellen und bewerten</x:v>
      </x:c>
      <x:c r="E92" s="115" t="str">
        <x:v>Ausgewählte Passage vorlesen oder erläutern; Rückmeldung mit einfachen Satzmustern geben. Kurs-I-Niveau: reduzierte Textmenge, Leitfragen, vorstrukturierte Verfahren und alltagsnahe Transferaufgaben.</x:v>
      </x:c>
      <x:c r="F92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92" s="115" t="str">
        <x:v>de_k7_st88_offizieller_brief_vorstellen</x:v>
      </x:c>
      <x:c r="H92" s="176" t="e">
        <x:f>HYPERLINK("schueler/de_k7_st88_offizieller_brief_vorstellen_app.html","Lernmodul öffnen")</x:f>
      </x:c>
      <x:c r="I92" s="177" t="e">
        <x:f>HYPERLINK("lehrer/de_k7_st88_offizieller_brief_vorstellen_orga.html","Vorbereitung öffnen")</x:f>
      </x:c>
    </x:row>
    <x:row r="93" ht="65" customHeight="1">
      <x:c r="A93" s="142" t="n">
        <x:v>7</x:v>
      </x:c>
      <x:c r="B93" s="115" t="str">
        <x:v>Sprechen und Zuhören</x:v>
      </x:c>
      <x:c r="C93" s="148" t="n">
        <x:v>89</x:v>
      </x:c>
      <x:c r="D93" s="115" t="str">
        <x:v>Präsentieren und ein Medienprodukt erstellen: Vorwissen und Positionen klären</x:v>
      </x:c>
      <x:c r="E93" s="115" t="str">
        <x:v>Eigene Erfahrungen zu Themenrecherche und Präsentation benennen; zentrale Begriffe mit Beispielen klären. Kurs-I-Niveau: reduzierte Textmenge, Leitfragen, vorstrukturierte Verfahren und alltagsnahe Transferaufgaben.</x:v>
      </x:c>
      <x:c r="F93" s="115" t="str">
        <x:v>Vorwissen zu Themenrecherche und Präsentation strukturieren; erste Positionen formulieren und mögliche Konflikte benennen. Kurs-II-Niveau: komplexere Texte, selbstständige Verfahren, Fachbegriffe und vertiefte Deutung oder Bewertung.</x:v>
      </x:c>
      <x:c r="G93" s="115" t="str">
        <x:v>de_k7_st89_projekt_einstieg</x:v>
      </x:c>
      <x:c r="H93" s="176" t="e">
        <x:f>HYPERLINK("schueler/de_k7_st89_projekt_einstieg_app.html","Lernmodul öffnen")</x:f>
      </x:c>
      <x:c r="I93" s="177" t="e">
        <x:f>HYPERLINK("lehrer/de_k7_st89_projekt_einstieg_orga.html","Vorbereitung öffnen")</x:f>
      </x:c>
    </x:row>
    <x:row r="94" ht="65" customHeight="1">
      <x:c r="A94" s="142" t="n">
        <x:v>7</x:v>
      </x:c>
      <x:c r="B94" s="115" t="str">
        <x:v>Lesen/Umgang mit Texten</x:v>
      </x:c>
      <x:c r="C94" s="148" t="n">
        <x:v>90</x:v>
      </x:c>
      <x:c r="D94" s="115" t="str">
        <x:v>Präsentieren und ein Medienprodukt erstellen: Quellen und Materialien erschließen</x:v>
      </x:c>
      <x:c r="E94" s="115" t="str">
        <x:v>Kurze Materialien lesen oder ansehen; Hauptaussagen mit Leitfragen festhalten. Kurs-I-Niveau: reduzierte Textmenge, Leitfragen, vorstrukturierte Verfahren und alltagsnahe Transferaufgaben.</x:v>
      </x:c>
      <x:c r="F94" s="115" t="str">
        <x:v>Unterschiedliche Materialien selbstständig erschließen; Aussage, Intention und Kontext bestimmen. Kurs-II-Niveau: komplexere Texte, selbstständige Verfahren, Fachbegriffe und vertiefte Deutung oder Bewertung.</x:v>
      </x:c>
      <x:c r="G94" s="115" t="str">
        <x:v>de_k7_st90_projekt_quellen</x:v>
      </x:c>
      <x:c r="H94" s="176" t="e">
        <x:f>HYPERLINK("schueler/de_k7_st90_projekt_quellen_app.html","Lernmodul öffnen")</x:f>
      </x:c>
      <x:c r="I94" s="177" t="e">
        <x:f>HYPERLINK("lehrer/de_k7_st90_projekt_quellen_orga.html","Vorbereitung öffnen")</x:f>
      </x:c>
    </x:row>
    <x:row r="95" ht="65" customHeight="1">
      <x:c r="A95" s="142" t="n">
        <x:v>7</x:v>
      </x:c>
      <x:c r="B95" s="115" t="str">
        <x:v>Lesen/Umgang mit Texten</x:v>
      </x:c>
      <x:c r="C95" s="148" t="n">
        <x:v>91</x:v>
      </x:c>
      <x:c r="D95" s="115" t="str">
        <x:v>Präsentieren und ein Medienprodukt erstellen: Qualitätskriterien anwenden</x:v>
      </x:c>
      <x:c r="E95" s="115" t="str">
        <x:v>Gliederung, Quellen, Visualisierung und Redezeit in einer Checkliste anwenden und Auffälligkeiten markieren. Kurs-I-Niveau: reduzierte Textmenge, Leitfragen, vorstrukturierte Verfahren und alltagsnahe Transferaufgaben.</x:v>
      </x:c>
      <x:c r="F95" s="115" t="str">
        <x:v>Gliederung, Quellen, Visualisierung und Redezeit gewichten, auf Grenzfälle anwenden und begründete Qualitätsurteile formulieren. Kurs-II-Niveau: komplexere Texte, selbstständige Verfahren, Fachbegriffe und vertiefte Deutung oder Bewertung.</x:v>
      </x:c>
      <x:c r="G95" s="115" t="str">
        <x:v>de_k7_st91_projekt_kriterien</x:v>
      </x:c>
      <x:c r="H95" s="176" t="e">
        <x:f>HYPERLINK("schueler/de_k7_st91_projekt_kriterien_app.html","Lernmodul öffnen")</x:f>
      </x:c>
      <x:c r="I95" s="177" t="e">
        <x:f>HYPERLINK("lehrer/de_k7_st91_projekt_kriterien_orga.html","Vorbereitung öffnen")</x:f>
      </x:c>
    </x:row>
    <x:row r="96" ht="65" customHeight="1">
      <x:c r="A96" s="142" t="n">
        <x:v>7</x:v>
      </x:c>
      <x:c r="B96" s="115" t="str">
        <x:v>Lesen/Umgang mit Texten</x:v>
      </x:c>
      <x:c r="C96" s="148" t="n">
        <x:v>92</x:v>
      </x:c>
      <x:c r="D96" s="115" t="str">
        <x:v>Präsentieren und ein Medienprodukt erstellen: Darstellungen vergleichen</x:v>
      </x:c>
      <x:c r="E96" s="115" t="str">
        <x:v>Vortrag, erklärvideo und infografik nach vorgegebenen Merkmalen vergleichen. Kurs-I-Niveau: reduzierte Textmenge, Leitfragen, vorstrukturierte Verfahren und alltagsnahe Transferaufgaben.</x:v>
      </x:c>
      <x:c r="F96" s="115" t="str">
        <x:v>Vortrag, erklärvideo und infografik hinsichtlich Informationsauswahl, Gestaltung, Wirkung und Interessen vergleichen. Kurs-II-Niveau: komplexere Texte, selbstständige Verfahren, Fachbegriffe und vertiefte Deutung oder Bewertung.</x:v>
      </x:c>
      <x:c r="G96" s="115" t="str">
        <x:v>de_k7_st92_projekt_vergleichen</x:v>
      </x:c>
      <x:c r="H96" s="176" t="e">
        <x:f>HYPERLINK("schueler/de_k7_st92_projekt_vergleichen_app.html","Lernmodul öffnen")</x:f>
      </x:c>
      <x:c r="I96" s="177" t="e">
        <x:f>HYPERLINK("lehrer/de_k7_st92_projekt_vergleichen_orga.html","Vorbereitung öffnen")</x:f>
      </x:c>
    </x:row>
    <x:row r="97" ht="65" customHeight="1">
      <x:c r="A97" s="142" t="n">
        <x:v>7</x:v>
      </x:c>
      <x:c r="B97" s="115" t="str">
        <x:v>Schreiben</x:v>
      </x:c>
      <x:c r="C97" s="148" t="n">
        <x:v>93</x:v>
      </x:c>
      <x:c r="D97" s="115" t="str">
        <x:v>Präsentieren und ein Medienprodukt erstellen: Informationen prüfen und ordnen</x:v>
      </x:c>
      <x:c r="E97" s="115" t="str">
        <x:v>Informationen aus vorgegebenen Quellen auswählen; Fundstellen notieren und geordnet ablegen. Kurs-I-Niveau: reduzierte Textmenge, Leitfragen, vorstrukturierte Verfahren und alltagsnahe Transferaufgaben.</x:v>
      </x:c>
      <x:c r="F97" s="115" t="str">
        <x:v>Recherchefrage entwickeln; Quellen prüfen, Informationen abgleichen und korrekt dokumentieren. Kurs-II-Niveau: komplexere Texte, selbstständige Verfahren, Fachbegriffe und vertiefte Deutung oder Bewertung.</x:v>
      </x:c>
      <x:c r="G97" s="115" t="str">
        <x:v>de_k7_st93_projekt_recherche</x:v>
      </x:c>
      <x:c r="H97" s="176" t="e">
        <x:f>HYPERLINK("schueler/de_k7_st93_projekt_recherche_app.html","Lernmodul öffnen")</x:f>
      </x:c>
      <x:c r="I97" s="177" t="e">
        <x:f>HYPERLINK("lehrer/de_k7_st93_projekt_recherche_orga.html","Vorbereitung öffnen")</x:f>
      </x:c>
    </x:row>
    <x:row r="98" ht="65" customHeight="1">
      <x:c r="A98" s="142" t="n">
        <x:v>7</x:v>
      </x:c>
      <x:c r="B98" s="115" t="str">
        <x:v>Schreiben</x:v>
      </x:c>
      <x:c r="C98" s="148" t="n">
        <x:v>94</x:v>
      </x:c>
      <x:c r="D98" s="115" t="str">
        <x:v>Präsentieren und ein Medienprodukt erstellen: Produkt planen</x:v>
      </x:c>
      <x:c r="E98" s="115" t="str">
        <x:v>Für Medienpräsentation einen vorgegebenen Arbeitsplan ergänzen; Aufgaben verteilen. Kurs-I-Niveau: reduzierte Textmenge, Leitfragen, vorstrukturierte Verfahren und alltagsnahe Transferaufgaben.</x:v>
      </x:c>
      <x:c r="F98" s="115" t="str">
        <x:v>Für Medienpräsentation Zielgruppe, Aufbau, Medienwahl, Zeitplan und Qualitätskontrolle selbstständig festlegen. Kurs-II-Niveau: komplexere Texte, selbstständige Verfahren, Fachbegriffe und vertiefte Deutung oder Bewertung.</x:v>
      </x:c>
      <x:c r="G98" s="115" t="str">
        <x:v>de_k7_st94_projekt_planen</x:v>
      </x:c>
      <x:c r="H98" s="176" t="e">
        <x:f>HYPERLINK("schueler/de_k7_st94_projekt_planen_app.html","Lernmodul öffnen")</x:f>
      </x:c>
      <x:c r="I98" s="177" t="e">
        <x:f>HYPERLINK("lehrer/de_k7_st94_projekt_planen_orga.html","Vorbereitung öffnen")</x:f>
      </x:c>
    </x:row>
    <x:row r="99" ht="65" customHeight="1">
      <x:c r="A99" s="142" t="n">
        <x:v>7</x:v>
      </x:c>
      <x:c r="B99" s="115" t="str">
        <x:v>Schreiben</x:v>
      </x:c>
      <x:c r="C99" s="148" t="n">
        <x:v>95</x:v>
      </x:c>
      <x:c r="D99" s="115" t="str">
        <x:v>Präsentieren und ein Medienprodukt erstellen: Produkt erstellen</x:v>
      </x:c>
      <x:c r="E99" s="115" t="str">
        <x:v>Medienpräsentation mit Vorlage und klaren Teilaufträgen erstellen. Kurs-I-Niveau: reduzierte Textmenge, Leitfragen, vorstrukturierte Verfahren und alltagsnahe Transferaufgaben.</x:v>
      </x:c>
      <x:c r="F99" s="115" t="str">
        <x:v>Medienpräsentation selbstständig, adressatengerecht und quellenbewusst erstellen. Kurs-II-Niveau: komplexere Texte, selbstständige Verfahren, Fachbegriffe und vertiefte Deutung oder Bewertung.</x:v>
      </x:c>
      <x:c r="G99" s="115" t="str">
        <x:v>de_k7_st95_projekt_erstellen</x:v>
      </x:c>
      <x:c r="H99" s="176" t="e">
        <x:f>HYPERLINK("schueler/de_k7_st95_projekt_erstellen_app.html","Lernmodul öffnen")</x:f>
      </x:c>
      <x:c r="I99" s="177" t="e">
        <x:f>HYPERLINK("lehrer/de_k7_st95_projekt_erstellen_orga.html","Vorbereitung öffnen")</x:f>
      </x:c>
    </x:row>
    <x:row r="100" ht="65" customHeight="1">
      <x:c r="A100" s="143" t="n">
        <x:v>7</x:v>
      </x:c>
      <x:c r="B100" s="118" t="str">
        <x:v>Sprechen und Zuhören</x:v>
      </x:c>
      <x:c r="C100" s="149" t="n">
        <x:v>96</x:v>
      </x:c>
      <x:c r="D100" s="118" t="str">
        <x:v>Präsentieren und ein Medienprodukt erstellen: präsentieren und reflektieren</x:v>
      </x:c>
      <x:c r="E100" s="118" t="str">
        <x:v>Produkt kurz vorstellen; Rückmeldung anhand weniger Kriterien geben und annehmen. Kurs-I-Niveau: reduzierte Textmenge, Leitfragen, vorstrukturierte Verfahren und alltagsnahe Transferaufgaben.</x:v>
      </x:c>
      <x:c r="F100" s="118" t="str">
        <x:v>Produkt überzeugend präsentieren; Arbeitsprozess, Quellenwahl und Wirkung kritisch reflektieren. Kurs-II-Niveau: komplexere Texte, selbstständige Verfahren, Fachbegriffe und vertiefte Deutung oder Bewertung.</x:v>
      </x:c>
      <x:c r="G100" s="118" t="str">
        <x:v>de_k7_st96_projekt_reflexion</x:v>
      </x:c>
      <x:c r="H100" s="178" t="e">
        <x:f>HYPERLINK("schueler/de_k7_st96_projekt_reflexion_app.html","Lernmodul öffnen")</x:f>
      </x:c>
      <x:c r="I100" s="179" t="e">
        <x:f>HYPERLINK("lehrer/de_k7_st96_projekt_reflexion_orga.html","Vorbereitung öffnen")</x:f>
      </x:c>
    </x:row>
  </x:sheetData>
  <x:mergeCells>
    <x:mergeCell ref="A1:I1"/>
    <x:mergeCell ref="A2:I2"/>
  </x:mergeCells>
  <x:conditionalFormatting sqref="B5:B100">
    <x:cfRule type="expression" dxfId="12" priority="1">
      <x:formula>B5="Sprechen und Zuhören"</x:formula>
    </x:cfRule>
    <x:cfRule type="expression" dxfId="13" priority="2">
      <x:formula>B5="Schreiben"</x:formula>
    </x:cfRule>
    <x:cfRule type="expression" dxfId="14" priority="3">
      <x:formula>B5="Lesen/Umgang mit Texten"</x:formula>
    </x:cfRule>
    <x:cfRule type="expression" dxfId="15" priority="4">
      <x:formula>B5="Sprache untersuchen"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9023dd3f39463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0" hidden="0" customWidth="1"/>
    <x:col min="4" max="4" width="42" hidden="0" customWidth="1"/>
    <x:col min="5" max="5" width="47" hidden="0" customWidth="1"/>
    <x:col min="6" max="6" width="47" hidden="0" customWidth="1"/>
    <x:col min="7" max="7" width="42" hidden="0" customWidth="1"/>
    <x:col min="8" max="8" width="22" hidden="0" customWidth="1"/>
    <x:col min="9" max="9" width="24" hidden="0" customWidth="1"/>
  </x:cols>
  <x:sheetData>
    <x:row r="1" ht="34" customHeight="1">
      <x:c r="A1" s="131" t="str">
        <x:v>Deutsch Klasse 8 – Schüler-Module und Lehrer-Vorbereitungen</x:v>
      </x:c>
      <x:c r="B1" s="131"/>
      <x:c r="C1" s="131"/>
      <x:c r="D1" s="131"/>
      <x:c r="E1" s="131"/>
      <x:c r="F1" s="131"/>
      <x:c r="G1" s="131"/>
      <x:c r="H1" s="131"/>
      <x:c r="I1" s="131"/>
    </x:row>
    <x:row r="2" ht="42" customHeight="1">
      <x:c r="A2" s="13" t="str">
        <x:v>Jede Unterrichtsstunde ist mit einem Schüler-Lernmodul und einer Lehrer-Vorbereitung verknüpft. Die Links funktionieren, wenn die Excel-Datei neben den Ordnern „schueler“ und „lehrer“ liegt.</x:v>
      </x:c>
      <x:c r="B2" s="13"/>
      <x:c r="C2" s="13"/>
      <x:c r="D2" s="13"/>
      <x:c r="E2" s="13"/>
      <x:c r="F2" s="13"/>
      <x:c r="G2" s="13"/>
      <x:c r="H2" s="13"/>
      <x:c r="I2" s="13"/>
    </x:row>
    <x:row r="4" ht="42" customHeight="1">
      <x:c r="A4" s="135" t="str">
        <x:v>Klasse</x:v>
      </x:c>
      <x:c r="B4" s="136" t="str">
        <x:v>Lernbereich</x:v>
      </x:c>
      <x:c r="C4" s="136" t="str">
        <x:v>Stunde</x:v>
      </x:c>
      <x:c r="D4" s="136" t="str">
        <x:v>Thema der Unterrichtsstunde</x:v>
      </x:c>
      <x:c r="E4" s="136" t="str">
        <x:v>Inhalt HSA</x:v>
      </x:c>
      <x:c r="F4" s="136" t="str">
        <x:v>Inhalt RSA</x:v>
      </x:c>
      <x:c r="G4" s="136" t="str">
        <x:v>Modul-ID</x:v>
      </x:c>
      <x:c r="H4" s="136" t="str">
        <x:v>Schüler-Modul</x:v>
      </x:c>
      <x:c r="I4" s="137" t="str">
        <x:v>Lehrer-Vorbereitung</x:v>
      </x:c>
    </x:row>
    <x:row r="5" ht="65" customHeight="1">
      <x:c r="A5" s="141" t="n">
        <x:v>8</x:v>
      </x:c>
      <x:c r="B5" s="112" t="str">
        <x:v>Sprechen und Zuhören</x:v>
      </x:c>
      <x:c r="C5" s="147" t="n">
        <x:v>1</x:v>
      </x:c>
      <x:c r="D5" s="112" t="str">
        <x:v>Lesen und Medien vergleichen: Vorwissen und Positionen klären</x:v>
      </x:c>
      <x:c r="E5" s="112" t="str">
        <x:v>Eigene Erfahrungen zu Text, Hörbeitrag, Video und Infografik benennen; zentrale Begriffe mit Beispielen klären. Kurs-I-Niveau: reduzierte Textmenge, Leitfragen, vorstrukturierte Verfahren und alltagsnahe Transferaufgaben.</x:v>
      </x:c>
      <x:c r="F5" s="112" t="str">
        <x:v>Vorwissen zu Text, Hörbeitrag, Video und Infografik strukturieren; erste Positionen formulieren und mögliche Konflikte benennen. Kurs-II-Niveau: komplexere Texte, selbstständige Verfahren, Fachbegriffe und vertiefte Deutung oder Bewertung.</x:v>
      </x:c>
      <x:c r="G5" s="112" t="str">
        <x:v>de_k8_st01_medienvergleich_einstieg</x:v>
      </x:c>
      <x:c r="H5" s="174" t="e">
        <x:f>HYPERLINK("schueler/de_k8_st01_medienvergleich_einstieg_app.html","Lernmodul öffnen")</x:f>
      </x:c>
      <x:c r="I5" s="175" t="e">
        <x:f>HYPERLINK("lehrer/de_k8_st01_medienvergleich_einstieg_orga.html","Vorbereitung öffnen")</x:f>
      </x:c>
    </x:row>
    <x:row r="6" ht="65" customHeight="1">
      <x:c r="A6" s="142" t="n">
        <x:v>8</x:v>
      </x:c>
      <x:c r="B6" s="115" t="str">
        <x:v>Lesen/Umgang mit Texten</x:v>
      </x:c>
      <x:c r="C6" s="148" t="n">
        <x:v>2</x:v>
      </x:c>
      <x:c r="D6" s="115" t="str">
        <x:v>Lesen und Medien vergleichen: Quellen und Materialien erschließen</x:v>
      </x:c>
      <x:c r="E6" s="115" t="str">
        <x:v>Kurze Materialien lesen oder ansehen; Hauptaussagen mit Leitfragen festhalten. Kurs-I-Niveau: reduzierte Textmenge, Leitfragen, vorstrukturierte Verfahren und alltagsnahe Transferaufgaben.</x:v>
      </x:c>
      <x:c r="F6" s="115" t="str">
        <x:v>Unterschiedliche Materialien selbstständig erschließen; Aussage, Intention und Kontext bestimmen. Kurs-II-Niveau: komplexere Texte, selbstständige Verfahren, Fachbegriffe und vertiefte Deutung oder Bewertung.</x:v>
      </x:c>
      <x:c r="G6" s="115" t="str">
        <x:v>de_k8_st02_medienvergleich_quellen</x:v>
      </x:c>
      <x:c r="H6" s="176" t="e">
        <x:f>HYPERLINK("schueler/de_k8_st02_medienvergleich_quellen_app.html","Lernmodul öffnen")</x:f>
      </x:c>
      <x:c r="I6" s="177" t="e">
        <x:f>HYPERLINK("lehrer/de_k8_st02_medienvergleich_quellen_orga.html","Vorbereitung öffnen")</x:f>
      </x:c>
    </x:row>
    <x:row r="7" ht="65" customHeight="1">
      <x:c r="A7" s="142" t="n">
        <x:v>8</x:v>
      </x:c>
      <x:c r="B7" s="115" t="str">
        <x:v>Lesen/Umgang mit Texten</x:v>
      </x:c>
      <x:c r="C7" s="148" t="n">
        <x:v>3</x:v>
      </x:c>
      <x:c r="D7" s="115" t="str">
        <x:v>Lesen und Medien vergleichen: Qualitätskriterien anwenden</x:v>
      </x:c>
      <x:c r="E7" s="115" t="str">
        <x:v>Kernaussage, Quelle, Gestaltung und Zielgruppe in einer Checkliste anwenden und Auffälligkeiten markieren. Kurs-I-Niveau: reduzierte Textmenge, Leitfragen, vorstrukturierte Verfahren und alltagsnahe Transferaufgaben.</x:v>
      </x:c>
      <x:c r="F7" s="115" t="str">
        <x:v>Kernaussage, Quelle, Gestaltung und Zielgruppe gewichten, auf Grenzfälle anwenden und begründete Qualitätsurteile formulieren. Kurs-II-Niveau: komplexere Texte, selbstständige Verfahren, Fachbegriffe und vertiefte Deutung oder Bewertung.</x:v>
      </x:c>
      <x:c r="G7" s="115" t="str">
        <x:v>de_k8_st03_medienvergleich_kriterien</x:v>
      </x:c>
      <x:c r="H7" s="176" t="e">
        <x:f>HYPERLINK("schueler/de_k8_st03_medienvergleich_kriterien_app.html","Lernmodul öffnen")</x:f>
      </x:c>
      <x:c r="I7" s="177" t="e">
        <x:f>HYPERLINK("lehrer/de_k8_st03_medienvergleich_kriterien_orga.html","Vorbereitung öffnen")</x:f>
      </x:c>
    </x:row>
    <x:row r="8" ht="65" customHeight="1">
      <x:c r="A8" s="142" t="n">
        <x:v>8</x:v>
      </x:c>
      <x:c r="B8" s="115" t="str">
        <x:v>Lesen/Umgang mit Texten</x:v>
      </x:c>
      <x:c r="C8" s="148" t="n">
        <x:v>4</x:v>
      </x:c>
      <x:c r="D8" s="115" t="str">
        <x:v>Lesen und Medien vergleichen: Darstellungen vergleichen</x:v>
      </x:c>
      <x:c r="E8" s="115" t="str">
        <x:v>Informationsgehalt und wirkung verschiedener medien nach vorgegebenen Merkmalen vergleichen. Kurs-I-Niveau: reduzierte Textmenge, Leitfragen, vorstrukturierte Verfahren und alltagsnahe Transferaufgaben.</x:v>
      </x:c>
      <x:c r="F8" s="115" t="str">
        <x:v>Informationsgehalt und wirkung verschiedener medien hinsichtlich Informationsauswahl, Gestaltung, Wirkung und Interessen vergleichen. Kurs-II-Niveau: komplexere Texte, selbstständige Verfahren, Fachbegriffe und vertiefte Deutung oder Bewertung.</x:v>
      </x:c>
      <x:c r="G8" s="115" t="str">
        <x:v>de_k8_st04_medienvergleich_vergleichen</x:v>
      </x:c>
      <x:c r="H8" s="176" t="e">
        <x:f>HYPERLINK("schueler/de_k8_st04_medienvergleich_vergleichen_app.html","Lernmodul öffnen")</x:f>
      </x:c>
      <x:c r="I8" s="177" t="e">
        <x:f>HYPERLINK("lehrer/de_k8_st04_medienvergleich_vergleichen_orga.html","Vorbereitung öffnen")</x:f>
      </x:c>
    </x:row>
    <x:row r="9" ht="65" customHeight="1">
      <x:c r="A9" s="142" t="n">
        <x:v>8</x:v>
      </x:c>
      <x:c r="B9" s="115" t="str">
        <x:v>Schreiben</x:v>
      </x:c>
      <x:c r="C9" s="148" t="n">
        <x:v>5</x:v>
      </x:c>
      <x:c r="D9" s="115" t="str">
        <x:v>Lesen und Medien vergleichen: Informationen prüfen und ordnen</x:v>
      </x:c>
      <x:c r="E9" s="115" t="str">
        <x:v>Informationen aus vorgegebenen Quellen auswählen; Fundstellen notieren und geordnet ablegen. Kurs-I-Niveau: reduzierte Textmenge, Leitfragen, vorstrukturierte Verfahren und alltagsnahe Transferaufgaben.</x:v>
      </x:c>
      <x:c r="F9" s="115" t="str">
        <x:v>Recherchefrage entwickeln; Quellen prüfen, Informationen abgleichen und korrekt dokumentieren. Kurs-II-Niveau: komplexere Texte, selbstständige Verfahren, Fachbegriffe und vertiefte Deutung oder Bewertung.</x:v>
      </x:c>
      <x:c r="G9" s="115" t="str">
        <x:v>de_k8_st05_medienvergleich_recherche</x:v>
      </x:c>
      <x:c r="H9" s="176" t="e">
        <x:f>HYPERLINK("schueler/de_k8_st05_medienvergleich_recherche_app.html","Lernmodul öffnen")</x:f>
      </x:c>
      <x:c r="I9" s="177" t="e">
        <x:f>HYPERLINK("lehrer/de_k8_st05_medienvergleich_recherche_orga.html","Vorbereitung öffnen")</x:f>
      </x:c>
    </x:row>
    <x:row r="10" ht="65" customHeight="1">
      <x:c r="A10" s="142" t="n">
        <x:v>8</x:v>
      </x:c>
      <x:c r="B10" s="115" t="str">
        <x:v>Schreiben</x:v>
      </x:c>
      <x:c r="C10" s="148" t="n">
        <x:v>6</x:v>
      </x:c>
      <x:c r="D10" s="115" t="str">
        <x:v>Lesen und Medien vergleichen: Produkt planen</x:v>
      </x:c>
      <x:c r="E10" s="115" t="str">
        <x:v>Für Medienvergleich einen vorgegebenen Arbeitsplan ergänzen; Aufgaben verteilen. Kurs-I-Niveau: reduzierte Textmenge, Leitfragen, vorstrukturierte Verfahren und alltagsnahe Transferaufgaben.</x:v>
      </x:c>
      <x:c r="F10" s="115" t="str">
        <x:v>Für Medienvergleich Zielgruppe, Aufbau, Medienwahl, Zeitplan und Qualitätskontrolle selbstständig festlegen. Kurs-II-Niveau: komplexere Texte, selbstständige Verfahren, Fachbegriffe und vertiefte Deutung oder Bewertung.</x:v>
      </x:c>
      <x:c r="G10" s="115" t="str">
        <x:v>de_k8_st06_medienvergleich_planen</x:v>
      </x:c>
      <x:c r="H10" s="176" t="e">
        <x:f>HYPERLINK("schueler/de_k8_st06_medienvergleich_planen_app.html","Lernmodul öffnen")</x:f>
      </x:c>
      <x:c r="I10" s="177" t="e">
        <x:f>HYPERLINK("lehrer/de_k8_st06_medienvergleich_planen_orga.html","Vorbereitung öffnen")</x:f>
      </x:c>
    </x:row>
    <x:row r="11" ht="65" customHeight="1">
      <x:c r="A11" s="142" t="n">
        <x:v>8</x:v>
      </x:c>
      <x:c r="B11" s="115" t="str">
        <x:v>Schreiben</x:v>
      </x:c>
      <x:c r="C11" s="148" t="n">
        <x:v>7</x:v>
      </x:c>
      <x:c r="D11" s="115" t="str">
        <x:v>Lesen und Medien vergleichen: Produkt erstellen</x:v>
      </x:c>
      <x:c r="E11" s="115" t="str">
        <x:v>Medienvergleich mit Vorlage und klaren Teilaufträgen erstellen. Kurs-I-Niveau: reduzierte Textmenge, Leitfragen, vorstrukturierte Verfahren und alltagsnahe Transferaufgaben.</x:v>
      </x:c>
      <x:c r="F11" s="115" t="str">
        <x:v>Medienvergleich selbstständig, adressatengerecht und quellenbewusst erstellen. Kurs-II-Niveau: komplexere Texte, selbstständige Verfahren, Fachbegriffe und vertiefte Deutung oder Bewertung.</x:v>
      </x:c>
      <x:c r="G11" s="115" t="str">
        <x:v>de_k8_st07_medienvergleich_erstellen</x:v>
      </x:c>
      <x:c r="H11" s="176" t="e">
        <x:f>HYPERLINK("schueler/de_k8_st07_medienvergleich_erstellen_app.html","Lernmodul öffnen")</x:f>
      </x:c>
      <x:c r="I11" s="177" t="e">
        <x:f>HYPERLINK("lehrer/de_k8_st07_medienvergleich_erstellen_orga.html","Vorbereitung öffnen")</x:f>
      </x:c>
    </x:row>
    <x:row r="12" ht="65" customHeight="1">
      <x:c r="A12" s="142" t="n">
        <x:v>8</x:v>
      </x:c>
      <x:c r="B12" s="115" t="str">
        <x:v>Sprechen und Zuhören</x:v>
      </x:c>
      <x:c r="C12" s="148" t="n">
        <x:v>8</x:v>
      </x:c>
      <x:c r="D12" s="115" t="str">
        <x:v>Lesen und Medien vergleichen: präsentieren und reflektieren</x:v>
      </x:c>
      <x:c r="E12" s="115" t="str">
        <x:v>Produkt kurz vorstellen; Rückmeldung anhand weniger Kriterien geben und annehmen. Kurs-I-Niveau: reduzierte Textmenge, Leitfragen, vorstrukturierte Verfahren und alltagsnahe Transferaufgaben.</x:v>
      </x:c>
      <x:c r="F12" s="115" t="str">
        <x:v>Produkt überzeugend präsentieren; Arbeitsprozess, Quellenwahl und Wirkung kritisch reflektieren. Kurs-II-Niveau: komplexere Texte, selbstständige Verfahren, Fachbegriffe und vertiefte Deutung oder Bewertung.</x:v>
      </x:c>
      <x:c r="G12" s="115" t="str">
        <x:v>de_k8_st08_medienvergleich_reflexion</x:v>
      </x:c>
      <x:c r="H12" s="176" t="e">
        <x:f>HYPERLINK("schueler/de_k8_st08_medienvergleich_reflexion_app.html","Lernmodul öffnen")</x:f>
      </x:c>
      <x:c r="I12" s="177" t="e">
        <x:f>HYPERLINK("lehrer/de_k8_st08_medienvergleich_reflexion_orga.html","Vorbereitung öffnen")</x:f>
      </x:c>
    </x:row>
    <x:row r="13" ht="65" customHeight="1">
      <x:c r="A13" s="142" t="n">
        <x:v>8</x:v>
      </x:c>
      <x:c r="B13" s="115" t="str">
        <x:v>Sprechen und Zuhören</x:v>
      </x:c>
      <x:c r="C13" s="148" t="n">
        <x:v>9</x:v>
      </x:c>
      <x:c r="D13" s="115" t="str">
        <x:v>Kurzgeschichten vertieft deuten: Hör- oder Leseeinstieg gestalten</x:v>
      </x:c>
      <x:c r="E13" s="115" t="str">
        <x:v>Einstieg über Bild, Hörtext oder kurzen Auszug; Vorwissen zu Kurzgeschichten mit gesellschaftlichem Konflikt sammeln und zentrale Wörter klären. Kurs-I-Niveau: reduzierte Textmenge, Leitfragen, vorstrukturierte Verfahren und alltagsnahe Transferaufgaben.</x:v>
      </x:c>
      <x:c r="F13" s="115" t="str">
        <x:v>Aus Titel, Kontext und Gestaltung Erwartungen an Kurzgeschichten mit gesellschaftlichem Konflikt ableiten; erste Hypothesen formulieren und begründen. Kurs-II-Niveau: komplexere Texte, selbstständige Verfahren, Fachbegriffe und vertiefte Deutung oder Bewertung.</x:v>
      </x:c>
      <x:c r="G13" s="115" t="str">
        <x:v>de_k8_st09_kurzgeschichte_vertieft_einstieg</x:v>
      </x:c>
      <x:c r="H13" s="176" t="e">
        <x:f>HYPERLINK("schueler/de_k8_st09_kurzgeschichte_vertieft_einstieg_app.html","Lernmodul öffnen")</x:f>
      </x:c>
      <x:c r="I13" s="177" t="e">
        <x:f>HYPERLINK("lehrer/de_k8_st09_kurzgeschichte_vertieft_einstieg_orga.html","Vorbereitung öffnen")</x:f>
      </x:c>
    </x:row>
    <x:row r="14" ht="65" customHeight="1">
      <x:c r="A14" s="142" t="n">
        <x:v>8</x:v>
      </x:c>
      <x:c r="B14" s="115" t="str">
        <x:v>Lesen/Umgang mit Texten</x:v>
      </x:c>
      <x:c r="C14" s="148" t="n">
        <x:v>10</x:v>
      </x:c>
      <x:c r="D14" s="115" t="str">
        <x:v>Kurzgeschichten vertieft deuten: den Text mit Lesestrategien erschließen</x:v>
      </x:c>
      <x:c r="E14" s="115" t="str">
        <x:v>Text abschnittsweise lesen; Schlüsselwörter markieren und den Inhalt mit Leitfragen sichern. Kurs-I-Niveau: reduzierte Textmenge, Leitfragen, vorstrukturierte Verfahren und alltagsnahe Transferaufgaben.</x:v>
      </x:c>
      <x:c r="F14" s="115" t="str">
        <x:v>Lesetechnik passend zum Ziel wählen; Sinnabschnitte, Schlüsselstellen und offene Fragen selbstständig festhalten. Kurs-II-Niveau: komplexere Texte, selbstständige Verfahren, Fachbegriffe und vertiefte Deutung oder Bewertung.</x:v>
      </x:c>
      <x:c r="G14" s="115" t="str">
        <x:v>de_k8_st10_kurzgeschichte_vertieft_erschliessen</x:v>
      </x:c>
      <x:c r="H14" s="176" t="e">
        <x:f>HYPERLINK("schueler/de_k8_st10_kurzgeschichte_vertieft_erschliessen_app.html","Lernmodul öffnen")</x:f>
      </x:c>
      <x:c r="I14" s="177" t="e">
        <x:f>HYPERLINK("lehrer/de_k8_st10_kurzgeschichte_vertieft_erschliessen_orga.html","Vorbereitung öffnen")</x:f>
      </x:c>
    </x:row>
    <x:row r="15" ht="65" customHeight="1">
      <x:c r="A15" s="142" t="n">
        <x:v>8</x:v>
      </x:c>
      <x:c r="B15" s="115" t="str">
        <x:v>Lesen/Umgang mit Texten</x:v>
      </x:c>
      <x:c r="C15" s="148" t="n">
        <x:v>11</x:v>
      </x:c>
      <x:c r="D15" s="115" t="str">
        <x:v>Kurzgeschichten vertieft deuten: Gattungsmerkmale erkennen</x:v>
      </x:c>
      <x:c r="E15" s="115" t="str">
        <x:v>Merkmale wie Erzählform, Figuren, Konflikt, offener Schluss mithilfe einer Checkliste zuordnen und an Textstellen zeigen. Kurs-I-Niveau: reduzierte Textmenge, Leitfragen, vorstrukturierte Verfahren und alltagsnahe Transferaufgaben.</x:v>
      </x:c>
      <x:c r="F15" s="115" t="str">
        <x:v>Merkmale wie Erzählform, Figuren, Konflikt, offener Schluss textnah belegen und ihre Funktion für Aufbau und Wirkung erklären. Kurs-II-Niveau: komplexere Texte, selbstständige Verfahren, Fachbegriffe und vertiefte Deutung oder Bewertung.</x:v>
      </x:c>
      <x:c r="G15" s="115" t="str">
        <x:v>de_k8_st11_kurzgeschichte_vertieft_merkmale</x:v>
      </x:c>
      <x:c r="H15" s="176" t="e">
        <x:f>HYPERLINK("schueler/de_k8_st11_kurzgeschichte_vertieft_merkmale_app.html","Lernmodul öffnen")</x:f>
      </x:c>
      <x:c r="I15" s="177" t="e">
        <x:f>HYPERLINK("lehrer/de_k8_st11_kurzgeschichte_vertieft_merkmale_orga.html","Vorbereitung öffnen")</x:f>
      </x:c>
    </x:row>
    <x:row r="16" ht="65" customHeight="1">
      <x:c r="A16" s="142" t="n">
        <x:v>8</x:v>
      </x:c>
      <x:c r="B16" s="115" t="str">
        <x:v>Lesen/Umgang mit Texten</x:v>
      </x:c>
      <x:c r="C16" s="148" t="n">
        <x:v>12</x:v>
      </x:c>
      <x:c r="D16" s="115" t="str">
        <x:v>Kurzgeschichten vertieft deuten: Figuren, Handlung und Konflikt untersuchen</x:v>
      </x:c>
      <x:c r="E16" s="115" t="str">
        <x:v>Leerstellen, Symbolik und Deutungsansatz mit Figurenkarten oder Handlungsstreifen ordnen; einfache Belege auswählen. Kurs-I-Niveau: reduzierte Textmenge, Leitfragen, vorstrukturierte Verfahren und alltagsnahe Transferaufgaben.</x:v>
      </x:c>
      <x:c r="F16" s="115" t="str">
        <x:v>Leerstellen, Symbolik und Deutungsansatz in ihrem Zusammenhang untersuchen; Schlussfolgerungen mit passenden Textbelegen absichern. Kurs-II-Niveau: komplexere Texte, selbstständige Verfahren, Fachbegriffe und vertiefte Deutung oder Bewertung.</x:v>
      </x:c>
      <x:c r="G16" s="115" t="str">
        <x:v>de_k8_st12_kurzgeschichte_vertieft_figuren_handlung</x:v>
      </x:c>
      <x:c r="H16" s="176" t="e">
        <x:f>HYPERLINK("schueler/de_k8_st12_kurzgeschichte_vertieft_figuren_handlung_app.html","Lernmodul öffnen")</x:f>
      </x:c>
      <x:c r="I16" s="177" t="e">
        <x:f>HYPERLINK("lehrer/de_k8_st12_kurzgeschichte_vertieft_figuren_handlung_orga.html","Vorbereitung öffnen")</x:f>
      </x:c>
    </x:row>
    <x:row r="17" ht="65" customHeight="1">
      <x:c r="A17" s="142" t="n">
        <x:v>8</x:v>
      </x:c>
      <x:c r="B17" s="115" t="str">
        <x:v>Sprache untersuchen</x:v>
      </x:c>
      <x:c r="C17" s="148" t="n">
        <x:v>13</x:v>
      </x:c>
      <x:c r="D17" s="115" t="str">
        <x:v>Kurzgeschichten vertieft deuten: Sprache und Wirkung untersuchen</x:v>
      </x:c>
      <x:c r="E17" s="115" t="str">
        <x:v>Beispiele für Zeitgestaltung, innerer Monolog, knappe Dialoge markieren und ihre Wirkung mit vorgegebenen Begriffen beschreiben. Kurs-I-Niveau: reduzierte Textmenge, Leitfragen, vorstrukturierte Verfahren und alltagsnahe Transferaufgaben.</x:v>
      </x:c>
      <x:c r="F17" s="115" t="str">
        <x:v>Zeitgestaltung, innerer Monolog, knappe Dialoge fachsprachlich analysieren und auf Figurenzeichnung, Stimmung oder Aussage beziehen. Kurs-II-Niveau: komplexere Texte, selbstständige Verfahren, Fachbegriffe und vertiefte Deutung oder Bewertung.</x:v>
      </x:c>
      <x:c r="G17" s="115" t="str">
        <x:v>de_k8_st13_kurzgeschichte_vertieft_sprache_wirkung</x:v>
      </x:c>
      <x:c r="H17" s="176" t="e">
        <x:f>HYPERLINK("schueler/de_k8_st13_kurzgeschichte_vertieft_sprache_wirkung_app.html","Lernmodul öffnen")</x:f>
      </x:c>
      <x:c r="I17" s="177" t="e">
        <x:f>HYPERLINK("lehrer/de_k8_st13_kurzgeschichte_vertieft_sprache_wirkung_orga.html","Vorbereitung öffnen")</x:f>
      </x:c>
    </x:row>
    <x:row r="18" ht="65" customHeight="1">
      <x:c r="A18" s="142" t="n">
        <x:v>8</x:v>
      </x:c>
      <x:c r="B18" s="115" t="str">
        <x:v>Schreiben</x:v>
      </x:c>
      <x:c r="C18" s="148" t="n">
        <x:v>14</x:v>
      </x:c>
      <x:c r="D18" s="115" t="str">
        <x:v>Kurzgeschichten vertieft deuten: eine Deutung oder Perspektive vorbereiten</x:v>
      </x:c>
      <x:c r="E18" s="115" t="str">
        <x:v>Eine zentrale Aussage mit Satzstartern formulieren; Beleg und Erklärung in einem Schreibrahmen verbinden. Kurs-I-Niveau: reduzierte Textmenge, Leitfragen, vorstrukturierte Verfahren und alltagsnahe Transferaufgaben.</x:v>
      </x:c>
      <x:c r="F18" s="115" t="str">
        <x:v>Eine schlüssige Deutungshypothese entwickeln; mehrere Belege auswählen, ordnen und gegeneinander abwägen. Kurs-II-Niveau: komplexere Texte, selbstständige Verfahren, Fachbegriffe und vertiefte Deutung oder Bewertung.</x:v>
      </x:c>
      <x:c r="G18" s="115" t="str">
        <x:v>de_k8_st14_kurzgeschichte_vertieft_deutung_planen</x:v>
      </x:c>
      <x:c r="H18" s="176" t="e">
        <x:f>HYPERLINK("schueler/de_k8_st14_kurzgeschichte_vertieft_deutung_planen_app.html","Lernmodul öffnen")</x:f>
      </x:c>
      <x:c r="I18" s="177" t="e">
        <x:f>HYPERLINK("lehrer/de_k8_st14_kurzgeschichte_vertieft_deutung_planen_orga.html","Vorbereitung öffnen")</x:f>
      </x:c>
    </x:row>
    <x:row r="19" ht="65" customHeight="1">
      <x:c r="A19" s="142" t="n">
        <x:v>8</x:v>
      </x:c>
      <x:c r="B19" s="115" t="str">
        <x:v>Schreiben</x:v>
      </x:c>
      <x:c r="C19" s="148" t="n">
        <x:v>15</x:v>
      </x:c>
      <x:c r="D19" s="115" t="str">
        <x:v>Kurzgeschichten vertieft deuten: Interpretationsskizze gestalten</x:v>
      </x:c>
      <x:c r="E19" s="115" t="str">
        <x:v>Interpretationsskizze nach klaren Vorgaben erstellen; Hilfekarten und Wortbank nutzen. Kurs-I-Niveau: reduzierte Textmenge, Leitfragen, vorstrukturierte Verfahren und alltagsnahe Transferaufgaben.</x:v>
      </x:c>
      <x:c r="F19" s="115" t="str">
        <x:v>Interpretationsskizze eigenständig, textnah und sprachlich variabel gestalten; Wirkung bewusst planen. Kurs-II-Niveau: komplexere Texte, selbstständige Verfahren, Fachbegriffe und vertiefte Deutung oder Bewertung.</x:v>
      </x:c>
      <x:c r="G19" s="115" t="str">
        <x:v>de_k8_st15_kurzgeschichte_vertieft_produkt</x:v>
      </x:c>
      <x:c r="H19" s="176" t="e">
        <x:f>HYPERLINK("schueler/de_k8_st15_kurzgeschichte_vertieft_produkt_app.html","Lernmodul öffnen")</x:f>
      </x:c>
      <x:c r="I19" s="177" t="e">
        <x:f>HYPERLINK("lehrer/de_k8_st15_kurzgeschichte_vertieft_produkt_orga.html","Vorbereitung öffnen")</x:f>
      </x:c>
    </x:row>
    <x:row r="20" ht="65" customHeight="1">
      <x:c r="A20" s="142" t="n">
        <x:v>8</x:v>
      </x:c>
      <x:c r="B20" s="115" t="str">
        <x:v>Sprechen und Zuhören</x:v>
      </x:c>
      <x:c r="C20" s="148" t="n">
        <x:v>16</x:v>
      </x:c>
      <x:c r="D20" s="115" t="str">
        <x:v>Kurzgeschichten vertieft deuten: Ergebnisse präsentieren und reflektieren</x:v>
      </x:c>
      <x:c r="E20" s="115" t="str">
        <x:v>Ergebnis kurz vorstellen; zwei vereinbarte Kriterien für Rückmeldung anwenden. Kurs-I-Niveau: reduzierte Textmenge, Leitfragen, vorstrukturierte Verfahren und alltagsnahe Transferaufgaben.</x:v>
      </x:c>
      <x:c r="F20" s="115" t="str">
        <x:v>Ergebnis adressatenbezogen präsentieren; Rückmeldungen begründen und die eigene Deutung oder Gestaltung überarbeiten. Kurs-II-Niveau: komplexere Texte, selbstständige Verfahren, Fachbegriffe und vertiefte Deutung oder Bewertung.</x:v>
      </x:c>
      <x:c r="G20" s="115" t="str">
        <x:v>de_k8_st16_kurzgeschichte_vertieft_praesentieren</x:v>
      </x:c>
      <x:c r="H20" s="176" t="e">
        <x:f>HYPERLINK("schueler/de_k8_st16_kurzgeschichte_vertieft_praesentieren_app.html","Lernmodul öffnen")</x:f>
      </x:c>
      <x:c r="I20" s="177" t="e">
        <x:f>HYPERLINK("lehrer/de_k8_st16_kurzgeschichte_vertieft_praesentieren_orga.html","Vorbereitung öffnen")</x:f>
      </x:c>
    </x:row>
    <x:row r="21" ht="65" customHeight="1">
      <x:c r="A21" s="142" t="n">
        <x:v>8</x:v>
      </x:c>
      <x:c r="B21" s="115" t="str">
        <x:v>Sprechen und Zuhören</x:v>
      </x:c>
      <x:c r="C21" s="148" t="n">
        <x:v>17</x:v>
      </x:c>
      <x:c r="D21" s="115" t="str">
        <x:v>Balladen und Erlebnislyrik: Hör- oder Leseeinstieg gestalten</x:v>
      </x:c>
      <x:c r="E21" s="115" t="str">
        <x:v>Einstieg über Bild, Hörtext oder kurzen Auszug; Vorwissen zu Balladen und themenverwandte Gedichte sammeln und zentrale Wörter klären. Kurs-I-Niveau: reduzierte Textmenge, Leitfragen, vorstrukturierte Verfahren und alltagsnahe Transferaufgaben.</x:v>
      </x:c>
      <x:c r="F21" s="115" t="str">
        <x:v>Aus Titel, Kontext und Gestaltung Erwartungen an Balladen und themenverwandte Gedichte ableiten; erste Hypothesen formulieren und begründen. Kurs-II-Niveau: komplexere Texte, selbstständige Verfahren, Fachbegriffe und vertiefte Deutung oder Bewertung.</x:v>
      </x:c>
      <x:c r="G21" s="115" t="str">
        <x:v>de_k8_st17_lyrik_einstieg</x:v>
      </x:c>
      <x:c r="H21" s="176" t="e">
        <x:f>HYPERLINK("schueler/de_k8_st17_lyrik_einstieg_app.html","Lernmodul öffnen")</x:f>
      </x:c>
      <x:c r="I21" s="177" t="e">
        <x:f>HYPERLINK("lehrer/de_k8_st17_lyrik_einstieg_orga.html","Vorbereitung öffnen")</x:f>
      </x:c>
    </x:row>
    <x:row r="22" ht="65" customHeight="1">
      <x:c r="A22" s="142" t="n">
        <x:v>8</x:v>
      </x:c>
      <x:c r="B22" s="115" t="str">
        <x:v>Lesen/Umgang mit Texten</x:v>
      </x:c>
      <x:c r="C22" s="148" t="n">
        <x:v>18</x:v>
      </x:c>
      <x:c r="D22" s="115" t="str">
        <x:v>Balladen und Erlebnislyrik: den Text mit Lesestrategien erschließen</x:v>
      </x:c>
      <x:c r="E22" s="115" t="str">
        <x:v>Text abschnittsweise lesen; Schlüsselwörter markieren und den Inhalt mit Leitfragen sichern. Kurs-I-Niveau: reduzierte Textmenge, Leitfragen, vorstrukturierte Verfahren und alltagsnahe Transferaufgaben.</x:v>
      </x:c>
      <x:c r="F22" s="115" t="str">
        <x:v>Lesetechnik passend zum Ziel wählen; Sinnabschnitte, Schlüsselstellen und offene Fragen selbstständig festhalten. Kurs-II-Niveau: komplexere Texte, selbstständige Verfahren, Fachbegriffe und vertiefte Deutung oder Bewertung.</x:v>
      </x:c>
      <x:c r="G22" s="115" t="str">
        <x:v>de_k8_st18_lyrik_erschliessen</x:v>
      </x:c>
      <x:c r="H22" s="176" t="e">
        <x:f>HYPERLINK("schueler/de_k8_st18_lyrik_erschliessen_app.html","Lernmodul öffnen")</x:f>
      </x:c>
      <x:c r="I22" s="177" t="e">
        <x:f>HYPERLINK("lehrer/de_k8_st18_lyrik_erschliessen_orga.html","Vorbereitung öffnen")</x:f>
      </x:c>
    </x:row>
    <x:row r="23" ht="65" customHeight="1">
      <x:c r="A23" s="142" t="n">
        <x:v>8</x:v>
      </x:c>
      <x:c r="B23" s="115" t="str">
        <x:v>Lesen/Umgang mit Texten</x:v>
      </x:c>
      <x:c r="C23" s="148" t="n">
        <x:v>19</x:v>
      </x:c>
      <x:c r="D23" s="115" t="str">
        <x:v>Balladen und Erlebnislyrik: Gattungsmerkmale erkennen</x:v>
      </x:c>
      <x:c r="E23" s="115" t="str">
        <x:v>Merkmale wie Form, Handlung, Sprecher, Stimmung mithilfe einer Checkliste zuordnen und an Textstellen zeigen. Kurs-I-Niveau: reduzierte Textmenge, Leitfragen, vorstrukturierte Verfahren und alltagsnahe Transferaufgaben.</x:v>
      </x:c>
      <x:c r="F23" s="115" t="str">
        <x:v>Merkmale wie Form, Handlung, Sprecher, Stimmung textnah belegen und ihre Funktion für Aufbau und Wirkung erklären. Kurs-II-Niveau: komplexere Texte, selbstständige Verfahren, Fachbegriffe und vertiefte Deutung oder Bewertung.</x:v>
      </x:c>
      <x:c r="G23" s="115" t="str">
        <x:v>de_k8_st19_lyrik_merkmale</x:v>
      </x:c>
      <x:c r="H23" s="176" t="e">
        <x:f>HYPERLINK("schueler/de_k8_st19_lyrik_merkmale_app.html","Lernmodul öffnen")</x:f>
      </x:c>
      <x:c r="I23" s="177" t="e">
        <x:f>HYPERLINK("lehrer/de_k8_st19_lyrik_merkmale_orga.html","Vorbereitung öffnen")</x:f>
      </x:c>
    </x:row>
    <x:row r="24" ht="65" customHeight="1">
      <x:c r="A24" s="142" t="n">
        <x:v>8</x:v>
      </x:c>
      <x:c r="B24" s="115" t="str">
        <x:v>Lesen/Umgang mit Texten</x:v>
      </x:c>
      <x:c r="C24" s="148" t="n">
        <x:v>20</x:v>
      </x:c>
      <x:c r="D24" s="115" t="str">
        <x:v>Balladen und Erlebnislyrik: Figuren, Handlung und Konflikt untersuchen</x:v>
      </x:c>
      <x:c r="E24" s="115" t="str">
        <x:v>Motivvergleich und historische Bezüge mit Figurenkarten oder Handlungsstreifen ordnen; einfache Belege auswählen. Kurs-I-Niveau: reduzierte Textmenge, Leitfragen, vorstrukturierte Verfahren und alltagsnahe Transferaufgaben.</x:v>
      </x:c>
      <x:c r="F24" s="115" t="str">
        <x:v>Motivvergleich und historische Bezüge in ihrem Zusammenhang untersuchen; Schlussfolgerungen mit passenden Textbelegen absichern. Kurs-II-Niveau: komplexere Texte, selbstständige Verfahren, Fachbegriffe und vertiefte Deutung oder Bewertung.</x:v>
      </x:c>
      <x:c r="G24" s="115" t="str">
        <x:v>de_k8_st20_lyrik_figuren_handlung</x:v>
      </x:c>
      <x:c r="H24" s="176" t="e">
        <x:f>HYPERLINK("schueler/de_k8_st20_lyrik_figuren_handlung_app.html","Lernmodul öffnen")</x:f>
      </x:c>
      <x:c r="I24" s="177" t="e">
        <x:f>HYPERLINK("lehrer/de_k8_st20_lyrik_figuren_handlung_orga.html","Vorbereitung öffnen")</x:f>
      </x:c>
    </x:row>
    <x:row r="25" ht="65" customHeight="1">
      <x:c r="A25" s="142" t="n">
        <x:v>8</x:v>
      </x:c>
      <x:c r="B25" s="115" t="str">
        <x:v>Sprache untersuchen</x:v>
      </x:c>
      <x:c r="C25" s="148" t="n">
        <x:v>21</x:v>
      </x:c>
      <x:c r="D25" s="115" t="str">
        <x:v>Balladen und Erlebnislyrik: Sprache und Wirkung untersuchen</x:v>
      </x:c>
      <x:c r="E25" s="115" t="str">
        <x:v>Beispiele für Metrum, Reim, Bildlichkeit, Klang markieren und ihre Wirkung mit vorgegebenen Begriffen beschreiben. Kurs-I-Niveau: reduzierte Textmenge, Leitfragen, vorstrukturierte Verfahren und alltagsnahe Transferaufgaben.</x:v>
      </x:c>
      <x:c r="F25" s="115" t="str">
        <x:v>Metrum, Reim, Bildlichkeit, Klang fachsprachlich analysieren und auf Figurenzeichnung, Stimmung oder Aussage beziehen. Kurs-II-Niveau: komplexere Texte, selbstständige Verfahren, Fachbegriffe und vertiefte Deutung oder Bewertung.</x:v>
      </x:c>
      <x:c r="G25" s="115" t="str">
        <x:v>de_k8_st21_lyrik_sprache_wirkung</x:v>
      </x:c>
      <x:c r="H25" s="176" t="e">
        <x:f>HYPERLINK("schueler/de_k8_st21_lyrik_sprache_wirkung_app.html","Lernmodul öffnen")</x:f>
      </x:c>
      <x:c r="I25" s="177" t="e">
        <x:f>HYPERLINK("lehrer/de_k8_st21_lyrik_sprache_wirkung_orga.html","Vorbereitung öffnen")</x:f>
      </x:c>
    </x:row>
    <x:row r="26" ht="65" customHeight="1">
      <x:c r="A26" s="142" t="n">
        <x:v>8</x:v>
      </x:c>
      <x:c r="B26" s="115" t="str">
        <x:v>Schreiben</x:v>
      </x:c>
      <x:c r="C26" s="148" t="n">
        <x:v>22</x:v>
      </x:c>
      <x:c r="D26" s="115" t="str">
        <x:v>Balladen und Erlebnislyrik: eine Deutung oder Perspektive vorbereiten</x:v>
      </x:c>
      <x:c r="E26" s="115" t="str">
        <x:v>Eine zentrale Aussage mit Satzstartern formulieren; Beleg und Erklärung in einem Schreibrahmen verbinden. Kurs-I-Niveau: reduzierte Textmenge, Leitfragen, vorstrukturierte Verfahren und alltagsnahe Transferaufgaben.</x:v>
      </x:c>
      <x:c r="F26" s="115" t="str">
        <x:v>Eine schlüssige Deutungshypothese entwickeln; mehrere Belege auswählen, ordnen und gegeneinander abwägen. Kurs-II-Niveau: komplexere Texte, selbstständige Verfahren, Fachbegriffe und vertiefte Deutung oder Bewertung.</x:v>
      </x:c>
      <x:c r="G26" s="115" t="str">
        <x:v>de_k8_st22_lyrik_deutung_planen</x:v>
      </x:c>
      <x:c r="H26" s="176" t="e">
        <x:f>HYPERLINK("schueler/de_k8_st22_lyrik_deutung_planen_app.html","Lernmodul öffnen")</x:f>
      </x:c>
      <x:c r="I26" s="177" t="e">
        <x:f>HYPERLINK("lehrer/de_k8_st22_lyrik_deutung_planen_orga.html","Vorbereitung öffnen")</x:f>
      </x:c>
    </x:row>
    <x:row r="27" ht="65" customHeight="1">
      <x:c r="A27" s="142" t="n">
        <x:v>8</x:v>
      </x:c>
      <x:c r="B27" s="115" t="str">
        <x:v>Schreiben</x:v>
      </x:c>
      <x:c r="C27" s="148" t="n">
        <x:v>23</x:v>
      </x:c>
      <x:c r="D27" s="115" t="str">
        <x:v>Balladen und Erlebnislyrik: Gedichtvergleich oder Vortrag gestalten</x:v>
      </x:c>
      <x:c r="E27" s="115" t="str">
        <x:v>Gedichtvergleich oder vortrag nach klaren Vorgaben erstellen; Hilfekarten und Wortbank nutzen. Kurs-I-Niveau: reduzierte Textmenge, Leitfragen, vorstrukturierte Verfahren und alltagsnahe Transferaufgaben.</x:v>
      </x:c>
      <x:c r="F27" s="115" t="str">
        <x:v>Gedichtvergleich oder vortrag eigenständig, textnah und sprachlich variabel gestalten; Wirkung bewusst planen. Kurs-II-Niveau: komplexere Texte, selbstständige Verfahren, Fachbegriffe und vertiefte Deutung oder Bewertung.</x:v>
      </x:c>
      <x:c r="G27" s="115" t="str">
        <x:v>de_k8_st23_lyrik_produkt</x:v>
      </x:c>
      <x:c r="H27" s="176" t="e">
        <x:f>HYPERLINK("schueler/de_k8_st23_lyrik_produkt_app.html","Lernmodul öffnen")</x:f>
      </x:c>
      <x:c r="I27" s="177" t="e">
        <x:f>HYPERLINK("lehrer/de_k8_st23_lyrik_produkt_orga.html","Vorbereitung öffnen")</x:f>
      </x:c>
    </x:row>
    <x:row r="28" ht="65" customHeight="1">
      <x:c r="A28" s="142" t="n">
        <x:v>8</x:v>
      </x:c>
      <x:c r="B28" s="115" t="str">
        <x:v>Sprechen und Zuhören</x:v>
      </x:c>
      <x:c r="C28" s="148" t="n">
        <x:v>24</x:v>
      </x:c>
      <x:c r="D28" s="115" t="str">
        <x:v>Balladen und Erlebnislyrik: Ergebnisse präsentieren und reflektieren</x:v>
      </x:c>
      <x:c r="E28" s="115" t="str">
        <x:v>Ergebnis kurz vorstellen; zwei vereinbarte Kriterien für Rückmeldung anwenden. Kurs-I-Niveau: reduzierte Textmenge, Leitfragen, vorstrukturierte Verfahren und alltagsnahe Transferaufgaben.</x:v>
      </x:c>
      <x:c r="F28" s="115" t="str">
        <x:v>Ergebnis adressatenbezogen präsentieren; Rückmeldungen begründen und die eigene Deutung oder Gestaltung überarbeiten. Kurs-II-Niveau: komplexere Texte, selbstständige Verfahren, Fachbegriffe und vertiefte Deutung oder Bewertung.</x:v>
      </x:c>
      <x:c r="G28" s="115" t="str">
        <x:v>de_k8_st24_lyrik_praesentieren</x:v>
      </x:c>
      <x:c r="H28" s="176" t="e">
        <x:f>HYPERLINK("schueler/de_k8_st24_lyrik_praesentieren_app.html","Lernmodul öffnen")</x:f>
      </x:c>
      <x:c r="I28" s="177" t="e">
        <x:f>HYPERLINK("lehrer/de_k8_st24_lyrik_praesentieren_orga.html","Vorbereitung öffnen")</x:f>
      </x:c>
    </x:row>
    <x:row r="29" ht="65" customHeight="1">
      <x:c r="A29" s="142" t="n">
        <x:v>8</x:v>
      </x:c>
      <x:c r="B29" s="115" t="str">
        <x:v>Lesen/Umgang mit Texten</x:v>
      </x:c>
      <x:c r="C29" s="148" t="n">
        <x:v>25</x:v>
      </x:c>
      <x:c r="D29" s="115" t="str">
        <x:v>Personen und literarische Figuren charakterisieren: Beispieltexte untersuchen</x:v>
      </x:c>
      <x:c r="E29" s="115" t="str">
        <x:v>Ein Beispiel für Personencharakteristik lesen; Aufbau und typische Formulierungen farbig kennzeichnen. Kurs-I-Niveau: reduzierte Textmenge, Leitfragen, vorstrukturierte Verfahren und alltagsnahe Transferaufgaben.</x:v>
      </x:c>
      <x:c r="F29" s="115" t="str">
        <x:v>Mehrere Beispiele für Personencharakteristik vergleichen; Funktion, Adressat und Qualitätsunterschiede herausarbeiten. Kurs-II-Niveau: komplexere Texte, selbstständige Verfahren, Fachbegriffe und vertiefte Deutung oder Bewertung.</x:v>
      </x:c>
      <x:c r="G29" s="115" t="str">
        <x:v>de_k8_st25_charakteristik_beispiel</x:v>
      </x:c>
      <x:c r="H29" s="176" t="e">
        <x:f>HYPERLINK("schueler/de_k8_st25_charakteristik_beispiel_app.html","Lernmodul öffnen")</x:f>
      </x:c>
      <x:c r="I29" s="177" t="e">
        <x:f>HYPERLINK("lehrer/de_k8_st25_charakteristik_beispiel_orga.html","Vorbereitung öffnen")</x:f>
      </x:c>
    </x:row>
    <x:row r="30" ht="65" customHeight="1">
      <x:c r="A30" s="142" t="n">
        <x:v>8</x:v>
      </x:c>
      <x:c r="B30" s="115" t="str">
        <x:v>Schreiben</x:v>
      </x:c>
      <x:c r="C30" s="148" t="n">
        <x:v>26</x:v>
      </x:c>
      <x:c r="D30" s="115" t="str">
        <x:v>Personen und literarische Figuren charakterisieren: Schreibziel und Kriterien klären</x:v>
      </x:c>
      <x:c r="E30" s="115" t="str">
        <x:v>Schreibziel „eine Figur anhand von Verhalten, Sprache und Beziehungen beschreiben“ verstehen; eine kurze Kriterienliste auf ein Beispiel anwenden. Kurs-I-Niveau: reduzierte Textmenge, Leitfragen, vorstrukturierte Verfahren und alltagsnahe Transferaufgaben.</x:v>
      </x:c>
      <x:c r="F30" s="115" t="str">
        <x:v>Schreibziel „eine Figur anhand von Verhalten, Sprache und Beziehungen beschreiben“ präzisieren; Kriterien gewichten und auf unterschiedliche Schreibsituationen übertragen. Kurs-II-Niveau: komplexere Texte, selbstständige Verfahren, Fachbegriffe und vertiefte Deutung oder Bewertung.</x:v>
      </x:c>
      <x:c r="G30" s="115" t="str">
        <x:v>de_k8_st26_charakteristik_kriterien</x:v>
      </x:c>
      <x:c r="H30" s="176" t="e">
        <x:f>HYPERLINK("schueler/de_k8_st26_charakteristik_kriterien_app.html","Lernmodul öffnen")</x:f>
      </x:c>
      <x:c r="I30" s="177" t="e">
        <x:f>HYPERLINK("lehrer/de_k8_st26_charakteristik_kriterien_orga.html","Vorbereitung öffnen")</x:f>
      </x:c>
    </x:row>
    <x:row r="31" ht="65" customHeight="1">
      <x:c r="A31" s="142" t="n">
        <x:v>8</x:v>
      </x:c>
      <x:c r="B31" s="115" t="str">
        <x:v>Lesen/Umgang mit Texten</x:v>
      </x:c>
      <x:c r="C31" s="148" t="n">
        <x:v>27</x:v>
      </x:c>
      <x:c r="D31" s="115" t="str">
        <x:v>Personen und literarische Figuren charakterisieren: Inhalte auswählen und ordnen</x:v>
      </x:c>
      <x:c r="E31" s="115" t="str">
        <x:v>äußere und innere Merkmale, Entwicklung, Belege mit Leitfragen sammeln und in einer vorgegebenen Reihenfolge ordnen. Kurs-I-Niveau: reduzierte Textmenge, Leitfragen, vorstrukturierte Verfahren und alltagsnahe Transferaufgaben.</x:v>
      </x:c>
      <x:c r="F31" s="115" t="str">
        <x:v>äußere und innere Merkmale, Entwicklung, Belege selbstständig auswählen, gewichten und in einer passenden Gliederung strukturieren. Kurs-II-Niveau: komplexere Texte, selbstständige Verfahren, Fachbegriffe und vertiefte Deutung oder Bewertung.</x:v>
      </x:c>
      <x:c r="G31" s="115" t="str">
        <x:v>de_k8_st27_charakteristik_inhalte_ordnen</x:v>
      </x:c>
      <x:c r="H31" s="176" t="e">
        <x:f>HYPERLINK("schueler/de_k8_st27_charakteristik_inhalte_ordnen_app.html","Lernmodul öffnen")</x:f>
      </x:c>
      <x:c r="I31" s="177" t="e">
        <x:f>HYPERLINK("lehrer/de_k8_st27_charakteristik_inhalte_ordnen_orga.html","Vorbereitung öffnen")</x:f>
      </x:c>
    </x:row>
    <x:row r="32" ht="65" customHeight="1">
      <x:c r="A32" s="142" t="n">
        <x:v>8</x:v>
      </x:c>
      <x:c r="B32" s="115" t="str">
        <x:v>Sprache untersuchen</x:v>
      </x:c>
      <x:c r="C32" s="148" t="n">
        <x:v>28</x:v>
      </x:c>
      <x:c r="D32" s="115" t="str">
        <x:v>Personen und literarische Figuren charakterisieren: passende sprachliche Mittel verwenden</x:v>
      </x:c>
      <x:c r="E32" s="115" t="str">
        <x:v>charakterisierende Adjektive, Zitate, Schlussfolgerungen in Übungen erkennen und nach Satzmustern anwenden. Kurs-I-Niveau: reduzierte Textmenge, Leitfragen, vorstrukturierte Verfahren und alltagsnahe Transferaufgaben.</x:v>
      </x:c>
      <x:c r="F32" s="115" t="str">
        <x:v>charakterisierende Adjektive, Zitate, Schlussfolgerungen hinsichtlich Wirkung und Angemessenheit prüfen und gezielt variieren. Kurs-II-Niveau: komplexere Texte, selbstständige Verfahren, Fachbegriffe und vertiefte Deutung oder Bewertung.</x:v>
      </x:c>
      <x:c r="G32" s="115" t="str">
        <x:v>de_k8_st28_charakteristik_sprachmittel</x:v>
      </x:c>
      <x:c r="H32" s="176" t="e">
        <x:f>HYPERLINK("schueler/de_k8_st28_charakteristik_sprachmittel_app.html","Lernmodul öffnen")</x:f>
      </x:c>
      <x:c r="I32" s="177" t="e">
        <x:f>HYPERLINK("lehrer/de_k8_st28_charakteristik_sprachmittel_orga.html","Vorbereitung öffnen")</x:f>
      </x:c>
    </x:row>
    <x:row r="33" ht="65" customHeight="1">
      <x:c r="A33" s="142" t="n">
        <x:v>8</x:v>
      </x:c>
      <x:c r="B33" s="115" t="str">
        <x:v>Schreiben</x:v>
      </x:c>
      <x:c r="C33" s="148" t="n">
        <x:v>29</x:v>
      </x:c>
      <x:c r="D33" s="115" t="str">
        <x:v>Personen und literarische Figuren charakterisieren: einen Schreibplan erstellen</x:v>
      </x:c>
      <x:c r="E33" s="115" t="str">
        <x:v>Einen vorstrukturierten Schreibplan ausfüllen; Einleitung, Hauptteil und Schluss festlegen. Kurs-I-Niveau: reduzierte Textmenge, Leitfragen, vorstrukturierte Verfahren und alltagsnahe Transferaufgaben.</x:v>
      </x:c>
      <x:c r="F33" s="115" t="str">
        <x:v>Einen eigenen Schreibplan mit Teilzielen, Belegen und sprachlichen Mitteln entwickeln. Kurs-II-Niveau: komplexere Texte, selbstständige Verfahren, Fachbegriffe und vertiefte Deutung oder Bewertung.</x:v>
      </x:c>
      <x:c r="G33" s="115" t="str">
        <x:v>de_k8_st29_charakteristik_schreibplan</x:v>
      </x:c>
      <x:c r="H33" s="176" t="e">
        <x:f>HYPERLINK("schueler/de_k8_st29_charakteristik_schreibplan_app.html","Lernmodul öffnen")</x:f>
      </x:c>
      <x:c r="I33" s="177" t="e">
        <x:f>HYPERLINK("lehrer/de_k8_st29_charakteristik_schreibplan_orga.html","Vorbereitung öffnen")</x:f>
      </x:c>
    </x:row>
    <x:row r="34" ht="65" customHeight="1">
      <x:c r="A34" s="142" t="n">
        <x:v>8</x:v>
      </x:c>
      <x:c r="B34" s="115" t="str">
        <x:v>Schreiben</x:v>
      </x:c>
      <x:c r="C34" s="148" t="n">
        <x:v>30</x:v>
      </x:c>
      <x:c r="D34" s="115" t="str">
        <x:v>Personen und literarische Figuren charakterisieren: einen ersten Textentwurf verfassen</x:v>
      </x:c>
      <x:c r="E34" s="115" t="str">
        <x:v>Literarische charakteristik mithilfe von Schreibrahmen, Satzanfängen und Wortbank verfassen. Kurs-I-Niveau: reduzierte Textmenge, Leitfragen, vorstrukturierte Verfahren und alltagsnahe Transferaufgaben.</x:v>
      </x:c>
      <x:c r="F34" s="115" t="str">
        <x:v>Literarische charakteristik selbstständig, adressatenbezogen und sprachlich differenziert verfassen. Kurs-II-Niveau: komplexere Texte, selbstständige Verfahren, Fachbegriffe und vertiefte Deutung oder Bewertung.</x:v>
      </x:c>
      <x:c r="G34" s="115" t="str">
        <x:v>de_k8_st30_charakteristik_entwurf</x:v>
      </x:c>
      <x:c r="H34" s="176" t="e">
        <x:f>HYPERLINK("schueler/de_k8_st30_charakteristik_entwurf_app.html","Lernmodul öffnen")</x:f>
      </x:c>
      <x:c r="I34" s="177" t="e">
        <x:f>HYPERLINK("lehrer/de_k8_st30_charakteristik_entwurf_orga.html","Vorbereitung öffnen")</x:f>
      </x:c>
    </x:row>
    <x:row r="35" ht="65" customHeight="1">
      <x:c r="A35" s="142" t="n">
        <x:v>8</x:v>
      </x:c>
      <x:c r="B35" s="115" t="str">
        <x:v>Schreiben</x:v>
      </x:c>
      <x:c r="C35" s="148" t="n">
        <x:v>31</x:v>
      </x:c>
      <x:c r="D35" s="115" t="str">
        <x:v>Personen und literarische Figuren charakterisieren: Text kriteriengeleitet überarbeiten</x:v>
      </x:c>
      <x:c r="E35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35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35" s="115" t="str">
        <x:v>de_k8_st31_charakteristik_ueberarbeiten</x:v>
      </x:c>
      <x:c r="H35" s="176" t="e">
        <x:f>HYPERLINK("schueler/de_k8_st31_charakteristik_ueberarbeiten_app.html","Lernmodul öffnen")</x:f>
      </x:c>
      <x:c r="I35" s="177" t="e">
        <x:f>HYPERLINK("lehrer/de_k8_st31_charakteristik_ueberarbeiten_orga.html","Vorbereitung öffnen")</x:f>
      </x:c>
    </x:row>
    <x:row r="36" ht="65" customHeight="1">
      <x:c r="A36" s="142" t="n">
        <x:v>8</x:v>
      </x:c>
      <x:c r="B36" s="115" t="str">
        <x:v>Sprechen und Zuhören</x:v>
      </x:c>
      <x:c r="C36" s="148" t="n">
        <x:v>32</x:v>
      </x:c>
      <x:c r="D36" s="115" t="str">
        <x:v>Personen und literarische Figuren charakterisieren: Texte vorstellen und bewerten</x:v>
      </x:c>
      <x:c r="E36" s="115" t="str">
        <x:v>Ausgewählte Passage vorlesen oder erläutern; Rückmeldung mit einfachen Satzmustern geben. Kurs-I-Niveau: reduzierte Textmenge, Leitfragen, vorstrukturierte Verfahren und alltagsnahe Transferaufgaben.</x:v>
      </x:c>
      <x:c r="F36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36" s="115" t="str">
        <x:v>de_k8_st32_charakteristik_vorstellen</x:v>
      </x:c>
      <x:c r="H36" s="176" t="e">
        <x:f>HYPERLINK("schueler/de_k8_st32_charakteristik_vorstellen_app.html","Lernmodul öffnen")</x:f>
      </x:c>
      <x:c r="I36" s="177" t="e">
        <x:f>HYPERLINK("lehrer/de_k8_st32_charakteristik_vorstellen_orga.html","Vorbereitung öffnen")</x:f>
      </x:c>
    </x:row>
    <x:row r="37" ht="65" customHeight="1">
      <x:c r="A37" s="142" t="n">
        <x:v>8</x:v>
      </x:c>
      <x:c r="B37" s="115" t="str">
        <x:v>Lesen/Umgang mit Texten</x:v>
      </x:c>
      <x:c r="C37" s="148" t="n">
        <x:v>33</x:v>
      </x:c>
      <x:c r="D37" s="115" t="str">
        <x:v>Eine lineare Erörterung entwickeln: Beispieltexte untersuchen</x:v>
      </x:c>
      <x:c r="E37" s="115" t="str">
        <x:v>Ein Beispiel für lineare Erörterung lesen; Aufbau und typische Formulierungen farbig kennzeichnen. Kurs-I-Niveau: reduzierte Textmenge, Leitfragen, vorstrukturierte Verfahren und alltagsnahe Transferaufgaben.</x:v>
      </x:c>
      <x:c r="F37" s="115" t="str">
        <x:v>Mehrere Beispiele für lineare Erörterung vergleichen; Funktion, Adressat und Qualitätsunterschiede herausarbeiten. Kurs-II-Niveau: komplexere Texte, selbstständige Verfahren, Fachbegriffe und vertiefte Deutung oder Bewertung.</x:v>
      </x:c>
      <x:c r="G37" s="115" t="str">
        <x:v>de_k8_st33_eroerterung_linear_beispiel</x:v>
      </x:c>
      <x:c r="H37" s="176" t="e">
        <x:f>HYPERLINK("schueler/de_k8_st33_eroerterung_linear_beispiel_app.html","Lernmodul öffnen")</x:f>
      </x:c>
      <x:c r="I37" s="177" t="e">
        <x:f>HYPERLINK("lehrer/de_k8_st33_eroerterung_linear_beispiel_orga.html","Vorbereitung öffnen")</x:f>
      </x:c>
    </x:row>
    <x:row r="38" ht="65" customHeight="1">
      <x:c r="A38" s="142" t="n">
        <x:v>8</x:v>
      </x:c>
      <x:c r="B38" s="115" t="str">
        <x:v>Schreiben</x:v>
      </x:c>
      <x:c r="C38" s="148" t="n">
        <x:v>34</x:v>
      </x:c>
      <x:c r="D38" s="115" t="str">
        <x:v>Eine lineare Erörterung entwickeln: Schreibziel und Kriterien klären</x:v>
      </x:c>
      <x:c r="E38" s="115" t="str">
        <x:v>Schreibziel „eine Streitfrage geordnet und überzeugend beantworten“ verstehen; eine kurze Kriterienliste auf ein Beispiel anwenden. Kurs-I-Niveau: reduzierte Textmenge, Leitfragen, vorstrukturierte Verfahren und alltagsnahe Transferaufgaben.</x:v>
      </x:c>
      <x:c r="F38" s="115" t="str">
        <x:v>Schreibziel „eine Streitfrage geordnet und überzeugend beantworten“ präzisieren; Kriterien gewichten und auf unterschiedliche Schreibsituationen übertragen. Kurs-II-Niveau: komplexere Texte, selbstständige Verfahren, Fachbegriffe und vertiefte Deutung oder Bewertung.</x:v>
      </x:c>
      <x:c r="G38" s="115" t="str">
        <x:v>de_k8_st34_eroerterung_linear_kriterien</x:v>
      </x:c>
      <x:c r="H38" s="176" t="e">
        <x:f>HYPERLINK("schueler/de_k8_st34_eroerterung_linear_kriterien_app.html","Lernmodul öffnen")</x:f>
      </x:c>
      <x:c r="I38" s="177" t="e">
        <x:f>HYPERLINK("lehrer/de_k8_st34_eroerterung_linear_kriterien_orga.html","Vorbereitung öffnen")</x:f>
      </x:c>
    </x:row>
    <x:row r="39" ht="65" customHeight="1">
      <x:c r="A39" s="142" t="n">
        <x:v>8</x:v>
      </x:c>
      <x:c r="B39" s="115" t="str">
        <x:v>Lesen/Umgang mit Texten</x:v>
      </x:c>
      <x:c r="C39" s="148" t="n">
        <x:v>35</x:v>
      </x:c>
      <x:c r="D39" s="115" t="str">
        <x:v>Eine lineare Erörterung entwickeln: Inhalte auswählen und ordnen</x:v>
      </x:c>
      <x:c r="E39" s="115" t="str">
        <x:v>These, Argumentfolge, Beispiele, Schluss mit Leitfragen sammeln und in einer vorgegebenen Reihenfolge ordnen. Kurs-I-Niveau: reduzierte Textmenge, Leitfragen, vorstrukturierte Verfahren und alltagsnahe Transferaufgaben.</x:v>
      </x:c>
      <x:c r="F39" s="115" t="str">
        <x:v>These, Argumentfolge, Beispiele, Schluss selbstständig auswählen, gewichten und in einer passenden Gliederung strukturieren. Kurs-II-Niveau: komplexere Texte, selbstständige Verfahren, Fachbegriffe und vertiefte Deutung oder Bewertung.</x:v>
      </x:c>
      <x:c r="G39" s="115" t="str">
        <x:v>de_k8_st35_eroerterung_linear_inhalte_ordnen</x:v>
      </x:c>
      <x:c r="H39" s="176" t="e">
        <x:f>HYPERLINK("schueler/de_k8_st35_eroerterung_linear_inhalte_ordnen_app.html","Lernmodul öffnen")</x:f>
      </x:c>
      <x:c r="I39" s="177" t="e">
        <x:f>HYPERLINK("lehrer/de_k8_st35_eroerterung_linear_inhalte_ordnen_orga.html","Vorbereitung öffnen")</x:f>
      </x:c>
    </x:row>
    <x:row r="40" ht="65" customHeight="1">
      <x:c r="A40" s="142" t="n">
        <x:v>8</x:v>
      </x:c>
      <x:c r="B40" s="115" t="str">
        <x:v>Sprache untersuchen</x:v>
      </x:c>
      <x:c r="C40" s="148" t="n">
        <x:v>36</x:v>
      </x:c>
      <x:c r="D40" s="115" t="str">
        <x:v>Eine lineare Erörterung entwickeln: passende sprachliche Mittel verwenden</x:v>
      </x:c>
      <x:c r="E40" s="115" t="str">
        <x:v>Verknüpfungen, sachlicher Stil, Gewichtung in Übungen erkennen und nach Satzmustern anwenden. Kurs-I-Niveau: reduzierte Textmenge, Leitfragen, vorstrukturierte Verfahren und alltagsnahe Transferaufgaben.</x:v>
      </x:c>
      <x:c r="F40" s="115" t="str">
        <x:v>Verknüpfungen, sachlicher Stil, Gewichtung hinsichtlich Wirkung und Angemessenheit prüfen und gezielt variieren. Kurs-II-Niveau: komplexere Texte, selbstständige Verfahren, Fachbegriffe und vertiefte Deutung oder Bewertung.</x:v>
      </x:c>
      <x:c r="G40" s="115" t="str">
        <x:v>de_k8_st36_eroerterung_linear_sprachmittel</x:v>
      </x:c>
      <x:c r="H40" s="176" t="e">
        <x:f>HYPERLINK("schueler/de_k8_st36_eroerterung_linear_sprachmittel_app.html","Lernmodul öffnen")</x:f>
      </x:c>
      <x:c r="I40" s="177" t="e">
        <x:f>HYPERLINK("lehrer/de_k8_st36_eroerterung_linear_sprachmittel_orga.html","Vorbereitung öffnen")</x:f>
      </x:c>
    </x:row>
    <x:row r="41" ht="65" customHeight="1">
      <x:c r="A41" s="142" t="n">
        <x:v>8</x:v>
      </x:c>
      <x:c r="B41" s="115" t="str">
        <x:v>Schreiben</x:v>
      </x:c>
      <x:c r="C41" s="148" t="n">
        <x:v>37</x:v>
      </x:c>
      <x:c r="D41" s="115" t="str">
        <x:v>Eine lineare Erörterung entwickeln: einen Schreibplan erstellen</x:v>
      </x:c>
      <x:c r="E41" s="115" t="str">
        <x:v>Einen vorstrukturierten Schreibplan ausfüllen; Einleitung, Hauptteil und Schluss festlegen. Kurs-I-Niveau: reduzierte Textmenge, Leitfragen, vorstrukturierte Verfahren und alltagsnahe Transferaufgaben.</x:v>
      </x:c>
      <x:c r="F41" s="115" t="str">
        <x:v>Einen eigenen Schreibplan mit Teilzielen, Belegen und sprachlichen Mitteln entwickeln. Kurs-II-Niveau: komplexere Texte, selbstständige Verfahren, Fachbegriffe und vertiefte Deutung oder Bewertung.</x:v>
      </x:c>
      <x:c r="G41" s="115" t="str">
        <x:v>de_k8_st37_eroerterung_linear_schreibplan</x:v>
      </x:c>
      <x:c r="H41" s="176" t="e">
        <x:f>HYPERLINK("schueler/de_k8_st37_eroerterung_linear_schreibplan_app.html","Lernmodul öffnen")</x:f>
      </x:c>
      <x:c r="I41" s="177" t="e">
        <x:f>HYPERLINK("lehrer/de_k8_st37_eroerterung_linear_schreibplan_orga.html","Vorbereitung öffnen")</x:f>
      </x:c>
    </x:row>
    <x:row r="42" ht="65" customHeight="1">
      <x:c r="A42" s="142" t="n">
        <x:v>8</x:v>
      </x:c>
      <x:c r="B42" s="115" t="str">
        <x:v>Schreiben</x:v>
      </x:c>
      <x:c r="C42" s="148" t="n">
        <x:v>38</x:v>
      </x:c>
      <x:c r="D42" s="115" t="str">
        <x:v>Eine lineare Erörterung entwickeln: einen ersten Textentwurf verfassen</x:v>
      </x:c>
      <x:c r="E42" s="115" t="str">
        <x:v>Lineare erörterung mithilfe von Schreibrahmen, Satzanfängen und Wortbank verfassen. Kurs-I-Niveau: reduzierte Textmenge, Leitfragen, vorstrukturierte Verfahren und alltagsnahe Transferaufgaben.</x:v>
      </x:c>
      <x:c r="F42" s="115" t="str">
        <x:v>Lineare erörterung selbstständig, adressatenbezogen und sprachlich differenziert verfassen. Kurs-II-Niveau: komplexere Texte, selbstständige Verfahren, Fachbegriffe und vertiefte Deutung oder Bewertung.</x:v>
      </x:c>
      <x:c r="G42" s="115" t="str">
        <x:v>de_k8_st38_eroerterung_linear_entwurf</x:v>
      </x:c>
      <x:c r="H42" s="176" t="e">
        <x:f>HYPERLINK("schueler/de_k8_st38_eroerterung_linear_entwurf_app.html","Lernmodul öffnen")</x:f>
      </x:c>
      <x:c r="I42" s="177" t="e">
        <x:f>HYPERLINK("lehrer/de_k8_st38_eroerterung_linear_entwurf_orga.html","Vorbereitung öffnen")</x:f>
      </x:c>
    </x:row>
    <x:row r="43" ht="65" customHeight="1">
      <x:c r="A43" s="142" t="n">
        <x:v>8</x:v>
      </x:c>
      <x:c r="B43" s="115" t="str">
        <x:v>Schreiben</x:v>
      </x:c>
      <x:c r="C43" s="148" t="n">
        <x:v>39</x:v>
      </x:c>
      <x:c r="D43" s="115" t="str">
        <x:v>Eine lineare Erörterung entwickeln: Text kriteriengeleitet überarbeiten</x:v>
      </x:c>
      <x:c r="E43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43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43" s="115" t="str">
        <x:v>de_k8_st39_eroerterung_linear_ueberarbeiten</x:v>
      </x:c>
      <x:c r="H43" s="176" t="e">
        <x:f>HYPERLINK("schueler/de_k8_st39_eroerterung_linear_ueberarbeiten_app.html","Lernmodul öffnen")</x:f>
      </x:c>
      <x:c r="I43" s="177" t="e">
        <x:f>HYPERLINK("lehrer/de_k8_st39_eroerterung_linear_ueberarbeiten_orga.html","Vorbereitung öffnen")</x:f>
      </x:c>
    </x:row>
    <x:row r="44" ht="65" customHeight="1">
      <x:c r="A44" s="142" t="n">
        <x:v>8</x:v>
      </x:c>
      <x:c r="B44" s="115" t="str">
        <x:v>Sprechen und Zuhören</x:v>
      </x:c>
      <x:c r="C44" s="148" t="n">
        <x:v>40</x:v>
      </x:c>
      <x:c r="D44" s="115" t="str">
        <x:v>Eine lineare Erörterung entwickeln: Texte vorstellen und bewerten</x:v>
      </x:c>
      <x:c r="E44" s="115" t="str">
        <x:v>Ausgewählte Passage vorlesen oder erläutern; Rückmeldung mit einfachen Satzmustern geben. Kurs-I-Niveau: reduzierte Textmenge, Leitfragen, vorstrukturierte Verfahren und alltagsnahe Transferaufgaben.</x:v>
      </x:c>
      <x:c r="F44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44" s="115" t="str">
        <x:v>de_k8_st40_eroerterung_linear_vorstellen</x:v>
      </x:c>
      <x:c r="H44" s="176" t="e">
        <x:f>HYPERLINK("schueler/de_k8_st40_eroerterung_linear_vorstellen_app.html","Lernmodul öffnen")</x:f>
      </x:c>
      <x:c r="I44" s="177" t="e">
        <x:f>HYPERLINK("lehrer/de_k8_st40_eroerterung_linear_vorstellen_orga.html","Vorbereitung öffnen")</x:f>
      </x:c>
    </x:row>
    <x:row r="45" ht="65" customHeight="1">
      <x:c r="A45" s="142" t="n">
        <x:v>8</x:v>
      </x:c>
      <x:c r="B45" s="115" t="str">
        <x:v>Sprache untersuchen</x:v>
      </x:c>
      <x:c r="C45" s="148" t="n">
        <x:v>41</x:v>
      </x:c>
      <x:c r="D45" s="115" t="str">
        <x:v>Satzgefüge und Kommasetzung: Lernstand feststellen</x:v>
      </x:c>
      <x:c r="E45" s="115" t="str">
        <x:v>Kurze Diagnose zu Haupt- und Nebensätze bearbeiten; eigene Unsicherheiten markieren. Kurs-I-Niveau: reduzierte Textmenge, Leitfragen, vorstrukturierte Verfahren und alltagsnahe Transferaufgaben.</x:v>
      </x:c>
      <x:c r="F45" s="115" t="str">
        <x:v>Diagnose zu Haupt- und Nebensätze auswerten; Fehlermuster benennen und persönliche Lernziele ableiten. Kurs-II-Niveau: komplexere Texte, selbstständige Verfahren, Fachbegriffe und vertiefte Deutung oder Bewertung.</x:v>
      </x:c>
      <x:c r="G45" s="115" t="str">
        <x:v>de_k8_st41_satzgefuege_diagnose</x:v>
      </x:c>
      <x:c r="H45" s="176" t="e">
        <x:f>HYPERLINK("schueler/de_k8_st41_satzgefuege_diagnose_app.html","Lernmodul öffnen")</x:f>
      </x:c>
      <x:c r="I45" s="177" t="e">
        <x:f>HYPERLINK("lehrer/de_k8_st41_satzgefuege_diagnose_orga.html","Vorbereitung öffnen")</x:f>
      </x:c>
    </x:row>
    <x:row r="46" ht="65" customHeight="1">
      <x:c r="A46" s="142" t="n">
        <x:v>8</x:v>
      </x:c>
      <x:c r="B46" s="115" t="str">
        <x:v>Sprache untersuchen</x:v>
      </x:c>
      <x:c r="C46" s="148" t="n">
        <x:v>42</x:v>
      </x:c>
      <x:c r="D46" s="115" t="str">
        <x:v>Satzgefüge und Kommasetzung: Grundbegriffe sichern</x:v>
      </x:c>
      <x:c r="E46" s="115" t="str">
        <x:v>Konjunktionen, Relativsätze, Infinitivgruppen und Kommas an einfachen Beispielen erkennen und mit Merkkarten sichern. Kurs-I-Niveau: reduzierte Textmenge, Leitfragen, vorstrukturierte Verfahren und alltagsnahe Transferaufgaben.</x:v>
      </x:c>
      <x:c r="F46" s="115" t="str">
        <x:v>Konjunktionen, Relativsätze, Infinitivgruppen und Kommas fachsprachlich erklären, voneinander abgrenzen und in komplexeren Beispielen bestimmen. Kurs-II-Niveau: komplexere Texte, selbstständige Verfahren, Fachbegriffe und vertiefte Deutung oder Bewertung.</x:v>
      </x:c>
      <x:c r="G46" s="115" t="str">
        <x:v>de_k8_st42_satzgefuege_grundbegriffe</x:v>
      </x:c>
      <x:c r="H46" s="176" t="e">
        <x:f>HYPERLINK("schueler/de_k8_st42_satzgefuege_grundbegriffe_app.html","Lernmodul öffnen")</x:f>
      </x:c>
      <x:c r="I46" s="177" t="e">
        <x:f>HYPERLINK("lehrer/de_k8_st42_satzgefuege_grundbegriffe_orga.html","Vorbereitung öffnen")</x:f>
      </x:c>
    </x:row>
    <x:row r="47" ht="65" customHeight="1">
      <x:c r="A47" s="142" t="n">
        <x:v>8</x:v>
      </x:c>
      <x:c r="B47" s="115" t="str">
        <x:v>Sprache untersuchen</x:v>
      </x:c>
      <x:c r="C47" s="148" t="n">
        <x:v>43</x:v>
      </x:c>
      <x:c r="D47" s="115" t="str">
        <x:v>Satzgefüge und Kommasetzung: Verfahren anwenden</x:v>
      </x:c>
      <x:c r="E47" s="115" t="str">
        <x:v>Felddiagnose und Satzbauproben Schritt für Schritt anwenden; Entscheidungen mündlich begründen. Kurs-I-Niveau: reduzierte Textmenge, Leitfragen, vorstrukturierte Verfahren und alltagsnahe Transferaufgaben.</x:v>
      </x:c>
      <x:c r="F47" s="115" t="str">
        <x:v>Felddiagnose und Satzbauproben selbstständig auswählen, kombinieren und auf Zweifelsfälle übertragen. Kurs-II-Niveau: komplexere Texte, selbstständige Verfahren, Fachbegriffe und vertiefte Deutung oder Bewertung.</x:v>
      </x:c>
      <x:c r="G47" s="115" t="str">
        <x:v>de_k8_st43_satzgefuege_verfahren</x:v>
      </x:c>
      <x:c r="H47" s="176" t="e">
        <x:f>HYPERLINK("schueler/de_k8_st43_satzgefuege_verfahren_app.html","Lernmodul öffnen")</x:f>
      </x:c>
      <x:c r="I47" s="177" t="e">
        <x:f>HYPERLINK("lehrer/de_k8_st43_satzgefuege_verfahren_orga.html","Vorbereitung öffnen")</x:f>
      </x:c>
    </x:row>
    <x:row r="48" ht="65" customHeight="1">
      <x:c r="A48" s="142" t="n">
        <x:v>8</x:v>
      </x:c>
      <x:c r="B48" s="115" t="str">
        <x:v>Sprache untersuchen</x:v>
      </x:c>
      <x:c r="C48" s="148" t="n">
        <x:v>44</x:v>
      </x:c>
      <x:c r="D48" s="115" t="str">
        <x:v>Satzgefüge und Kommasetzung: Formen und Funktionen untersuchen</x:v>
      </x:c>
      <x:c r="E48" s="115" t="str">
        <x:v>Formen bilden und ihre Aufgabe im Satz mit Leitfragen beschreiben. Kurs-I-Niveau: reduzierte Textmenge, Leitfragen, vorstrukturierte Verfahren und alltagsnahe Transferaufgaben.</x:v>
      </x:c>
      <x:c r="F48" s="115" t="str">
        <x:v>Form, Funktion und Wirkung im Satz oder Text untersuchen; alternative Formulierungen vergleichen. Kurs-II-Niveau: komplexere Texte, selbstständige Verfahren, Fachbegriffe und vertiefte Deutung oder Bewertung.</x:v>
      </x:c>
      <x:c r="G48" s="115" t="str">
        <x:v>de_k8_st44_satzgefuege_funktion</x:v>
      </x:c>
      <x:c r="H48" s="176" t="e">
        <x:f>HYPERLINK("schueler/de_k8_st44_satzgefuege_funktion_app.html","Lernmodul öffnen")</x:f>
      </x:c>
      <x:c r="I48" s="177" t="e">
        <x:f>HYPERLINK("lehrer/de_k8_st44_satzgefuege_funktion_orga.html","Vorbereitung öffnen")</x:f>
      </x:c>
    </x:row>
    <x:row r="49" ht="65" customHeight="1">
      <x:c r="A49" s="142" t="n">
        <x:v>8</x:v>
      </x:c>
      <x:c r="B49" s="115" t="str">
        <x:v>Schreiben</x:v>
      </x:c>
      <x:c r="C49" s="148" t="n">
        <x:v>45</x:v>
      </x:c>
      <x:c r="D49" s="115" t="str">
        <x:v>Satzgefüge und Kommasetzung: Wissen im eigenen Text nutzen</x:v>
      </x:c>
      <x:c r="E49" s="115" t="str">
        <x:v>Argumentationen und charakteristiken nach Vorgabe verfassen und die geübten Strukturen farbig markieren. Kurs-I-Niveau: reduzierte Textmenge, Leitfragen, vorstrukturierte Verfahren und alltagsnahe Transferaufgaben.</x:v>
      </x:c>
      <x:c r="F49" s="115" t="str">
        <x:v>Argumentationen und charakteristiken bewusst gestalten und sprachliche Entscheidungen kommentieren. Kurs-II-Niveau: komplexere Texte, selbstständige Verfahren, Fachbegriffe und vertiefte Deutung oder Bewertung.</x:v>
      </x:c>
      <x:c r="G49" s="115" t="str">
        <x:v>de_k8_st45_satzgefuege_anwenden</x:v>
      </x:c>
      <x:c r="H49" s="176" t="e">
        <x:f>HYPERLINK("schueler/de_k8_st45_satzgefuege_anwenden_app.html","Lernmodul öffnen")</x:f>
      </x:c>
      <x:c r="I49" s="177" t="e">
        <x:f>HYPERLINK("lehrer/de_k8_st45_satzgefuege_anwenden_orga.html","Vorbereitung öffnen")</x:f>
      </x:c>
    </x:row>
    <x:row r="50" ht="65" customHeight="1">
      <x:c r="A50" s="142" t="n">
        <x:v>8</x:v>
      </x:c>
      <x:c r="B50" s="115" t="str">
        <x:v>Sprache untersuchen</x:v>
      </x:c>
      <x:c r="C50" s="148" t="n">
        <x:v>46</x:v>
      </x:c>
      <x:c r="D50" s="115" t="str">
        <x:v>Satzgefüge und Kommasetzung: Fehler finden und korrigieren</x:v>
      </x:c>
      <x:c r="E50" s="115" t="str">
        <x:v>Typische Fehler in kurzen Sätzen finden; passende Regelkarte auswählen und korrigieren. Kurs-I-Niveau: reduzierte Textmenge, Leitfragen, vorstrukturierte Verfahren und alltagsnahe Transferaufgaben.</x:v>
      </x:c>
      <x:c r="F50" s="115" t="str">
        <x:v>Fehler systematisch diagnostizieren, Regelbezug herstellen und mehrere Korrekturmöglichkeiten bewerten. Kurs-II-Niveau: komplexere Texte, selbstständige Verfahren, Fachbegriffe und vertiefte Deutung oder Bewertung.</x:v>
      </x:c>
      <x:c r="G50" s="115" t="str">
        <x:v>de_k8_st46_satzgefuege_fehler</x:v>
      </x:c>
      <x:c r="H50" s="176" t="e">
        <x:f>HYPERLINK("schueler/de_k8_st46_satzgefuege_fehler_app.html","Lernmodul öffnen")</x:f>
      </x:c>
      <x:c r="I50" s="177" t="e">
        <x:f>HYPERLINK("lehrer/de_k8_st46_satzgefuege_fehler_orga.html","Vorbereitung öffnen")</x:f>
      </x:c>
    </x:row>
    <x:row r="51" ht="65" customHeight="1">
      <x:c r="A51" s="142" t="n">
        <x:v>8</x:v>
      </x:c>
      <x:c r="B51" s="115" t="str">
        <x:v>Sprache untersuchen</x:v>
      </x:c>
      <x:c r="C51" s="148" t="n">
        <x:v>47</x:v>
      </x:c>
      <x:c r="D51" s="115" t="str">
        <x:v>Satzgefüge und Kommasetzung: Transfer auf unbekannte Beispiele</x:v>
      </x:c>
      <x:c r="E51" s="115" t="str">
        <x:v>Neue Beispiele mit Hilfekarte bearbeiten und Lösungen vergleichen. Kurs-I-Niveau: reduzierte Textmenge, Leitfragen, vorstrukturierte Verfahren und alltagsnahe Transferaufgaben.</x:v>
      </x:c>
      <x:c r="F51" s="115" t="str">
        <x:v>Unbekannte und mehrdeutige Beispiele selbstständig analysieren; Grenzfälle begründet diskutieren. Kurs-II-Niveau: komplexere Texte, selbstständige Verfahren, Fachbegriffe und vertiefte Deutung oder Bewertung.</x:v>
      </x:c>
      <x:c r="G51" s="115" t="str">
        <x:v>de_k8_st47_satzgefuege_transfer</x:v>
      </x:c>
      <x:c r="H51" s="176" t="e">
        <x:f>HYPERLINK("schueler/de_k8_st47_satzgefuege_transfer_app.html","Lernmodul öffnen")</x:f>
      </x:c>
      <x:c r="I51" s="177" t="e">
        <x:f>HYPERLINK("lehrer/de_k8_st47_satzgefuege_transfer_orga.html","Vorbereitung öffnen")</x:f>
      </x:c>
    </x:row>
    <x:row r="52" ht="65" customHeight="1">
      <x:c r="A52" s="142" t="n">
        <x:v>8</x:v>
      </x:c>
      <x:c r="B52" s="115" t="str">
        <x:v>Schreiben</x:v>
      </x:c>
      <x:c r="C52" s="148" t="n">
        <x:v>48</x:v>
      </x:c>
      <x:c r="D52" s="115" t="str">
        <x:v>Satzgefüge und Kommasetzung: Lernprodukt und Kompetenzcheck</x:v>
      </x:c>
      <x:c r="E52" s="115" t="str">
        <x:v>Merkblatt oder Übungstext erstellen; Grundregeln in einem kurzen Kompetenzcheck anwenden. Kurs-I-Niveau: reduzierte Textmenge, Leitfragen, vorstrukturierte Verfahren und alltagsnahe Transferaufgaben.</x:v>
      </x:c>
      <x:c r="F52" s="115" t="str">
        <x:v>Erklärprodukt mit eigenen Beispielen erstellen; Regeln in einem anspruchsvollen Kompetenzcheck sicher anwenden. Kurs-II-Niveau: komplexere Texte, selbstständige Verfahren, Fachbegriffe und vertiefte Deutung oder Bewertung.</x:v>
      </x:c>
      <x:c r="G52" s="115" t="str">
        <x:v>de_k8_st48_satzgefuege_kompetenzcheck</x:v>
      </x:c>
      <x:c r="H52" s="176" t="e">
        <x:f>HYPERLINK("schueler/de_k8_st48_satzgefuege_kompetenzcheck_app.html","Lernmodul öffnen")</x:f>
      </x:c>
      <x:c r="I52" s="177" t="e">
        <x:f>HYPERLINK("lehrer/de_k8_st48_satzgefuege_kompetenzcheck_orga.html","Vorbereitung öffnen")</x:f>
      </x:c>
    </x:row>
    <x:row r="53" ht="65" customHeight="1">
      <x:c r="A53" s="142" t="n">
        <x:v>8</x:v>
      </x:c>
      <x:c r="B53" s="115" t="str">
        <x:v>Sprechen und Zuhören</x:v>
      </x:c>
      <x:c r="C53" s="148" t="n">
        <x:v>49</x:v>
      </x:c>
      <x:c r="D53" s="115" t="str">
        <x:v>Novelle oder Jugendroman: Hör- oder Leseeinstieg gestalten</x:v>
      </x:c>
      <x:c r="E53" s="115" t="str">
        <x:v>Einstieg über Bild, Hörtext oder kurzen Auszug; Vorwissen zu längere epische Ganzschrift sammeln und zentrale Wörter klären. Kurs-I-Niveau: reduzierte Textmenge, Leitfragen, vorstrukturierte Verfahren und alltagsnahe Transferaufgaben.</x:v>
      </x:c>
      <x:c r="F53" s="115" t="str">
        <x:v>Aus Titel, Kontext und Gestaltung Erwartungen an längere epische Ganzschrift ableiten; erste Hypothesen formulieren und begründen. Kurs-II-Niveau: komplexere Texte, selbstständige Verfahren, Fachbegriffe und vertiefte Deutung oder Bewertung.</x:v>
      </x:c>
      <x:c r="G53" s="115" t="str">
        <x:v>de_k8_st49_novelle_einstieg</x:v>
      </x:c>
      <x:c r="H53" s="176" t="e">
        <x:f>HYPERLINK("schueler/de_k8_st49_novelle_einstieg_app.html","Lernmodul öffnen")</x:f>
      </x:c>
      <x:c r="I53" s="177" t="e">
        <x:f>HYPERLINK("lehrer/de_k8_st49_novelle_einstieg_orga.html","Vorbereitung öffnen")</x:f>
      </x:c>
    </x:row>
    <x:row r="54" ht="65" customHeight="1">
      <x:c r="A54" s="142" t="n">
        <x:v>8</x:v>
      </x:c>
      <x:c r="B54" s="115" t="str">
        <x:v>Lesen/Umgang mit Texten</x:v>
      </x:c>
      <x:c r="C54" s="148" t="n">
        <x:v>50</x:v>
      </x:c>
      <x:c r="D54" s="115" t="str">
        <x:v>Novelle oder Jugendroman: den Text mit Lesestrategien erschließen</x:v>
      </x:c>
      <x:c r="E54" s="115" t="str">
        <x:v>Text abschnittsweise lesen; Schlüsselwörter markieren und den Inhalt mit Leitfragen sichern. Kurs-I-Niveau: reduzierte Textmenge, Leitfragen, vorstrukturierte Verfahren und alltagsnahe Transferaufgaben.</x:v>
      </x:c>
      <x:c r="F54" s="115" t="str">
        <x:v>Lesetechnik passend zum Ziel wählen; Sinnabschnitte, Schlüsselstellen und offene Fragen selbstständig festhalten. Kurs-II-Niveau: komplexere Texte, selbstständige Verfahren, Fachbegriffe und vertiefte Deutung oder Bewertung.</x:v>
      </x:c>
      <x:c r="G54" s="115" t="str">
        <x:v>de_k8_st50_novelle_erschliessen</x:v>
      </x:c>
      <x:c r="H54" s="176" t="e">
        <x:f>HYPERLINK("schueler/de_k8_st50_novelle_erschliessen_app.html","Lernmodul öffnen")</x:f>
      </x:c>
      <x:c r="I54" s="177" t="e">
        <x:f>HYPERLINK("lehrer/de_k8_st50_novelle_erschliessen_orga.html","Vorbereitung öffnen")</x:f>
      </x:c>
    </x:row>
    <x:row r="55" ht="65" customHeight="1">
      <x:c r="A55" s="142" t="n">
        <x:v>8</x:v>
      </x:c>
      <x:c r="B55" s="115" t="str">
        <x:v>Lesen/Umgang mit Texten</x:v>
      </x:c>
      <x:c r="C55" s="148" t="n">
        <x:v>51</x:v>
      </x:c>
      <x:c r="D55" s="115" t="str">
        <x:v>Novelle oder Jugendroman: Gattungsmerkmale erkennen</x:v>
      </x:c>
      <x:c r="E55" s="115" t="str">
        <x:v>Merkmale wie Rahmenhandlung, Konflikt, Wendepunkt, Leitmotiv mithilfe einer Checkliste zuordnen und an Textstellen zeigen. Kurs-I-Niveau: reduzierte Textmenge, Leitfragen, vorstrukturierte Verfahren und alltagsnahe Transferaufgaben.</x:v>
      </x:c>
      <x:c r="F55" s="115" t="str">
        <x:v>Merkmale wie Rahmenhandlung, Konflikt, Wendepunkt, Leitmotiv textnah belegen und ihre Funktion für Aufbau und Wirkung erklären. Kurs-II-Niveau: komplexere Texte, selbstständige Verfahren, Fachbegriffe und vertiefte Deutung oder Bewertung.</x:v>
      </x:c>
      <x:c r="G55" s="115" t="str">
        <x:v>de_k8_st51_novelle_merkmale</x:v>
      </x:c>
      <x:c r="H55" s="176" t="e">
        <x:f>HYPERLINK("schueler/de_k8_st51_novelle_merkmale_app.html","Lernmodul öffnen")</x:f>
      </x:c>
      <x:c r="I55" s="177" t="e">
        <x:f>HYPERLINK("lehrer/de_k8_st51_novelle_merkmale_orga.html","Vorbereitung öffnen")</x:f>
      </x:c>
    </x:row>
    <x:row r="56" ht="65" customHeight="1">
      <x:c r="A56" s="142" t="n">
        <x:v>8</x:v>
      </x:c>
      <x:c r="B56" s="115" t="str">
        <x:v>Lesen/Umgang mit Texten</x:v>
      </x:c>
      <x:c r="C56" s="148" t="n">
        <x:v>52</x:v>
      </x:c>
      <x:c r="D56" s="115" t="str">
        <x:v>Novelle oder Jugendroman: Figuren, Handlung und Konflikt untersuchen</x:v>
      </x:c>
      <x:c r="E56" s="115" t="str">
        <x:v>Gattungsmerkmale, Symbolik und historische Einordnung mit Figurenkarten oder Handlungsstreifen ordnen; einfache Belege auswählen. Kurs-I-Niveau: reduzierte Textmenge, Leitfragen, vorstrukturierte Verfahren und alltagsnahe Transferaufgaben.</x:v>
      </x:c>
      <x:c r="F56" s="115" t="str">
        <x:v>Gattungsmerkmale, Symbolik und historische Einordnung in ihrem Zusammenhang untersuchen; Schlussfolgerungen mit passenden Textbelegen absichern. Kurs-II-Niveau: komplexere Texte, selbstständige Verfahren, Fachbegriffe und vertiefte Deutung oder Bewertung.</x:v>
      </x:c>
      <x:c r="G56" s="115" t="str">
        <x:v>de_k8_st52_novelle_figuren_handlung</x:v>
      </x:c>
      <x:c r="H56" s="176" t="e">
        <x:f>HYPERLINK("schueler/de_k8_st52_novelle_figuren_handlung_app.html","Lernmodul öffnen")</x:f>
      </x:c>
      <x:c r="I56" s="177" t="e">
        <x:f>HYPERLINK("lehrer/de_k8_st52_novelle_figuren_handlung_orga.html","Vorbereitung öffnen")</x:f>
      </x:c>
    </x:row>
    <x:row r="57" ht="65" customHeight="1">
      <x:c r="A57" s="142" t="n">
        <x:v>8</x:v>
      </x:c>
      <x:c r="B57" s="115" t="str">
        <x:v>Sprache untersuchen</x:v>
      </x:c>
      <x:c r="C57" s="148" t="n">
        <x:v>53</x:v>
      </x:c>
      <x:c r="D57" s="115" t="str">
        <x:v>Novelle oder Jugendroman: Sprache und Wirkung untersuchen</x:v>
      </x:c>
      <x:c r="E57" s="115" t="str">
        <x:v>Beispiele für Erzählperspektive, Zeitraffung und Zeitdehnung markieren und ihre Wirkung mit vorgegebenen Begriffen beschreiben. Kurs-I-Niveau: reduzierte Textmenge, Leitfragen, vorstrukturierte Verfahren und alltagsnahe Transferaufgaben.</x:v>
      </x:c>
      <x:c r="F57" s="115" t="str">
        <x:v>Erzählperspektive, Zeitraffung und Zeitdehnung fachsprachlich analysieren und auf Figurenzeichnung, Stimmung oder Aussage beziehen. Kurs-II-Niveau: komplexere Texte, selbstständige Verfahren, Fachbegriffe und vertiefte Deutung oder Bewertung.</x:v>
      </x:c>
      <x:c r="G57" s="115" t="str">
        <x:v>de_k8_st53_novelle_sprache_wirkung</x:v>
      </x:c>
      <x:c r="H57" s="176" t="e">
        <x:f>HYPERLINK("schueler/de_k8_st53_novelle_sprache_wirkung_app.html","Lernmodul öffnen")</x:f>
      </x:c>
      <x:c r="I57" s="177" t="e">
        <x:f>HYPERLINK("lehrer/de_k8_st53_novelle_sprache_wirkung_orga.html","Vorbereitung öffnen")</x:f>
      </x:c>
    </x:row>
    <x:row r="58" ht="65" customHeight="1">
      <x:c r="A58" s="142" t="n">
        <x:v>8</x:v>
      </x:c>
      <x:c r="B58" s="115" t="str">
        <x:v>Schreiben</x:v>
      </x:c>
      <x:c r="C58" s="148" t="n">
        <x:v>54</x:v>
      </x:c>
      <x:c r="D58" s="115" t="str">
        <x:v>Novelle oder Jugendroman: eine Deutung oder Perspektive vorbereiten</x:v>
      </x:c>
      <x:c r="E58" s="115" t="str">
        <x:v>Eine zentrale Aussage mit Satzstartern formulieren; Beleg und Erklärung in einem Schreibrahmen verbinden. Kurs-I-Niveau: reduzierte Textmenge, Leitfragen, vorstrukturierte Verfahren und alltagsnahe Transferaufgaben.</x:v>
      </x:c>
      <x:c r="F58" s="115" t="str">
        <x:v>Eine schlüssige Deutungshypothese entwickeln; mehrere Belege auswählen, ordnen und gegeneinander abwägen. Kurs-II-Niveau: komplexere Texte, selbstständige Verfahren, Fachbegriffe und vertiefte Deutung oder Bewertung.</x:v>
      </x:c>
      <x:c r="G58" s="115" t="str">
        <x:v>de_k8_st54_novelle_deutung_planen</x:v>
      </x:c>
      <x:c r="H58" s="176" t="e">
        <x:f>HYPERLINK("schueler/de_k8_st54_novelle_deutung_planen_app.html","Lernmodul öffnen")</x:f>
      </x:c>
      <x:c r="I58" s="177" t="e">
        <x:f>HYPERLINK("lehrer/de_k8_st54_novelle_deutung_planen_orga.html","Vorbereitung öffnen")</x:f>
      </x:c>
    </x:row>
    <x:row r="59" ht="65" customHeight="1">
      <x:c r="A59" s="142" t="n">
        <x:v>8</x:v>
      </x:c>
      <x:c r="B59" s="115" t="str">
        <x:v>Schreiben</x:v>
      </x:c>
      <x:c r="C59" s="148" t="n">
        <x:v>55</x:v>
      </x:c>
      <x:c r="D59" s="115" t="str">
        <x:v>Novelle oder Jugendroman: Lesedossier gestalten</x:v>
      </x:c>
      <x:c r="E59" s="115" t="str">
        <x:v>Lesedossier nach klaren Vorgaben erstellen; Hilfekarten und Wortbank nutzen. Kurs-I-Niveau: reduzierte Textmenge, Leitfragen, vorstrukturierte Verfahren und alltagsnahe Transferaufgaben.</x:v>
      </x:c>
      <x:c r="F59" s="115" t="str">
        <x:v>Lesedossier eigenständig, textnah und sprachlich variabel gestalten; Wirkung bewusst planen. Kurs-II-Niveau: komplexere Texte, selbstständige Verfahren, Fachbegriffe und vertiefte Deutung oder Bewertung.</x:v>
      </x:c>
      <x:c r="G59" s="115" t="str">
        <x:v>de_k8_st55_novelle_produkt</x:v>
      </x:c>
      <x:c r="H59" s="176" t="e">
        <x:f>HYPERLINK("schueler/de_k8_st55_novelle_produkt_app.html","Lernmodul öffnen")</x:f>
      </x:c>
      <x:c r="I59" s="177" t="e">
        <x:f>HYPERLINK("lehrer/de_k8_st55_novelle_produkt_orga.html","Vorbereitung öffnen")</x:f>
      </x:c>
    </x:row>
    <x:row r="60" ht="65" customHeight="1">
      <x:c r="A60" s="142" t="n">
        <x:v>8</x:v>
      </x:c>
      <x:c r="B60" s="115" t="str">
        <x:v>Sprechen und Zuhören</x:v>
      </x:c>
      <x:c r="C60" s="148" t="n">
        <x:v>56</x:v>
      </x:c>
      <x:c r="D60" s="115" t="str">
        <x:v>Novelle oder Jugendroman: Ergebnisse präsentieren und reflektieren</x:v>
      </x:c>
      <x:c r="E60" s="115" t="str">
        <x:v>Ergebnis kurz vorstellen; zwei vereinbarte Kriterien für Rückmeldung anwenden. Kurs-I-Niveau: reduzierte Textmenge, Leitfragen, vorstrukturierte Verfahren und alltagsnahe Transferaufgaben.</x:v>
      </x:c>
      <x:c r="F60" s="115" t="str">
        <x:v>Ergebnis adressatenbezogen präsentieren; Rückmeldungen begründen und die eigene Deutung oder Gestaltung überarbeiten. Kurs-II-Niveau: komplexere Texte, selbstständige Verfahren, Fachbegriffe und vertiefte Deutung oder Bewertung.</x:v>
      </x:c>
      <x:c r="G60" s="115" t="str">
        <x:v>de_k8_st56_novelle_praesentieren</x:v>
      </x:c>
      <x:c r="H60" s="176" t="e">
        <x:f>HYPERLINK("schueler/de_k8_st56_novelle_praesentieren_app.html","Lernmodul öffnen")</x:f>
      </x:c>
      <x:c r="I60" s="177" t="e">
        <x:f>HYPERLINK("lehrer/de_k8_st56_novelle_praesentieren_orga.html","Vorbereitung öffnen")</x:f>
      </x:c>
    </x:row>
    <x:row r="61" ht="65" customHeight="1">
      <x:c r="A61" s="142" t="n">
        <x:v>8</x:v>
      </x:c>
      <x:c r="B61" s="115" t="str">
        <x:v>Lesen/Umgang mit Texten</x:v>
      </x:c>
      <x:c r="C61" s="148" t="n">
        <x:v>57</x:v>
      </x:c>
      <x:c r="D61" s="115" t="str">
        <x:v>Praktikumsbericht und Berufswelt: Beispieltexte untersuchen</x:v>
      </x:c>
      <x:c r="E61" s="115" t="str">
        <x:v>Ein Beispiel für Praktikumsbericht lesen; Aufbau und typische Formulierungen farbig kennzeichnen. Kurs-I-Niveau: reduzierte Textmenge, Leitfragen, vorstrukturierte Verfahren und alltagsnahe Transferaufgaben.</x:v>
      </x:c>
      <x:c r="F61" s="115" t="str">
        <x:v>Mehrere Beispiele für Praktikumsbericht vergleichen; Funktion, Adressat und Qualitätsunterschiede herausarbeiten. Kurs-II-Niveau: komplexere Texte, selbstständige Verfahren, Fachbegriffe und vertiefte Deutung oder Bewertung.</x:v>
      </x:c>
      <x:c r="G61" s="115" t="str">
        <x:v>de_k8_st57_praktikumsbericht_beispiel</x:v>
      </x:c>
      <x:c r="H61" s="176" t="e">
        <x:f>HYPERLINK("schueler/de_k8_st57_praktikumsbericht_beispiel_app.html","Lernmodul öffnen")</x:f>
      </x:c>
      <x:c r="I61" s="177" t="e">
        <x:f>HYPERLINK("lehrer/de_k8_st57_praktikumsbericht_beispiel_orga.html","Vorbereitung öffnen")</x:f>
      </x:c>
    </x:row>
    <x:row r="62" ht="65" customHeight="1">
      <x:c r="A62" s="142" t="n">
        <x:v>8</x:v>
      </x:c>
      <x:c r="B62" s="115" t="str">
        <x:v>Schreiben</x:v>
      </x:c>
      <x:c r="C62" s="148" t="n">
        <x:v>58</x:v>
      </x:c>
      <x:c r="D62" s="115" t="str">
        <x:v>Praktikumsbericht und Berufswelt: Schreibziel und Kriterien klären</x:v>
      </x:c>
      <x:c r="E62" s="115" t="str">
        <x:v>Schreibziel „Tätigkeiten, Betrieb und Erfahrungen sachlich dokumentieren“ verstehen; eine kurze Kriterienliste auf ein Beispiel anwenden. Kurs-I-Niveau: reduzierte Textmenge, Leitfragen, vorstrukturierte Verfahren und alltagsnahe Transferaufgaben.</x:v>
      </x:c>
      <x:c r="F62" s="115" t="str">
        <x:v>Schreibziel „Tätigkeiten, Betrieb und Erfahrungen sachlich dokumentieren“ präzisieren; Kriterien gewichten und auf unterschiedliche Schreibsituationen übertragen. Kurs-II-Niveau: komplexere Texte, selbstständige Verfahren, Fachbegriffe und vertiefte Deutung oder Bewertung.</x:v>
      </x:c>
      <x:c r="G62" s="115" t="str">
        <x:v>de_k8_st58_praktikumsbericht_kriterien</x:v>
      </x:c>
      <x:c r="H62" s="176" t="e">
        <x:f>HYPERLINK("schueler/de_k8_st58_praktikumsbericht_kriterien_app.html","Lernmodul öffnen")</x:f>
      </x:c>
      <x:c r="I62" s="177" t="e">
        <x:f>HYPERLINK("lehrer/de_k8_st58_praktikumsbericht_kriterien_orga.html","Vorbereitung öffnen")</x:f>
      </x:c>
    </x:row>
    <x:row r="63" ht="65" customHeight="1">
      <x:c r="A63" s="142" t="n">
        <x:v>8</x:v>
      </x:c>
      <x:c r="B63" s="115" t="str">
        <x:v>Lesen/Umgang mit Texten</x:v>
      </x:c>
      <x:c r="C63" s="148" t="n">
        <x:v>59</x:v>
      </x:c>
      <x:c r="D63" s="115" t="str">
        <x:v>Praktikumsbericht und Berufswelt: Inhalte auswählen und ordnen</x:v>
      </x:c>
      <x:c r="E63" s="115" t="str">
        <x:v>Beobachtung, Reflexion und Berufsfeldbezug mit Leitfragen sammeln und in einer vorgegebenen Reihenfolge ordnen. Kurs-I-Niveau: reduzierte Textmenge, Leitfragen, vorstrukturierte Verfahren und alltagsnahe Transferaufgaben.</x:v>
      </x:c>
      <x:c r="F63" s="115" t="str">
        <x:v>Beobachtung, Reflexion und Berufsfeldbezug selbstständig auswählen, gewichten und in einer passenden Gliederung strukturieren. Kurs-II-Niveau: komplexere Texte, selbstständige Verfahren, Fachbegriffe und vertiefte Deutung oder Bewertung.</x:v>
      </x:c>
      <x:c r="G63" s="115" t="str">
        <x:v>de_k8_st59_praktikumsbericht_inhalte_ordnen</x:v>
      </x:c>
      <x:c r="H63" s="176" t="e">
        <x:f>HYPERLINK("schueler/de_k8_st59_praktikumsbericht_inhalte_ordnen_app.html","Lernmodul öffnen")</x:f>
      </x:c>
      <x:c r="I63" s="177" t="e">
        <x:f>HYPERLINK("lehrer/de_k8_st59_praktikumsbericht_inhalte_ordnen_orga.html","Vorbereitung öffnen")</x:f>
      </x:c>
    </x:row>
    <x:row r="64" ht="65" customHeight="1">
      <x:c r="A64" s="142" t="n">
        <x:v>8</x:v>
      </x:c>
      <x:c r="B64" s="115" t="str">
        <x:v>Sprache untersuchen</x:v>
      </x:c>
      <x:c r="C64" s="148" t="n">
        <x:v>60</x:v>
      </x:c>
      <x:c r="D64" s="115" t="str">
        <x:v>Praktikumsbericht und Berufswelt: passende sprachliche Mittel verwenden</x:v>
      </x:c>
      <x:c r="E64" s="115" t="str">
        <x:v>Fachsprache, Zeitformen, strukturierte Absätze in Übungen erkennen und nach Satzmustern anwenden. Kurs-I-Niveau: reduzierte Textmenge, Leitfragen, vorstrukturierte Verfahren und alltagsnahe Transferaufgaben.</x:v>
      </x:c>
      <x:c r="F64" s="115" t="str">
        <x:v>Fachsprache, Zeitformen, strukturierte Absätze hinsichtlich Wirkung und Angemessenheit prüfen und gezielt variieren. Kurs-II-Niveau: komplexere Texte, selbstständige Verfahren, Fachbegriffe und vertiefte Deutung oder Bewertung.</x:v>
      </x:c>
      <x:c r="G64" s="115" t="str">
        <x:v>de_k8_st60_praktikumsbericht_sprachmittel</x:v>
      </x:c>
      <x:c r="H64" s="176" t="e">
        <x:f>HYPERLINK("schueler/de_k8_st60_praktikumsbericht_sprachmittel_app.html","Lernmodul öffnen")</x:f>
      </x:c>
      <x:c r="I64" s="177" t="e">
        <x:f>HYPERLINK("lehrer/de_k8_st60_praktikumsbericht_sprachmittel_orga.html","Vorbereitung öffnen")</x:f>
      </x:c>
    </x:row>
    <x:row r="65" ht="65" customHeight="1">
      <x:c r="A65" s="142" t="n">
        <x:v>8</x:v>
      </x:c>
      <x:c r="B65" s="115" t="str">
        <x:v>Schreiben</x:v>
      </x:c>
      <x:c r="C65" s="148" t="n">
        <x:v>61</x:v>
      </x:c>
      <x:c r="D65" s="115" t="str">
        <x:v>Praktikumsbericht und Berufswelt: einen Schreibplan erstellen</x:v>
      </x:c>
      <x:c r="E65" s="115" t="str">
        <x:v>Einen vorstrukturierten Schreibplan ausfüllen; Einleitung, Hauptteil und Schluss festlegen. Kurs-I-Niveau: reduzierte Textmenge, Leitfragen, vorstrukturierte Verfahren und alltagsnahe Transferaufgaben.</x:v>
      </x:c>
      <x:c r="F65" s="115" t="str">
        <x:v>Einen eigenen Schreibplan mit Teilzielen, Belegen und sprachlichen Mitteln entwickeln. Kurs-II-Niveau: komplexere Texte, selbstständige Verfahren, Fachbegriffe und vertiefte Deutung oder Bewertung.</x:v>
      </x:c>
      <x:c r="G65" s="115" t="str">
        <x:v>de_k8_st61_praktikumsbericht_schreibplan</x:v>
      </x:c>
      <x:c r="H65" s="176" t="e">
        <x:f>HYPERLINK("schueler/de_k8_st61_praktikumsbericht_schreibplan_app.html","Lernmodul öffnen")</x:f>
      </x:c>
      <x:c r="I65" s="177" t="e">
        <x:f>HYPERLINK("lehrer/de_k8_st61_praktikumsbericht_schreibplan_orga.html","Vorbereitung öffnen")</x:f>
      </x:c>
    </x:row>
    <x:row r="66" ht="65" customHeight="1">
      <x:c r="A66" s="142" t="n">
        <x:v>8</x:v>
      </x:c>
      <x:c r="B66" s="115" t="str">
        <x:v>Schreiben</x:v>
      </x:c>
      <x:c r="C66" s="148" t="n">
        <x:v>62</x:v>
      </x:c>
      <x:c r="D66" s="115" t="str">
        <x:v>Praktikumsbericht und Berufswelt: einen ersten Textentwurf verfassen</x:v>
      </x:c>
      <x:c r="E66" s="115" t="str">
        <x:v>Praktikumsbericht mithilfe von Schreibrahmen, Satzanfängen und Wortbank verfassen. Kurs-I-Niveau: reduzierte Textmenge, Leitfragen, vorstrukturierte Verfahren und alltagsnahe Transferaufgaben.</x:v>
      </x:c>
      <x:c r="F66" s="115" t="str">
        <x:v>Praktikumsbericht selbstständig, adressatenbezogen und sprachlich differenziert verfassen. Kurs-II-Niveau: komplexere Texte, selbstständige Verfahren, Fachbegriffe und vertiefte Deutung oder Bewertung.</x:v>
      </x:c>
      <x:c r="G66" s="115" t="str">
        <x:v>de_k8_st62_praktikumsbericht_entwurf</x:v>
      </x:c>
      <x:c r="H66" s="176" t="e">
        <x:f>HYPERLINK("schueler/de_k8_st62_praktikumsbericht_entwurf_app.html","Lernmodul öffnen")</x:f>
      </x:c>
      <x:c r="I66" s="177" t="e">
        <x:f>HYPERLINK("lehrer/de_k8_st62_praktikumsbericht_entwurf_orga.html","Vorbereitung öffnen")</x:f>
      </x:c>
    </x:row>
    <x:row r="67" ht="65" customHeight="1">
      <x:c r="A67" s="142" t="n">
        <x:v>8</x:v>
      </x:c>
      <x:c r="B67" s="115" t="str">
        <x:v>Schreiben</x:v>
      </x:c>
      <x:c r="C67" s="148" t="n">
        <x:v>63</x:v>
      </x:c>
      <x:c r="D67" s="115" t="str">
        <x:v>Praktikumsbericht und Berufswelt: Text kriteriengeleitet überarbeiten</x:v>
      </x:c>
      <x:c r="E67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67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67" s="115" t="str">
        <x:v>de_k8_st63_praktikumsbericht_ueberarbeiten</x:v>
      </x:c>
      <x:c r="H67" s="176" t="e">
        <x:f>HYPERLINK("schueler/de_k8_st63_praktikumsbericht_ueberarbeiten_app.html","Lernmodul öffnen")</x:f>
      </x:c>
      <x:c r="I67" s="177" t="e">
        <x:f>HYPERLINK("lehrer/de_k8_st63_praktikumsbericht_ueberarbeiten_orga.html","Vorbereitung öffnen")</x:f>
      </x:c>
    </x:row>
    <x:row r="68" ht="65" customHeight="1">
      <x:c r="A68" s="142" t="n">
        <x:v>8</x:v>
      </x:c>
      <x:c r="B68" s="115" t="str">
        <x:v>Sprechen und Zuhören</x:v>
      </x:c>
      <x:c r="C68" s="148" t="n">
        <x:v>64</x:v>
      </x:c>
      <x:c r="D68" s="115" t="str">
        <x:v>Praktikumsbericht und Berufswelt: Texte vorstellen und bewerten</x:v>
      </x:c>
      <x:c r="E68" s="115" t="str">
        <x:v>Ausgewählte Passage vorlesen oder erläutern; Rückmeldung mit einfachen Satzmustern geben. Kurs-I-Niveau: reduzierte Textmenge, Leitfragen, vorstrukturierte Verfahren und alltagsnahe Transferaufgaben.</x:v>
      </x:c>
      <x:c r="F68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68" s="115" t="str">
        <x:v>de_k8_st64_praktikumsbericht_vorstellen</x:v>
      </x:c>
      <x:c r="H68" s="176" t="e">
        <x:f>HYPERLINK("schueler/de_k8_st64_praktikumsbericht_vorstellen_app.html","Lernmodul öffnen")</x:f>
      </x:c>
      <x:c r="I68" s="177" t="e">
        <x:f>HYPERLINK("lehrer/de_k8_st64_praktikumsbericht_vorstellen_orga.html","Vorbereitung öffnen")</x:f>
      </x:c>
    </x:row>
    <x:row r="69" ht="65" customHeight="1">
      <x:c r="A69" s="142" t="n">
        <x:v>8</x:v>
      </x:c>
      <x:c r="B69" s="115" t="str">
        <x:v>Sprechen und Zuhören</x:v>
      </x:c>
      <x:c r="C69" s="148" t="n">
        <x:v>65</x:v>
      </x:c>
      <x:c r="D69" s="115" t="str">
        <x:v>Nachrichten, Meinung und Falschinformation: Vorwissen und Positionen klären</x:v>
      </x:c>
      <x:c r="E69" s="115" t="str">
        <x:v>Eigene Erfahrungen zu Nachrichten, Kommentare und Posts benennen; zentrale Begriffe mit Beispielen klären. Kurs-I-Niveau: reduzierte Textmenge, Leitfragen, vorstrukturierte Verfahren und alltagsnahe Transferaufgaben.</x:v>
      </x:c>
      <x:c r="F69" s="115" t="str">
        <x:v>Vorwissen zu Nachrichten, Kommentare und Posts strukturieren; erste Positionen formulieren und mögliche Konflikte benennen. Kurs-II-Niveau: komplexere Texte, selbstständige Verfahren, Fachbegriffe und vertiefte Deutung oder Bewertung.</x:v>
      </x:c>
      <x:c r="G69" s="115" t="str">
        <x:v>de_k8_st65_nachrichten_einstieg</x:v>
      </x:c>
      <x:c r="H69" s="176" t="e">
        <x:f>HYPERLINK("schueler/de_k8_st65_nachrichten_einstieg_app.html","Lernmodul öffnen")</x:f>
      </x:c>
      <x:c r="I69" s="177" t="e">
        <x:f>HYPERLINK("lehrer/de_k8_st65_nachrichten_einstieg_orga.html","Vorbereitung öffnen")</x:f>
      </x:c>
    </x:row>
    <x:row r="70" ht="65" customHeight="1">
      <x:c r="A70" s="142" t="n">
        <x:v>8</x:v>
      </x:c>
      <x:c r="B70" s="115" t="str">
        <x:v>Lesen/Umgang mit Texten</x:v>
      </x:c>
      <x:c r="C70" s="148" t="n">
        <x:v>66</x:v>
      </x:c>
      <x:c r="D70" s="115" t="str">
        <x:v>Nachrichten, Meinung und Falschinformation: Quellen und Materialien erschließen</x:v>
      </x:c>
      <x:c r="E70" s="115" t="str">
        <x:v>Kurze Materialien lesen oder ansehen; Hauptaussagen mit Leitfragen festhalten. Kurs-I-Niveau: reduzierte Textmenge, Leitfragen, vorstrukturierte Verfahren und alltagsnahe Transferaufgaben.</x:v>
      </x:c>
      <x:c r="F70" s="115" t="str">
        <x:v>Unterschiedliche Materialien selbstständig erschließen; Aussage, Intention und Kontext bestimmen. Kurs-II-Niveau: komplexere Texte, selbstständige Verfahren, Fachbegriffe und vertiefte Deutung oder Bewertung.</x:v>
      </x:c>
      <x:c r="G70" s="115" t="str">
        <x:v>de_k8_st66_nachrichten_quellen</x:v>
      </x:c>
      <x:c r="H70" s="176" t="e">
        <x:f>HYPERLINK("schueler/de_k8_st66_nachrichten_quellen_app.html","Lernmodul öffnen")</x:f>
      </x:c>
      <x:c r="I70" s="177" t="e">
        <x:f>HYPERLINK("lehrer/de_k8_st66_nachrichten_quellen_orga.html","Vorbereitung öffnen")</x:f>
      </x:c>
    </x:row>
    <x:row r="71" ht="65" customHeight="1">
      <x:c r="A71" s="142" t="n">
        <x:v>8</x:v>
      </x:c>
      <x:c r="B71" s="115" t="str">
        <x:v>Lesen/Umgang mit Texten</x:v>
      </x:c>
      <x:c r="C71" s="148" t="n">
        <x:v>67</x:v>
      </x:c>
      <x:c r="D71" s="115" t="str">
        <x:v>Nachrichten, Meinung und Falschinformation: Qualitätskriterien anwenden</x:v>
      </x:c>
      <x:c r="E71" s="115" t="str">
        <x:v>Quelle, Autor, Fakt, Meinung und Beleg in einer Checkliste anwenden und Auffälligkeiten markieren. Kurs-I-Niveau: reduzierte Textmenge, Leitfragen, vorstrukturierte Verfahren und alltagsnahe Transferaufgaben.</x:v>
      </x:c>
      <x:c r="F71" s="115" t="str">
        <x:v>Quelle, Autor, Fakt, Meinung und Beleg gewichten, auf Grenzfälle anwenden und begründete Qualitätsurteile formulieren. Kurs-II-Niveau: komplexere Texte, selbstständige Verfahren, Fachbegriffe und vertiefte Deutung oder Bewertung.</x:v>
      </x:c>
      <x:c r="G71" s="115" t="str">
        <x:v>de_k8_st67_nachrichten_kriterien</x:v>
      </x:c>
      <x:c r="H71" s="176" t="e">
        <x:f>HYPERLINK("schueler/de_k8_st67_nachrichten_kriterien_app.html","Lernmodul öffnen")</x:f>
      </x:c>
      <x:c r="I71" s="177" t="e">
        <x:f>HYPERLINK("lehrer/de_k8_st67_nachrichten_kriterien_orga.html","Vorbereitung öffnen")</x:f>
      </x:c>
    </x:row>
    <x:row r="72" ht="65" customHeight="1">
      <x:c r="A72" s="142" t="n">
        <x:v>8</x:v>
      </x:c>
      <x:c r="B72" s="115" t="str">
        <x:v>Lesen/Umgang mit Texten</x:v>
      </x:c>
      <x:c r="C72" s="148" t="n">
        <x:v>68</x:v>
      </x:c>
      <x:c r="D72" s="115" t="str">
        <x:v>Nachrichten, Meinung und Falschinformation: Darstellungen vergleichen</x:v>
      </x:c>
      <x:c r="E72" s="115" t="str">
        <x:v>Nachricht, kommentar und manipulativer beitrag nach vorgegebenen Merkmalen vergleichen. Kurs-I-Niveau: reduzierte Textmenge, Leitfragen, vorstrukturierte Verfahren und alltagsnahe Transferaufgaben.</x:v>
      </x:c>
      <x:c r="F72" s="115" t="str">
        <x:v>Nachricht, kommentar und manipulativer beitrag hinsichtlich Informationsauswahl, Gestaltung, Wirkung und Interessen vergleichen. Kurs-II-Niveau: komplexere Texte, selbstständige Verfahren, Fachbegriffe und vertiefte Deutung oder Bewertung.</x:v>
      </x:c>
      <x:c r="G72" s="115" t="str">
        <x:v>de_k8_st68_nachrichten_vergleichen</x:v>
      </x:c>
      <x:c r="H72" s="176" t="e">
        <x:f>HYPERLINK("schueler/de_k8_st68_nachrichten_vergleichen_app.html","Lernmodul öffnen")</x:f>
      </x:c>
      <x:c r="I72" s="177" t="e">
        <x:f>HYPERLINK("lehrer/de_k8_st68_nachrichten_vergleichen_orga.html","Vorbereitung öffnen")</x:f>
      </x:c>
    </x:row>
    <x:row r="73" ht="65" customHeight="1">
      <x:c r="A73" s="142" t="n">
        <x:v>8</x:v>
      </x:c>
      <x:c r="B73" s="115" t="str">
        <x:v>Schreiben</x:v>
      </x:c>
      <x:c r="C73" s="148" t="n">
        <x:v>69</x:v>
      </x:c>
      <x:c r="D73" s="115" t="str">
        <x:v>Nachrichten, Meinung und Falschinformation: Informationen prüfen und ordnen</x:v>
      </x:c>
      <x:c r="E73" s="115" t="str">
        <x:v>Informationen aus vorgegebenen Quellen auswählen; Fundstellen notieren und geordnet ablegen. Kurs-I-Niveau: reduzierte Textmenge, Leitfragen, vorstrukturierte Verfahren und alltagsnahe Transferaufgaben.</x:v>
      </x:c>
      <x:c r="F73" s="115" t="str">
        <x:v>Recherchefrage entwickeln; Quellen prüfen, Informationen abgleichen und korrekt dokumentieren. Kurs-II-Niveau: komplexere Texte, selbstständige Verfahren, Fachbegriffe und vertiefte Deutung oder Bewertung.</x:v>
      </x:c>
      <x:c r="G73" s="115" t="str">
        <x:v>de_k8_st69_nachrichten_recherche</x:v>
      </x:c>
      <x:c r="H73" s="176" t="e">
        <x:f>HYPERLINK("schueler/de_k8_st69_nachrichten_recherche_app.html","Lernmodul öffnen")</x:f>
      </x:c>
      <x:c r="I73" s="177" t="e">
        <x:f>HYPERLINK("lehrer/de_k8_st69_nachrichten_recherche_orga.html","Vorbereitung öffnen")</x:f>
      </x:c>
    </x:row>
    <x:row r="74" ht="65" customHeight="1">
      <x:c r="A74" s="142" t="n">
        <x:v>8</x:v>
      </x:c>
      <x:c r="B74" s="115" t="str">
        <x:v>Schreiben</x:v>
      </x:c>
      <x:c r="C74" s="148" t="n">
        <x:v>70</x:v>
      </x:c>
      <x:c r="D74" s="115" t="str">
        <x:v>Nachrichten, Meinung und Falschinformation: Produkt planen</x:v>
      </x:c>
      <x:c r="E74" s="115" t="str">
        <x:v>Für Faktencheck einen vorgegebenen Arbeitsplan ergänzen; Aufgaben verteilen. Kurs-I-Niveau: reduzierte Textmenge, Leitfragen, vorstrukturierte Verfahren und alltagsnahe Transferaufgaben.</x:v>
      </x:c>
      <x:c r="F74" s="115" t="str">
        <x:v>Für Faktencheck Zielgruppe, Aufbau, Medienwahl, Zeitplan und Qualitätskontrolle selbstständig festlegen. Kurs-II-Niveau: komplexere Texte, selbstständige Verfahren, Fachbegriffe und vertiefte Deutung oder Bewertung.</x:v>
      </x:c>
      <x:c r="G74" s="115" t="str">
        <x:v>de_k8_st70_nachrichten_planen</x:v>
      </x:c>
      <x:c r="H74" s="176" t="e">
        <x:f>HYPERLINK("schueler/de_k8_st70_nachrichten_planen_app.html","Lernmodul öffnen")</x:f>
      </x:c>
      <x:c r="I74" s="177" t="e">
        <x:f>HYPERLINK("lehrer/de_k8_st70_nachrichten_planen_orga.html","Vorbereitung öffnen")</x:f>
      </x:c>
    </x:row>
    <x:row r="75" ht="65" customHeight="1">
      <x:c r="A75" s="142" t="n">
        <x:v>8</x:v>
      </x:c>
      <x:c r="B75" s="115" t="str">
        <x:v>Schreiben</x:v>
      </x:c>
      <x:c r="C75" s="148" t="n">
        <x:v>71</x:v>
      </x:c>
      <x:c r="D75" s="115" t="str">
        <x:v>Nachrichten, Meinung und Falschinformation: Produkt erstellen</x:v>
      </x:c>
      <x:c r="E75" s="115" t="str">
        <x:v>Faktencheck mit Vorlage und klaren Teilaufträgen erstellen. Kurs-I-Niveau: reduzierte Textmenge, Leitfragen, vorstrukturierte Verfahren und alltagsnahe Transferaufgaben.</x:v>
      </x:c>
      <x:c r="F75" s="115" t="str">
        <x:v>Faktencheck selbstständig, adressatengerecht und quellenbewusst erstellen. Kurs-II-Niveau: komplexere Texte, selbstständige Verfahren, Fachbegriffe und vertiefte Deutung oder Bewertung.</x:v>
      </x:c>
      <x:c r="G75" s="115" t="str">
        <x:v>de_k8_st71_nachrichten_erstellen</x:v>
      </x:c>
      <x:c r="H75" s="176" t="e">
        <x:f>HYPERLINK("schueler/de_k8_st71_nachrichten_erstellen_app.html","Lernmodul öffnen")</x:f>
      </x:c>
      <x:c r="I75" s="177" t="e">
        <x:f>HYPERLINK("lehrer/de_k8_st71_nachrichten_erstellen_orga.html","Vorbereitung öffnen")</x:f>
      </x:c>
    </x:row>
    <x:row r="76" ht="65" customHeight="1">
      <x:c r="A76" s="142" t="n">
        <x:v>8</x:v>
      </x:c>
      <x:c r="B76" s="115" t="str">
        <x:v>Sprechen und Zuhören</x:v>
      </x:c>
      <x:c r="C76" s="148" t="n">
        <x:v>72</x:v>
      </x:c>
      <x:c r="D76" s="115" t="str">
        <x:v>Nachrichten, Meinung und Falschinformation: präsentieren und reflektieren</x:v>
      </x:c>
      <x:c r="E76" s="115" t="str">
        <x:v>Produkt kurz vorstellen; Rückmeldung anhand weniger Kriterien geben und annehmen. Kurs-I-Niveau: reduzierte Textmenge, Leitfragen, vorstrukturierte Verfahren und alltagsnahe Transferaufgaben.</x:v>
      </x:c>
      <x:c r="F76" s="115" t="str">
        <x:v>Produkt überzeugend präsentieren; Arbeitsprozess, Quellenwahl und Wirkung kritisch reflektieren. Kurs-II-Niveau: komplexere Texte, selbstständige Verfahren, Fachbegriffe und vertiefte Deutung oder Bewertung.</x:v>
      </x:c>
      <x:c r="G76" s="115" t="str">
        <x:v>de_k8_st72_nachrichten_reflexion</x:v>
      </x:c>
      <x:c r="H76" s="176" t="e">
        <x:f>HYPERLINK("schueler/de_k8_st72_nachrichten_reflexion_app.html","Lernmodul öffnen")</x:f>
      </x:c>
      <x:c r="I76" s="177" t="e">
        <x:f>HYPERLINK("lehrer/de_k8_st72_nachrichten_reflexion_orga.html","Vorbereitung öffnen")</x:f>
      </x:c>
    </x:row>
    <x:row r="77" ht="65" customHeight="1">
      <x:c r="A77" s="142" t="n">
        <x:v>8</x:v>
      </x:c>
      <x:c r="B77" s="115" t="str">
        <x:v>Lesen/Umgang mit Texten</x:v>
      </x:c>
      <x:c r="C77" s="148" t="n">
        <x:v>73</x:v>
      </x:c>
      <x:c r="D77" s="115" t="str">
        <x:v>Protokolle, Anfragen und Beschwerden: Beispieltexte untersuchen</x:v>
      </x:c>
      <x:c r="E77" s="115" t="str">
        <x:v>Ein Beispiel für formelle Gebrauchstexte lesen; Aufbau und typische Formulierungen farbig kennzeichnen. Kurs-I-Niveau: reduzierte Textmenge, Leitfragen, vorstrukturierte Verfahren und alltagsnahe Transferaufgaben.</x:v>
      </x:c>
      <x:c r="F77" s="115" t="str">
        <x:v>Mehrere Beispiele für formelle Gebrauchstexte vergleichen; Funktion, Adressat und Qualitätsunterschiede herausarbeiten. Kurs-II-Niveau: komplexere Texte, selbstständige Verfahren, Fachbegriffe und vertiefte Deutung oder Bewertung.</x:v>
      </x:c>
      <x:c r="G77" s="115" t="str">
        <x:v>de_k8_st73_gebrauchstexte_beispiel</x:v>
      </x:c>
      <x:c r="H77" s="176" t="e">
        <x:f>HYPERLINK("schueler/de_k8_st73_gebrauchstexte_beispiel_app.html","Lernmodul öffnen")</x:f>
      </x:c>
      <x:c r="I77" s="177" t="e">
        <x:f>HYPERLINK("lehrer/de_k8_st73_gebrauchstexte_beispiel_orga.html","Vorbereitung öffnen")</x:f>
      </x:c>
    </x:row>
    <x:row r="78" ht="65" customHeight="1">
      <x:c r="A78" s="142" t="n">
        <x:v>8</x:v>
      </x:c>
      <x:c r="B78" s="115" t="str">
        <x:v>Schreiben</x:v>
      </x:c>
      <x:c r="C78" s="148" t="n">
        <x:v>74</x:v>
      </x:c>
      <x:c r="D78" s="115" t="str">
        <x:v>Protokolle, Anfragen und Beschwerden: Schreibziel und Kriterien klären</x:v>
      </x:c>
      <x:c r="E78" s="115" t="str">
        <x:v>Schreibziel „Informationen vollständig und eindeutig festhalten“ verstehen; eine kurze Kriterienliste auf ein Beispiel anwenden. Kurs-I-Niveau: reduzierte Textmenge, Leitfragen, vorstrukturierte Verfahren und alltagsnahe Transferaufgaben.</x:v>
      </x:c>
      <x:c r="F78" s="115" t="str">
        <x:v>Schreibziel „Informationen vollständig und eindeutig festhalten“ präzisieren; Kriterien gewichten und auf unterschiedliche Schreibsituationen übertragen. Kurs-II-Niveau: komplexere Texte, selbstständige Verfahren, Fachbegriffe und vertiefte Deutung oder Bewertung.</x:v>
      </x:c>
      <x:c r="G78" s="115" t="str">
        <x:v>de_k8_st74_gebrauchstexte_kriterien</x:v>
      </x:c>
      <x:c r="H78" s="176" t="e">
        <x:f>HYPERLINK("schueler/de_k8_st74_gebrauchstexte_kriterien_app.html","Lernmodul öffnen")</x:f>
      </x:c>
      <x:c r="I78" s="177" t="e">
        <x:f>HYPERLINK("lehrer/de_k8_st74_gebrauchstexte_kriterien_orga.html","Vorbereitung öffnen")</x:f>
      </x:c>
    </x:row>
    <x:row r="79" ht="65" customHeight="1">
      <x:c r="A79" s="142" t="n">
        <x:v>8</x:v>
      </x:c>
      <x:c r="B79" s="115" t="str">
        <x:v>Lesen/Umgang mit Texten</x:v>
      </x:c>
      <x:c r="C79" s="148" t="n">
        <x:v>75</x:v>
      </x:c>
      <x:c r="D79" s="115" t="str">
        <x:v>Protokolle, Anfragen und Beschwerden: Inhalte auswählen und ordnen</x:v>
      </x:c>
      <x:c r="E79" s="115" t="str">
        <x:v>Verlauf, Ergebnis, Anliegen und Adressat mit Leitfragen sammeln und in einer vorgegebenen Reihenfolge ordnen. Kurs-I-Niveau: reduzierte Textmenge, Leitfragen, vorstrukturierte Verfahren und alltagsnahe Transferaufgaben.</x:v>
      </x:c>
      <x:c r="F79" s="115" t="str">
        <x:v>Verlauf, Ergebnis, Anliegen und Adressat selbstständig auswählen, gewichten und in einer passenden Gliederung strukturieren. Kurs-II-Niveau: komplexere Texte, selbstständige Verfahren, Fachbegriffe und vertiefte Deutung oder Bewertung.</x:v>
      </x:c>
      <x:c r="G79" s="115" t="str">
        <x:v>de_k8_st75_gebrauchstexte_inhalte_ordnen</x:v>
      </x:c>
      <x:c r="H79" s="176" t="e">
        <x:f>HYPERLINK("schueler/de_k8_st75_gebrauchstexte_inhalte_ordnen_app.html","Lernmodul öffnen")</x:f>
      </x:c>
      <x:c r="I79" s="177" t="e">
        <x:f>HYPERLINK("lehrer/de_k8_st75_gebrauchstexte_inhalte_ordnen_orga.html","Vorbereitung öffnen")</x:f>
      </x:c>
    </x:row>
    <x:row r="80" ht="65" customHeight="1">
      <x:c r="A80" s="142" t="n">
        <x:v>8</x:v>
      </x:c>
      <x:c r="B80" s="115" t="str">
        <x:v>Sprache untersuchen</x:v>
      </x:c>
      <x:c r="C80" s="148" t="n">
        <x:v>76</x:v>
      </x:c>
      <x:c r="D80" s="115" t="str">
        <x:v>Protokolle, Anfragen und Beschwerden: passende sprachliche Mittel verwenden</x:v>
      </x:c>
      <x:c r="E80" s="115" t="str">
        <x:v>Nominalstil erkennen, klare Verben, formelle Wendungen in Übungen erkennen und nach Satzmustern anwenden. Kurs-I-Niveau: reduzierte Textmenge, Leitfragen, vorstrukturierte Verfahren und alltagsnahe Transferaufgaben.</x:v>
      </x:c>
      <x:c r="F80" s="115" t="str">
        <x:v>Nominalstil erkennen, klare Verben, formelle Wendungen hinsichtlich Wirkung und Angemessenheit prüfen und gezielt variieren. Kurs-II-Niveau: komplexere Texte, selbstständige Verfahren, Fachbegriffe und vertiefte Deutung oder Bewertung.</x:v>
      </x:c>
      <x:c r="G80" s="115" t="str">
        <x:v>de_k8_st76_gebrauchstexte_sprachmittel</x:v>
      </x:c>
      <x:c r="H80" s="176" t="e">
        <x:f>HYPERLINK("schueler/de_k8_st76_gebrauchstexte_sprachmittel_app.html","Lernmodul öffnen")</x:f>
      </x:c>
      <x:c r="I80" s="177" t="e">
        <x:f>HYPERLINK("lehrer/de_k8_st76_gebrauchstexte_sprachmittel_orga.html","Vorbereitung öffnen")</x:f>
      </x:c>
    </x:row>
    <x:row r="81" ht="65" customHeight="1">
      <x:c r="A81" s="142" t="n">
        <x:v>8</x:v>
      </x:c>
      <x:c r="B81" s="115" t="str">
        <x:v>Schreiben</x:v>
      </x:c>
      <x:c r="C81" s="148" t="n">
        <x:v>77</x:v>
      </x:c>
      <x:c r="D81" s="115" t="str">
        <x:v>Protokolle, Anfragen und Beschwerden: einen Schreibplan erstellen</x:v>
      </x:c>
      <x:c r="E81" s="115" t="str">
        <x:v>Einen vorstrukturierten Schreibplan ausfüllen; Einleitung, Hauptteil und Schluss festlegen. Kurs-I-Niveau: reduzierte Textmenge, Leitfragen, vorstrukturierte Verfahren und alltagsnahe Transferaufgaben.</x:v>
      </x:c>
      <x:c r="F81" s="115" t="str">
        <x:v>Einen eigenen Schreibplan mit Teilzielen, Belegen und sprachlichen Mitteln entwickeln. Kurs-II-Niveau: komplexere Texte, selbstständige Verfahren, Fachbegriffe und vertiefte Deutung oder Bewertung.</x:v>
      </x:c>
      <x:c r="G81" s="115" t="str">
        <x:v>de_k8_st77_gebrauchstexte_schreibplan</x:v>
      </x:c>
      <x:c r="H81" s="176" t="e">
        <x:f>HYPERLINK("schueler/de_k8_st77_gebrauchstexte_schreibplan_app.html","Lernmodul öffnen")</x:f>
      </x:c>
      <x:c r="I81" s="177" t="e">
        <x:f>HYPERLINK("lehrer/de_k8_st77_gebrauchstexte_schreibplan_orga.html","Vorbereitung öffnen")</x:f>
      </x:c>
    </x:row>
    <x:row r="82" ht="65" customHeight="1">
      <x:c r="A82" s="142" t="n">
        <x:v>8</x:v>
      </x:c>
      <x:c r="B82" s="115" t="str">
        <x:v>Schreiben</x:v>
      </x:c>
      <x:c r="C82" s="148" t="n">
        <x:v>78</x:v>
      </x:c>
      <x:c r="D82" s="115" t="str">
        <x:v>Protokolle, Anfragen und Beschwerden: einen ersten Textentwurf verfassen</x:v>
      </x:c>
      <x:c r="E82" s="115" t="str">
        <x:v>Protokoll oder anfrage mithilfe von Schreibrahmen, Satzanfängen und Wortbank verfassen. Kurs-I-Niveau: reduzierte Textmenge, Leitfragen, vorstrukturierte Verfahren und alltagsnahe Transferaufgaben.</x:v>
      </x:c>
      <x:c r="F82" s="115" t="str">
        <x:v>Protokoll oder anfrage selbstständig, adressatenbezogen und sprachlich differenziert verfassen. Kurs-II-Niveau: komplexere Texte, selbstständige Verfahren, Fachbegriffe und vertiefte Deutung oder Bewertung.</x:v>
      </x:c>
      <x:c r="G82" s="115" t="str">
        <x:v>de_k8_st78_gebrauchstexte_entwurf</x:v>
      </x:c>
      <x:c r="H82" s="176" t="e">
        <x:f>HYPERLINK("schueler/de_k8_st78_gebrauchstexte_entwurf_app.html","Lernmodul öffnen")</x:f>
      </x:c>
      <x:c r="I82" s="177" t="e">
        <x:f>HYPERLINK("lehrer/de_k8_st78_gebrauchstexte_entwurf_orga.html","Vorbereitung öffnen")</x:f>
      </x:c>
    </x:row>
    <x:row r="83" ht="65" customHeight="1">
      <x:c r="A83" s="142" t="n">
        <x:v>8</x:v>
      </x:c>
      <x:c r="B83" s="115" t="str">
        <x:v>Schreiben</x:v>
      </x:c>
      <x:c r="C83" s="148" t="n">
        <x:v>79</x:v>
      </x:c>
      <x:c r="D83" s="115" t="str">
        <x:v>Protokolle, Anfragen und Beschwerden: Text kriteriengeleitet überarbeiten</x:v>
      </x:c>
      <x:c r="E83" s="115" t="str">
        <x:v>Text mit einer kurzen Prüfliste überarbeiten; einen inhaltlichen und einen sprachlichen Fehler verbessern. Kurs-I-Niveau: reduzierte Textmenge, Leitfragen, vorstrukturierte Verfahren und alltagsnahe Transferaufgaben.</x:v>
      </x:c>
      <x:c r="F83" s="115" t="str">
        <x:v>Text in mehreren Überarbeitungsschritten prüfen; Aufbau, Kohärenz, Stil und Normrichtigkeit gezielt optimieren. Kurs-II-Niveau: komplexere Texte, selbstständige Verfahren, Fachbegriffe und vertiefte Deutung oder Bewertung.</x:v>
      </x:c>
      <x:c r="G83" s="115" t="str">
        <x:v>de_k8_st79_gebrauchstexte_ueberarbeiten</x:v>
      </x:c>
      <x:c r="H83" s="176" t="e">
        <x:f>HYPERLINK("schueler/de_k8_st79_gebrauchstexte_ueberarbeiten_app.html","Lernmodul öffnen")</x:f>
      </x:c>
      <x:c r="I83" s="177" t="e">
        <x:f>HYPERLINK("lehrer/de_k8_st79_gebrauchstexte_ueberarbeiten_orga.html","Vorbereitung öffnen")</x:f>
      </x:c>
    </x:row>
    <x:row r="84" ht="65" customHeight="1">
      <x:c r="A84" s="142" t="n">
        <x:v>8</x:v>
      </x:c>
      <x:c r="B84" s="115" t="str">
        <x:v>Sprechen und Zuhören</x:v>
      </x:c>
      <x:c r="C84" s="148" t="n">
        <x:v>80</x:v>
      </x:c>
      <x:c r="D84" s="115" t="str">
        <x:v>Protokolle, Anfragen und Beschwerden: Texte vorstellen und bewerten</x:v>
      </x:c>
      <x:c r="E84" s="115" t="str">
        <x:v>Ausgewählte Passage vorlesen oder erläutern; Rückmeldung mit einfachen Satzmustern geben. Kurs-I-Niveau: reduzierte Textmenge, Leitfragen, vorstrukturierte Verfahren und alltagsnahe Transferaufgaben.</x:v>
      </x:c>
      <x:c r="F84" s="115" t="str">
        <x:v>Textwirkung und Schreibentscheidungen erläutern; differenziertes Peer-Feedback geben und begründet annehmen. Kurs-II-Niveau: komplexere Texte, selbstständige Verfahren, Fachbegriffe und vertiefte Deutung oder Bewertung.</x:v>
      </x:c>
      <x:c r="G84" s="115" t="str">
        <x:v>de_k8_st80_gebrauchstexte_vorstellen</x:v>
      </x:c>
      <x:c r="H84" s="176" t="e">
        <x:f>HYPERLINK("schueler/de_k8_st80_gebrauchstexte_vorstellen_app.html","Lernmodul öffnen")</x:f>
      </x:c>
      <x:c r="I84" s="177" t="e">
        <x:f>HYPERLINK("lehrer/de_k8_st80_gebrauchstexte_vorstellen_orga.html","Vorbereitung öffnen")</x:f>
      </x:c>
    </x:row>
    <x:row r="85" ht="65" customHeight="1">
      <x:c r="A85" s="142" t="n">
        <x:v>8</x:v>
      </x:c>
      <x:c r="B85" s="115" t="str">
        <x:v>Sprechen und Zuhören</x:v>
      </x:c>
      <x:c r="C85" s="148" t="n">
        <x:v>81</x:v>
      </x:c>
      <x:c r="D85" s="115" t="str">
        <x:v>Kurze dramatische und kabarettistische Texte: Hör- oder Leseeinstieg gestalten</x:v>
      </x:c>
      <x:c r="E85" s="115" t="str">
        <x:v>Einstieg über Bild, Hörtext oder kurzen Auszug; Vorwissen zu Szene, Sketch und Kabaretttext sammeln und zentrale Wörter klären. Kurs-I-Niveau: reduzierte Textmenge, Leitfragen, vorstrukturierte Verfahren und alltagsnahe Transferaufgaben.</x:v>
      </x:c>
      <x:c r="F85" s="115" t="str">
        <x:v>Aus Titel, Kontext und Gestaltung Erwartungen an Szene, Sketch und Kabaretttext ableiten; erste Hypothesen formulieren und begründen. Kurs-II-Niveau: komplexere Texte, selbstständige Verfahren, Fachbegriffe und vertiefte Deutung oder Bewertung.</x:v>
      </x:c>
      <x:c r="G85" s="115" t="str">
        <x:v>de_k8_st81_drama_kurz_einstieg</x:v>
      </x:c>
      <x:c r="H85" s="176" t="e">
        <x:f>HYPERLINK("schueler/de_k8_st81_drama_kurz_einstieg_app.html","Lernmodul öffnen")</x:f>
      </x:c>
      <x:c r="I85" s="177" t="e">
        <x:f>HYPERLINK("lehrer/de_k8_st81_drama_kurz_einstieg_orga.html","Vorbereitung öffnen")</x:f>
      </x:c>
    </x:row>
    <x:row r="86" ht="65" customHeight="1">
      <x:c r="A86" s="142" t="n">
        <x:v>8</x:v>
      </x:c>
      <x:c r="B86" s="115" t="str">
        <x:v>Lesen/Umgang mit Texten</x:v>
      </x:c>
      <x:c r="C86" s="148" t="n">
        <x:v>82</x:v>
      </x:c>
      <x:c r="D86" s="115" t="str">
        <x:v>Kurze dramatische und kabarettistische Texte: den Text mit Lesestrategien erschließen</x:v>
      </x:c>
      <x:c r="E86" s="115" t="str">
        <x:v>Text abschnittsweise lesen; Schlüsselwörter markieren und den Inhalt mit Leitfragen sichern. Kurs-I-Niveau: reduzierte Textmenge, Leitfragen, vorstrukturierte Verfahren und alltagsnahe Transferaufgaben.</x:v>
      </x:c>
      <x:c r="F86" s="115" t="str">
        <x:v>Lesetechnik passend zum Ziel wählen; Sinnabschnitte, Schlüsselstellen und offene Fragen selbstständig festhalten. Kurs-II-Niveau: komplexere Texte, selbstständige Verfahren, Fachbegriffe und vertiefte Deutung oder Bewertung.</x:v>
      </x:c>
      <x:c r="G86" s="115" t="str">
        <x:v>de_k8_st82_drama_kurz_erschliessen</x:v>
      </x:c>
      <x:c r="H86" s="176" t="e">
        <x:f>HYPERLINK("schueler/de_k8_st82_drama_kurz_erschliessen_app.html","Lernmodul öffnen")</x:f>
      </x:c>
      <x:c r="I86" s="177" t="e">
        <x:f>HYPERLINK("lehrer/de_k8_st82_drama_kurz_erschliessen_orga.html","Vorbereitung öffnen")</x:f>
      </x:c>
    </x:row>
    <x:row r="87" ht="65" customHeight="1">
      <x:c r="A87" s="142" t="n">
        <x:v>8</x:v>
      </x:c>
      <x:c r="B87" s="115" t="str">
        <x:v>Lesen/Umgang mit Texten</x:v>
      </x:c>
      <x:c r="C87" s="148" t="n">
        <x:v>83</x:v>
      </x:c>
      <x:c r="D87" s="115" t="str">
        <x:v>Kurze dramatische und kabarettistische Texte: Gattungsmerkmale erkennen</x:v>
      </x:c>
      <x:c r="E87" s="115" t="str">
        <x:v>Merkmale wie Rollen, Konflikt, Dialog, Regieanweisung mithilfe einer Checkliste zuordnen und an Textstellen zeigen. Kurs-I-Niveau: reduzierte Textmenge, Leitfragen, vorstrukturierte Verfahren und alltagsnahe Transferaufgaben.</x:v>
      </x:c>
      <x:c r="F87" s="115" t="str">
        <x:v>Merkmale wie Rollen, Konflikt, Dialog, Regieanweisung textnah belegen und ihre Funktion für Aufbau und Wirkung erklären. Kurs-II-Niveau: komplexere Texte, selbstständige Verfahren, Fachbegriffe und vertiefte Deutung oder Bewertung.</x:v>
      </x:c>
      <x:c r="G87" s="115" t="str">
        <x:v>de_k8_st83_drama_kurz_merkmale</x:v>
      </x:c>
      <x:c r="H87" s="176" t="e">
        <x:f>HYPERLINK("schueler/de_k8_st83_drama_kurz_merkmale_app.html","Lernmodul öffnen")</x:f>
      </x:c>
      <x:c r="I87" s="177" t="e">
        <x:f>HYPERLINK("lehrer/de_k8_st83_drama_kurz_merkmale_orga.html","Vorbereitung öffnen")</x:f>
      </x:c>
    </x:row>
    <x:row r="88" ht="65" customHeight="1">
      <x:c r="A88" s="142" t="n">
        <x:v>8</x:v>
      </x:c>
      <x:c r="B88" s="115" t="str">
        <x:v>Lesen/Umgang mit Texten</x:v>
      </x:c>
      <x:c r="C88" s="148" t="n">
        <x:v>84</x:v>
      </x:c>
      <x:c r="D88" s="115" t="str">
        <x:v>Kurze dramatische und kabarettistische Texte: Figuren, Handlung und Konflikt untersuchen</x:v>
      </x:c>
      <x:c r="E88" s="115" t="str">
        <x:v>Subtext, Pointe und gesellschaftliche Kritik mit Figurenkarten oder Handlungsstreifen ordnen; einfache Belege auswählen. Kurs-I-Niveau: reduzierte Textmenge, Leitfragen, vorstrukturierte Verfahren und alltagsnahe Transferaufgaben.</x:v>
      </x:c>
      <x:c r="F88" s="115" t="str">
        <x:v>Subtext, Pointe und gesellschaftliche Kritik in ihrem Zusammenhang untersuchen; Schlussfolgerungen mit passenden Textbelegen absichern. Kurs-II-Niveau: komplexere Texte, selbstständige Verfahren, Fachbegriffe und vertiefte Deutung oder Bewertung.</x:v>
      </x:c>
      <x:c r="G88" s="115" t="str">
        <x:v>de_k8_st84_drama_kurz_figuren_handlung</x:v>
      </x:c>
      <x:c r="H88" s="176" t="e">
        <x:f>HYPERLINK("schueler/de_k8_st84_drama_kurz_figuren_handlung_app.html","Lernmodul öffnen")</x:f>
      </x:c>
      <x:c r="I88" s="177" t="e">
        <x:f>HYPERLINK("lehrer/de_k8_st84_drama_kurz_figuren_handlung_orga.html","Vorbereitung öffnen")</x:f>
      </x:c>
    </x:row>
    <x:row r="89" ht="65" customHeight="1">
      <x:c r="A89" s="142" t="n">
        <x:v>8</x:v>
      </x:c>
      <x:c r="B89" s="115" t="str">
        <x:v>Sprache untersuchen</x:v>
      </x:c>
      <x:c r="C89" s="148" t="n">
        <x:v>85</x:v>
      </x:c>
      <x:c r="D89" s="115" t="str">
        <x:v>Kurze dramatische und kabarettistische Texte: Sprache und Wirkung untersuchen</x:v>
      </x:c>
      <x:c r="E89" s="115" t="str">
        <x:v>Beispiele für Sprechhandlung, Ironie, rhetorische Mittel markieren und ihre Wirkung mit vorgegebenen Begriffen beschreiben. Kurs-I-Niveau: reduzierte Textmenge, Leitfragen, vorstrukturierte Verfahren und alltagsnahe Transferaufgaben.</x:v>
      </x:c>
      <x:c r="F89" s="115" t="str">
        <x:v>Sprechhandlung, Ironie, rhetorische Mittel fachsprachlich analysieren und auf Figurenzeichnung, Stimmung oder Aussage beziehen. Kurs-II-Niveau: komplexere Texte, selbstständige Verfahren, Fachbegriffe und vertiefte Deutung oder Bewertung.</x:v>
      </x:c>
      <x:c r="G89" s="115" t="str">
        <x:v>de_k8_st85_drama_kurz_sprache_wirkung</x:v>
      </x:c>
      <x:c r="H89" s="176" t="e">
        <x:f>HYPERLINK("schueler/de_k8_st85_drama_kurz_sprache_wirkung_app.html","Lernmodul öffnen")</x:f>
      </x:c>
      <x:c r="I89" s="177" t="e">
        <x:f>HYPERLINK("lehrer/de_k8_st85_drama_kurz_sprache_wirkung_orga.html","Vorbereitung öffnen")</x:f>
      </x:c>
    </x:row>
    <x:row r="90" ht="65" customHeight="1">
      <x:c r="A90" s="142" t="n">
        <x:v>8</x:v>
      </x:c>
      <x:c r="B90" s="115" t="str">
        <x:v>Schreiben</x:v>
      </x:c>
      <x:c r="C90" s="148" t="n">
        <x:v>86</x:v>
      </x:c>
      <x:c r="D90" s="115" t="str">
        <x:v>Kurze dramatische und kabarettistische Texte: eine Deutung oder Perspektive vorbereiten</x:v>
      </x:c>
      <x:c r="E90" s="115" t="str">
        <x:v>Eine zentrale Aussage mit Satzstartern formulieren; Beleg und Erklärung in einem Schreibrahmen verbinden. Kurs-I-Niveau: reduzierte Textmenge, Leitfragen, vorstrukturierte Verfahren und alltagsnahe Transferaufgaben.</x:v>
      </x:c>
      <x:c r="F90" s="115" t="str">
        <x:v>Eine schlüssige Deutungshypothese entwickeln; mehrere Belege auswählen, ordnen und gegeneinander abwägen. Kurs-II-Niveau: komplexere Texte, selbstständige Verfahren, Fachbegriffe und vertiefte Deutung oder Bewertung.</x:v>
      </x:c>
      <x:c r="G90" s="115" t="str">
        <x:v>de_k8_st86_drama_kurz_deutung_planen</x:v>
      </x:c>
      <x:c r="H90" s="176" t="e">
        <x:f>HYPERLINK("schueler/de_k8_st86_drama_kurz_deutung_planen_app.html","Lernmodul öffnen")</x:f>
      </x:c>
      <x:c r="I90" s="177" t="e">
        <x:f>HYPERLINK("lehrer/de_k8_st86_drama_kurz_deutung_planen_orga.html","Vorbereitung öffnen")</x:f>
      </x:c>
    </x:row>
    <x:row r="91" ht="65" customHeight="1">
      <x:c r="A91" s="142" t="n">
        <x:v>8</x:v>
      </x:c>
      <x:c r="B91" s="115" t="str">
        <x:v>Schreiben</x:v>
      </x:c>
      <x:c r="C91" s="148" t="n">
        <x:v>87</x:v>
      </x:c>
      <x:c r="D91" s="115" t="str">
        <x:v>Kurze dramatische und kabarettistische Texte: Inszenierung oder Szenenanalyse gestalten</x:v>
      </x:c>
      <x:c r="E91" s="115" t="str">
        <x:v>Inszenierung oder szenenanalyse nach klaren Vorgaben erstellen; Hilfekarten und Wortbank nutzen. Kurs-I-Niveau: reduzierte Textmenge, Leitfragen, vorstrukturierte Verfahren und alltagsnahe Transferaufgaben.</x:v>
      </x:c>
      <x:c r="F91" s="115" t="str">
        <x:v>Inszenierung oder szenenanalyse eigenständig, textnah und sprachlich variabel gestalten; Wirkung bewusst planen. Kurs-II-Niveau: komplexere Texte, selbstständige Verfahren, Fachbegriffe und vertiefte Deutung oder Bewertung.</x:v>
      </x:c>
      <x:c r="G91" s="115" t="str">
        <x:v>de_k8_st87_drama_kurz_produkt</x:v>
      </x:c>
      <x:c r="H91" s="176" t="e">
        <x:f>HYPERLINK("schueler/de_k8_st87_drama_kurz_produkt_app.html","Lernmodul öffnen")</x:f>
      </x:c>
      <x:c r="I91" s="177" t="e">
        <x:f>HYPERLINK("lehrer/de_k8_st87_drama_kurz_produkt_orga.html","Vorbereitung öffnen")</x:f>
      </x:c>
    </x:row>
    <x:row r="92" ht="65" customHeight="1">
      <x:c r="A92" s="142" t="n">
        <x:v>8</x:v>
      </x:c>
      <x:c r="B92" s="115" t="str">
        <x:v>Sprechen und Zuhören</x:v>
      </x:c>
      <x:c r="C92" s="148" t="n">
        <x:v>88</x:v>
      </x:c>
      <x:c r="D92" s="115" t="str">
        <x:v>Kurze dramatische und kabarettistische Texte: Ergebnisse präsentieren und reflektieren</x:v>
      </x:c>
      <x:c r="E92" s="115" t="str">
        <x:v>Ergebnis kurz vorstellen; zwei vereinbarte Kriterien für Rückmeldung anwenden. Kurs-I-Niveau: reduzierte Textmenge, Leitfragen, vorstrukturierte Verfahren und alltagsnahe Transferaufgaben.</x:v>
      </x:c>
      <x:c r="F92" s="115" t="str">
        <x:v>Ergebnis adressatenbezogen präsentieren; Rückmeldungen begründen und die eigene Deutung oder Gestaltung überarbeiten. Kurs-II-Niveau: komplexere Texte, selbstständige Verfahren, Fachbegriffe und vertiefte Deutung oder Bewertung.</x:v>
      </x:c>
      <x:c r="G92" s="115" t="str">
        <x:v>de_k8_st88_drama_kurz_praesentieren</x:v>
      </x:c>
      <x:c r="H92" s="176" t="e">
        <x:f>HYPERLINK("schueler/de_k8_st88_drama_kurz_praesentieren_app.html","Lernmodul öffnen")</x:f>
      </x:c>
      <x:c r="I92" s="177" t="e">
        <x:f>HYPERLINK("lehrer/de_k8_st88_drama_kurz_praesentieren_orga.html","Vorbereitung öffnen")</x:f>
      </x:c>
    </x:row>
    <x:row r="93" ht="65" customHeight="1">
      <x:c r="A93" s="142" t="n">
        <x:v>8</x:v>
      </x:c>
      <x:c r="B93" s="115" t="str">
        <x:v>Sprechen und Zuhören</x:v>
      </x:c>
      <x:c r="C93" s="148" t="n">
        <x:v>89</x:v>
      </x:c>
      <x:c r="D93" s="115" t="str">
        <x:v>Kompetenzprojekt Klasse 8: Vorwissen und Positionen klären</x:v>
      </x:c>
      <x:c r="E93" s="115" t="str">
        <x:v>Eigene Erfahrungen zu selbst gewähltes Jugendthema benennen; zentrale Begriffe mit Beispielen klären. Kurs-I-Niveau: reduzierte Textmenge, Leitfragen, vorstrukturierte Verfahren und alltagsnahe Transferaufgaben.</x:v>
      </x:c>
      <x:c r="F93" s="115" t="str">
        <x:v>Vorwissen zu selbst gewähltes Jugendthema strukturieren; erste Positionen formulieren und mögliche Konflikte benennen. Kurs-II-Niveau: komplexere Texte, selbstständige Verfahren, Fachbegriffe und vertiefte Deutung oder Bewertung.</x:v>
      </x:c>
      <x:c r="G93" s="115" t="str">
        <x:v>de_k8_st89_kompetenzprojekt_einstieg</x:v>
      </x:c>
      <x:c r="H93" s="176" t="e">
        <x:f>HYPERLINK("schueler/de_k8_st89_kompetenzprojekt_einstieg_app.html","Lernmodul öffnen")</x:f>
      </x:c>
      <x:c r="I93" s="177" t="e">
        <x:f>HYPERLINK("lehrer/de_k8_st89_kompetenzprojekt_einstieg_orga.html","Vorbereitung öffnen")</x:f>
      </x:c>
    </x:row>
    <x:row r="94" ht="65" customHeight="1">
      <x:c r="A94" s="142" t="n">
        <x:v>8</x:v>
      </x:c>
      <x:c r="B94" s="115" t="str">
        <x:v>Lesen/Umgang mit Texten</x:v>
      </x:c>
      <x:c r="C94" s="148" t="n">
        <x:v>90</x:v>
      </x:c>
      <x:c r="D94" s="115" t="str">
        <x:v>Kompetenzprojekt Klasse 8: Quellen und Materialien erschließen</x:v>
      </x:c>
      <x:c r="E94" s="115" t="str">
        <x:v>Kurze Materialien lesen oder ansehen; Hauptaussagen mit Leitfragen festhalten. Kurs-I-Niveau: reduzierte Textmenge, Leitfragen, vorstrukturierte Verfahren und alltagsnahe Transferaufgaben.</x:v>
      </x:c>
      <x:c r="F94" s="115" t="str">
        <x:v>Unterschiedliche Materialien selbstständig erschließen; Aussage, Intention und Kontext bestimmen. Kurs-II-Niveau: komplexere Texte, selbstständige Verfahren, Fachbegriffe und vertiefte Deutung oder Bewertung.</x:v>
      </x:c>
      <x:c r="G94" s="115" t="str">
        <x:v>de_k8_st90_kompetenzprojekt_quellen</x:v>
      </x:c>
      <x:c r="H94" s="176" t="e">
        <x:f>HYPERLINK("schueler/de_k8_st90_kompetenzprojekt_quellen_app.html","Lernmodul öffnen")</x:f>
      </x:c>
      <x:c r="I94" s="177" t="e">
        <x:f>HYPERLINK("lehrer/de_k8_st90_kompetenzprojekt_quellen_orga.html","Vorbereitung öffnen")</x:f>
      </x:c>
    </x:row>
    <x:row r="95" ht="65" customHeight="1">
      <x:c r="A95" s="142" t="n">
        <x:v>8</x:v>
      </x:c>
      <x:c r="B95" s="115" t="str">
        <x:v>Lesen/Umgang mit Texten</x:v>
      </x:c>
      <x:c r="C95" s="148" t="n">
        <x:v>91</x:v>
      </x:c>
      <x:c r="D95" s="115" t="str">
        <x:v>Kompetenzprojekt Klasse 8: Qualitätskriterien anwenden</x:v>
      </x:c>
      <x:c r="E95" s="115" t="str">
        <x:v>Fragestellung, Arbeitsplan, Quellen und Produktkriterien in einer Checkliste anwenden und Auffälligkeiten markieren. Kurs-I-Niveau: reduzierte Textmenge, Leitfragen, vorstrukturierte Verfahren und alltagsnahe Transferaufgaben.</x:v>
      </x:c>
      <x:c r="F95" s="115" t="str">
        <x:v>Fragestellung, Arbeitsplan, Quellen und Produktkriterien gewichten, auf Grenzfälle anwenden und begründete Qualitätsurteile formulieren. Kurs-II-Niveau: komplexere Texte, selbstständige Verfahren, Fachbegriffe und vertiefte Deutung oder Bewertung.</x:v>
      </x:c>
      <x:c r="G95" s="115" t="str">
        <x:v>de_k8_st91_kompetenzprojekt_kriterien</x:v>
      </x:c>
      <x:c r="H95" s="176" t="e">
        <x:f>HYPERLINK("schueler/de_k8_st91_kompetenzprojekt_kriterien_app.html","Lernmodul öffnen")</x:f>
      </x:c>
      <x:c r="I95" s="177" t="e">
        <x:f>HYPERLINK("lehrer/de_k8_st91_kompetenzprojekt_kriterien_orga.html","Vorbereitung öffnen")</x:f>
      </x:c>
    </x:row>
    <x:row r="96" ht="65" customHeight="1">
      <x:c r="A96" s="142" t="n">
        <x:v>8</x:v>
      </x:c>
      <x:c r="B96" s="115" t="str">
        <x:v>Lesen/Umgang mit Texten</x:v>
      </x:c>
      <x:c r="C96" s="148" t="n">
        <x:v>92</x:v>
      </x:c>
      <x:c r="D96" s="115" t="str">
        <x:v>Kompetenzprojekt Klasse 8: Darstellungen vergleichen</x:v>
      </x:c>
      <x:c r="E96" s="115" t="str">
        <x:v>Individuelle und kooperative arbeitswege nach vorgegebenen Merkmalen vergleichen. Kurs-I-Niveau: reduzierte Textmenge, Leitfragen, vorstrukturierte Verfahren und alltagsnahe Transferaufgaben.</x:v>
      </x:c>
      <x:c r="F96" s="115" t="str">
        <x:v>Individuelle und kooperative arbeitswege hinsichtlich Informationsauswahl, Gestaltung, Wirkung und Interessen vergleichen. Kurs-II-Niveau: komplexere Texte, selbstständige Verfahren, Fachbegriffe und vertiefte Deutung oder Bewertung.</x:v>
      </x:c>
      <x:c r="G96" s="115" t="str">
        <x:v>de_k8_st92_kompetenzprojekt_vergleichen</x:v>
      </x:c>
      <x:c r="H96" s="176" t="e">
        <x:f>HYPERLINK("schueler/de_k8_st92_kompetenzprojekt_vergleichen_app.html","Lernmodul öffnen")</x:f>
      </x:c>
      <x:c r="I96" s="177" t="e">
        <x:f>HYPERLINK("lehrer/de_k8_st92_kompetenzprojekt_vergleichen_orga.html","Vorbereitung öffnen")</x:f>
      </x:c>
    </x:row>
    <x:row r="97" ht="65" customHeight="1">
      <x:c r="A97" s="142" t="n">
        <x:v>8</x:v>
      </x:c>
      <x:c r="B97" s="115" t="str">
        <x:v>Schreiben</x:v>
      </x:c>
      <x:c r="C97" s="148" t="n">
        <x:v>93</x:v>
      </x:c>
      <x:c r="D97" s="115" t="str">
        <x:v>Kompetenzprojekt Klasse 8: Informationen prüfen und ordnen</x:v>
      </x:c>
      <x:c r="E97" s="115" t="str">
        <x:v>Informationen aus vorgegebenen Quellen auswählen; Fundstellen notieren und geordnet ablegen. Kurs-I-Niveau: reduzierte Textmenge, Leitfragen, vorstrukturierte Verfahren und alltagsnahe Transferaufgaben.</x:v>
      </x:c>
      <x:c r="F97" s="115" t="str">
        <x:v>Recherchefrage entwickeln; Quellen prüfen, Informationen abgleichen und korrekt dokumentieren. Kurs-II-Niveau: komplexere Texte, selbstständige Verfahren, Fachbegriffe und vertiefte Deutung oder Bewertung.</x:v>
      </x:c>
      <x:c r="G97" s="115" t="str">
        <x:v>de_k8_st93_kompetenzprojekt_recherche</x:v>
      </x:c>
      <x:c r="H97" s="176" t="e">
        <x:f>HYPERLINK("schueler/de_k8_st93_kompetenzprojekt_recherche_app.html","Lernmodul öffnen")</x:f>
      </x:c>
      <x:c r="I97" s="177" t="e">
        <x:f>HYPERLINK("lehrer/de_k8_st93_kompetenzprojekt_recherche_orga.html","Vorbereitung öffnen")</x:f>
      </x:c>
    </x:row>
    <x:row r="98" ht="65" customHeight="1">
      <x:c r="A98" s="142" t="n">
        <x:v>8</x:v>
      </x:c>
      <x:c r="B98" s="115" t="str">
        <x:v>Schreiben</x:v>
      </x:c>
      <x:c r="C98" s="148" t="n">
        <x:v>94</x:v>
      </x:c>
      <x:c r="D98" s="115" t="str">
        <x:v>Kompetenzprojekt Klasse 8: Produkt planen</x:v>
      </x:c>
      <x:c r="E98" s="115" t="str">
        <x:v>Für Portfolio und Präsentation einen vorgegebenen Arbeitsplan ergänzen; Aufgaben verteilen. Kurs-I-Niveau: reduzierte Textmenge, Leitfragen, vorstrukturierte Verfahren und alltagsnahe Transferaufgaben.</x:v>
      </x:c>
      <x:c r="F98" s="115" t="str">
        <x:v>Für Portfolio und Präsentation Zielgruppe, Aufbau, Medienwahl, Zeitplan und Qualitätskontrolle selbstständig festlegen. Kurs-II-Niveau: komplexere Texte, selbstständige Verfahren, Fachbegriffe und vertiefte Deutung oder Bewertung.</x:v>
      </x:c>
      <x:c r="G98" s="115" t="str">
        <x:v>de_k8_st94_kompetenzprojekt_planen</x:v>
      </x:c>
      <x:c r="H98" s="176" t="e">
        <x:f>HYPERLINK("schueler/de_k8_st94_kompetenzprojekt_planen_app.html","Lernmodul öffnen")</x:f>
      </x:c>
      <x:c r="I98" s="177" t="e">
        <x:f>HYPERLINK("lehrer/de_k8_st94_kompetenzprojekt_planen_orga.html","Vorbereitung öffnen")</x:f>
      </x:c>
    </x:row>
    <x:row r="99" ht="65" customHeight="1">
      <x:c r="A99" s="142" t="n">
        <x:v>8</x:v>
      </x:c>
      <x:c r="B99" s="115" t="str">
        <x:v>Schreiben</x:v>
      </x:c>
      <x:c r="C99" s="148" t="n">
        <x:v>95</x:v>
      </x:c>
      <x:c r="D99" s="115" t="str">
        <x:v>Kompetenzprojekt Klasse 8: Produkt erstellen</x:v>
      </x:c>
      <x:c r="E99" s="115" t="str">
        <x:v>Portfolio und präsentation mit Vorlage und klaren Teilaufträgen erstellen. Kurs-I-Niveau: reduzierte Textmenge, Leitfragen, vorstrukturierte Verfahren und alltagsnahe Transferaufgaben.</x:v>
      </x:c>
      <x:c r="F99" s="115" t="str">
        <x:v>Portfolio und präsentation selbstständig, adressatengerecht und quellenbewusst erstellen. Kurs-II-Niveau: komplexere Texte, selbstständige Verfahren, Fachbegriffe und vertiefte Deutung oder Bewertung.</x:v>
      </x:c>
      <x:c r="G99" s="115" t="str">
        <x:v>de_k8_st95_kompetenzprojekt_erstellen</x:v>
      </x:c>
      <x:c r="H99" s="176" t="e">
        <x:f>HYPERLINK("schueler/de_k8_st95_kompetenzprojekt_erstellen_app.html","Lernmodul öffnen")</x:f>
      </x:c>
      <x:c r="I99" s="177" t="e">
        <x:f>HYPERLINK("lehrer/de_k8_st95_kompetenzprojekt_erstellen_orga.html","Vorbereitung öffnen")</x:f>
      </x:c>
    </x:row>
    <x:row r="100" ht="65" customHeight="1">
      <x:c r="A100" s="143" t="n">
        <x:v>8</x:v>
      </x:c>
      <x:c r="B100" s="118" t="str">
        <x:v>Sprechen und Zuhören</x:v>
      </x:c>
      <x:c r="C100" s="149" t="n">
        <x:v>96</x:v>
      </x:c>
      <x:c r="D100" s="118" t="str">
        <x:v>Kompetenzprojekt Klasse 8: präsentieren und reflektieren</x:v>
      </x:c>
      <x:c r="E100" s="118" t="str">
        <x:v>Produkt kurz vorstellen; Rückmeldung anhand weniger Kriterien geben und annehmen. Kurs-I-Niveau: reduzierte Textmenge, Leitfragen, vorstrukturierte Verfahren und alltagsnahe Transferaufgaben.</x:v>
      </x:c>
      <x:c r="F100" s="118" t="str">
        <x:v>Produkt überzeugend präsentieren; Arbeitsprozess, Quellenwahl und Wirkung kritisch reflektieren. Kurs-II-Niveau: komplexere Texte, selbstständige Verfahren, Fachbegriffe und vertiefte Deutung oder Bewertung.</x:v>
      </x:c>
      <x:c r="G100" s="118" t="str">
        <x:v>de_k8_st96_kompetenzprojekt_reflexion</x:v>
      </x:c>
      <x:c r="H100" s="178" t="e">
        <x:f>HYPERLINK("schueler/de_k8_st96_kompetenzprojekt_reflexion_app.html","Lernmodul öffnen")</x:f>
      </x:c>
      <x:c r="I100" s="179" t="e">
        <x:f>HYPERLINK("lehrer/de_k8_st96_kompetenzprojekt_reflexion_orga.html","Vorbereitung öffnen")</x:f>
      </x:c>
    </x:row>
  </x:sheetData>
  <x:mergeCells>
    <x:mergeCell ref="A1:I1"/>
    <x:mergeCell ref="A2:I2"/>
  </x:mergeCells>
  <x:conditionalFormatting sqref="B5:B100">
    <x:cfRule type="expression" dxfId="16" priority="1">
      <x:formula>B5="Sprechen und Zuhören"</x:formula>
    </x:cfRule>
    <x:cfRule type="expression" dxfId="17" priority="2">
      <x:formula>B5="Schreiben"</x:formula>
    </x:cfRule>
    <x:cfRule type="expression" dxfId="18" priority="3">
      <x:formula>B5="Lesen/Umgang mit Texten"</x:formula>
    </x:cfRule>
    <x:cfRule type="expression" dxfId="19" priority="4">
      <x:formula>B5="Sprache untersuchen"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f189ccd85e436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0" hidden="0" customWidth="1"/>
    <x:col min="4" max="4" width="42" hidden="0" customWidth="1"/>
    <x:col min="5" max="5" width="47" hidden="0" customWidth="1"/>
    <x:col min="6" max="6" width="47" hidden="0" customWidth="1"/>
    <x:col min="7" max="7" width="42" hidden="0" customWidth="1"/>
    <x:col min="8" max="8" width="22" hidden="0" customWidth="1"/>
    <x:col min="9" max="9" width="24" hidden="0" customWidth="1"/>
  </x:cols>
  <x:sheetData>
    <x:row r="1" ht="34" customHeight="1">
      <x:c r="A1" s="131" t="str">
        <x:v>Deutsch Klasse 9 – Schüler-Module und Lehrer-Vorbereitungen</x:v>
      </x:c>
      <x:c r="B1" s="131"/>
      <x:c r="C1" s="131"/>
      <x:c r="D1" s="131"/>
      <x:c r="E1" s="131"/>
      <x:c r="F1" s="131"/>
      <x:c r="G1" s="131"/>
      <x:c r="H1" s="131"/>
      <x:c r="I1" s="131"/>
    </x:row>
    <x:row r="2" ht="42" customHeight="1">
      <x:c r="A2" s="13" t="str">
        <x:v>Jede Unterrichtsstunde ist mit einem Schüler-Lernmodul und einer Lehrer-Vorbereitung verknüpft. Die Links funktionieren, wenn die Excel-Datei neben den Ordnern „schueler“ und „lehrer“ liegt.</x:v>
      </x:c>
      <x:c r="B2" s="13"/>
      <x:c r="C2" s="13"/>
      <x:c r="D2" s="13"/>
      <x:c r="E2" s="13"/>
      <x:c r="F2" s="13"/>
      <x:c r="G2" s="13"/>
      <x:c r="H2" s="13"/>
      <x:c r="I2" s="13"/>
    </x:row>
    <x:row r="4" ht="42" customHeight="1">
      <x:c r="A4" s="135" t="str">
        <x:v>Klasse</x:v>
      </x:c>
      <x:c r="B4" s="136" t="str">
        <x:v>Lernbereich</x:v>
      </x:c>
      <x:c r="C4" s="136" t="str">
        <x:v>Stunde</x:v>
      </x:c>
      <x:c r="D4" s="136" t="str">
        <x:v>Thema der Unterrichtsstunde</x:v>
      </x:c>
      <x:c r="E4" s="136" t="str">
        <x:v>Inhalt HSA</x:v>
      </x:c>
      <x:c r="F4" s="136" t="str">
        <x:v>Inhalt RSA</x:v>
      </x:c>
      <x:c r="G4" s="136" t="str">
        <x:v>Modul-ID</x:v>
      </x:c>
      <x:c r="H4" s="136" t="str">
        <x:v>Schüler-Modul</x:v>
      </x:c>
      <x:c r="I4" s="137" t="str">
        <x:v>Lehrer-Vorbereitung</x:v>
      </x:c>
    </x:row>
    <x:row r="5" ht="65" customHeight="1">
      <x:c r="A5" s="141" t="n">
        <x:v>9</x:v>
      </x:c>
      <x:c r="B5" s="112" t="str">
        <x:v>Sprechen und Zuhören</x:v>
      </x:c>
      <x:c r="C5" s="147" t="n">
        <x:v>1</x:v>
      </x:c>
      <x:c r="D5" s="112" t="str">
        <x:v>Lernstand und Prüfungsformate: Vorwissen und Positionen klären</x:v>
      </x:c>
      <x:c r="E5" s="112" t="str">
        <x:v>Eigene Erfahrungen zu Anforderungen des HSA und des RSA benennen; zentrale Begriffe mit Beispielen klären. HSA-orientiert: überschaubare Materialien, klarer Schreibrahmen, gesicherte Grundoperatoren und lebensweltlicher Bezug.</x:v>
      </x:c>
      <x:c r="F5" s="112" t="str">
        <x:v>Vorwissen zu Anforderungen des HSA und des RSA strukturieren; erste Positionen formulieren und mögliche Konflikte benennen. RSA-orientiert: umfangreichere Materialien, selbstständige Auswahl, differenzierte Textbelege und komplexere Schreibaufträge.</x:v>
      </x:c>
      <x:c r="G5" s="112" t="str">
        <x:v>de_k9_st01_diagnose_einstieg</x:v>
      </x:c>
      <x:c r="H5" s="174" t="e">
        <x:f>HYPERLINK("schueler/de_k9_st01_diagnose_einstieg_app.html","Lernmodul öffnen")</x:f>
      </x:c>
      <x:c r="I5" s="175" t="e">
        <x:f>HYPERLINK("lehrer/de_k9_st01_diagnose_einstieg_orga.html","Vorbereitung öffnen")</x:f>
      </x:c>
    </x:row>
    <x:row r="6" ht="65" customHeight="1">
      <x:c r="A6" s="142" t="n">
        <x:v>9</x:v>
      </x:c>
      <x:c r="B6" s="115" t="str">
        <x:v>Lesen/Umgang mit Texten</x:v>
      </x:c>
      <x:c r="C6" s="148" t="n">
        <x:v>2</x:v>
      </x:c>
      <x:c r="D6" s="115" t="str">
        <x:v>Lernstand und Prüfungsformate: Quellen und Materialien erschließen</x:v>
      </x:c>
      <x:c r="E6" s="115" t="str">
        <x:v>Kurze Materialien lesen oder ansehen; Hauptaussagen mit Leitfragen festhalten. HSA-orientiert: überschaubare Materialien, klarer Schreibrahmen, gesicherte Grundoperatoren und lebensweltlicher Bezug.</x:v>
      </x:c>
      <x:c r="F6" s="115" t="str">
        <x:v>Unterschiedliche Materialien selbstständig erschließen; Aussage, Intention und Kontext bestimmen. RSA-orientiert: umfangreichere Materialien, selbstständige Auswahl, differenzierte Textbelege und komplexere Schreibaufträge.</x:v>
      </x:c>
      <x:c r="G6" s="115" t="str">
        <x:v>de_k9_st02_diagnose_quellen</x:v>
      </x:c>
      <x:c r="H6" s="176" t="e">
        <x:f>HYPERLINK("schueler/de_k9_st02_diagnose_quellen_app.html","Lernmodul öffnen")</x:f>
      </x:c>
      <x:c r="I6" s="177" t="e">
        <x:f>HYPERLINK("lehrer/de_k9_st02_diagnose_quellen_orga.html","Vorbereitung öffnen")</x:f>
      </x:c>
    </x:row>
    <x:row r="7" ht="65" customHeight="1">
      <x:c r="A7" s="142" t="n">
        <x:v>9</x:v>
      </x:c>
      <x:c r="B7" s="115" t="str">
        <x:v>Lesen/Umgang mit Texten</x:v>
      </x:c>
      <x:c r="C7" s="148" t="n">
        <x:v>3</x:v>
      </x:c>
      <x:c r="D7" s="115" t="str">
        <x:v>Lernstand und Prüfungsformate: Qualitätskriterien anwenden</x:v>
      </x:c>
      <x:c r="E7" s="115" t="str">
        <x:v>Operatoren, Zeitplanung, Aufgabenformate und Selbsteinschätzung in einer Checkliste anwenden und Auffälligkeiten markieren. HSA-orientiert: überschaubare Materialien, klarer Schreibrahmen, gesicherte Grundoperatoren und lebensweltlicher Bezug.</x:v>
      </x:c>
      <x:c r="F7" s="115" t="str">
        <x:v>Operatoren, Zeitplanung, Aufgabenformate und Selbsteinschätzung gewichten, auf Grenzfälle anwenden und begründete Qualitätsurteile formulieren. RSA-orientiert: umfangreichere Materialien, selbstständige Auswahl, differenzierte Textbelege und komplexere Schreibaufträge.</x:v>
      </x:c>
      <x:c r="G7" s="115" t="str">
        <x:v>de_k9_st03_diagnose_kriterien</x:v>
      </x:c>
      <x:c r="H7" s="176" t="e">
        <x:f>HYPERLINK("schueler/de_k9_st03_diagnose_kriterien_app.html","Lernmodul öffnen")</x:f>
      </x:c>
      <x:c r="I7" s="177" t="e">
        <x:f>HYPERLINK("lehrer/de_k9_st03_diagnose_kriterien_orga.html","Vorbereitung öffnen")</x:f>
      </x:c>
    </x:row>
    <x:row r="8" ht="65" customHeight="1">
      <x:c r="A8" s="142" t="n">
        <x:v>9</x:v>
      </x:c>
      <x:c r="B8" s="115" t="str">
        <x:v>Lesen/Umgang mit Texten</x:v>
      </x:c>
      <x:c r="C8" s="148" t="n">
        <x:v>4</x:v>
      </x:c>
      <x:c r="D8" s="115" t="str">
        <x:v>Lernstand und Prüfungsformate: Darstellungen vergleichen</x:v>
      </x:c>
      <x:c r="E8" s="115" t="str">
        <x:v>Hsa-aufgabe und rsa-aufgabe nach vorgegebenen Merkmalen vergleichen. HSA-orientiert: überschaubare Materialien, klarer Schreibrahmen, gesicherte Grundoperatoren und lebensweltlicher Bezug.</x:v>
      </x:c>
      <x:c r="F8" s="115" t="str">
        <x:v>Hsa-aufgabe und rsa-aufgabe hinsichtlich Informationsauswahl, Gestaltung, Wirkung und Interessen vergleichen. RSA-orientiert: umfangreichere Materialien, selbstständige Auswahl, differenzierte Textbelege und komplexere Schreibaufträge.</x:v>
      </x:c>
      <x:c r="G8" s="115" t="str">
        <x:v>de_k9_st04_diagnose_vergleichen</x:v>
      </x:c>
      <x:c r="H8" s="176" t="e">
        <x:f>HYPERLINK("schueler/de_k9_st04_diagnose_vergleichen_app.html","Lernmodul öffnen")</x:f>
      </x:c>
      <x:c r="I8" s="177" t="e">
        <x:f>HYPERLINK("lehrer/de_k9_st04_diagnose_vergleichen_orga.html","Vorbereitung öffnen")</x:f>
      </x:c>
    </x:row>
    <x:row r="9" ht="65" customHeight="1">
      <x:c r="A9" s="142" t="n">
        <x:v>9</x:v>
      </x:c>
      <x:c r="B9" s="115" t="str">
        <x:v>Schreiben</x:v>
      </x:c>
      <x:c r="C9" s="148" t="n">
        <x:v>5</x:v>
      </x:c>
      <x:c r="D9" s="115" t="str">
        <x:v>Lernstand und Prüfungsformate: Informationen prüfen und ordnen</x:v>
      </x:c>
      <x:c r="E9" s="115" t="str">
        <x:v>Informationen aus vorgegebenen Quellen auswählen; Fundstellen notieren und geordnet ablegen. HSA-orientiert: überschaubare Materialien, klarer Schreibrahmen, gesicherte Grundoperatoren und lebensweltlicher Bezug.</x:v>
      </x:c>
      <x:c r="F9" s="115" t="str">
        <x:v>Recherchefrage entwickeln; Quellen prüfen, Informationen abgleichen und korrekt dokumentieren. RSA-orientiert: umfangreichere Materialien, selbstständige Auswahl, differenzierte Textbelege und komplexere Schreibaufträge.</x:v>
      </x:c>
      <x:c r="G9" s="115" t="str">
        <x:v>de_k9_st05_diagnose_recherche</x:v>
      </x:c>
      <x:c r="H9" s="176" t="e">
        <x:f>HYPERLINK("schueler/de_k9_st05_diagnose_recherche_app.html","Lernmodul öffnen")</x:f>
      </x:c>
      <x:c r="I9" s="177" t="e">
        <x:f>HYPERLINK("lehrer/de_k9_st05_diagnose_recherche_orga.html","Vorbereitung öffnen")</x:f>
      </x:c>
    </x:row>
    <x:row r="10" ht="65" customHeight="1">
      <x:c r="A10" s="142" t="n">
        <x:v>9</x:v>
      </x:c>
      <x:c r="B10" s="115" t="str">
        <x:v>Schreiben</x:v>
      </x:c>
      <x:c r="C10" s="148" t="n">
        <x:v>6</x:v>
      </x:c>
      <x:c r="D10" s="115" t="str">
        <x:v>Lernstand und Prüfungsformate: Produkt planen</x:v>
      </x:c>
      <x:c r="E10" s="115" t="str">
        <x:v>Für persönlicher Prüfungsplan einen vorgegebenen Arbeitsplan ergänzen; Aufgaben verteilen. HSA-orientiert: überschaubare Materialien, klarer Schreibrahmen, gesicherte Grundoperatoren und lebensweltlicher Bezug.</x:v>
      </x:c>
      <x:c r="F10" s="115" t="str">
        <x:v>Für persönlicher Prüfungsplan Zielgruppe, Aufbau, Medienwahl, Zeitplan und Qualitätskontrolle selbstständig festlegen. RSA-orientiert: umfangreichere Materialien, selbstständige Auswahl, differenzierte Textbelege und komplexere Schreibaufträge.</x:v>
      </x:c>
      <x:c r="G10" s="115" t="str">
        <x:v>de_k9_st06_diagnose_planen</x:v>
      </x:c>
      <x:c r="H10" s="176" t="e">
        <x:f>HYPERLINK("schueler/de_k9_st06_diagnose_planen_app.html","Lernmodul öffnen")</x:f>
      </x:c>
      <x:c r="I10" s="177" t="e">
        <x:f>HYPERLINK("lehrer/de_k9_st06_diagnose_planen_orga.html","Vorbereitung öffnen")</x:f>
      </x:c>
    </x:row>
    <x:row r="11" ht="65" customHeight="1">
      <x:c r="A11" s="142" t="n">
        <x:v>9</x:v>
      </x:c>
      <x:c r="B11" s="115" t="str">
        <x:v>Schreiben</x:v>
      </x:c>
      <x:c r="C11" s="148" t="n">
        <x:v>7</x:v>
      </x:c>
      <x:c r="D11" s="115" t="str">
        <x:v>Lernstand und Prüfungsformate: Produkt erstellen</x:v>
      </x:c>
      <x:c r="E11" s="115" t="str">
        <x:v>Persönlicher prüfungsplan mit Vorlage und klaren Teilaufträgen erstellen. HSA-orientiert: überschaubare Materialien, klarer Schreibrahmen, gesicherte Grundoperatoren und lebensweltlicher Bezug.</x:v>
      </x:c>
      <x:c r="F11" s="115" t="str">
        <x:v>Persönlicher prüfungsplan selbstständig, adressatengerecht und quellenbewusst erstellen. RSA-orientiert: umfangreichere Materialien, selbstständige Auswahl, differenzierte Textbelege und komplexere Schreibaufträge.</x:v>
      </x:c>
      <x:c r="G11" s="115" t="str">
        <x:v>de_k9_st07_diagnose_erstellen</x:v>
      </x:c>
      <x:c r="H11" s="176" t="e">
        <x:f>HYPERLINK("schueler/de_k9_st07_diagnose_erstellen_app.html","Lernmodul öffnen")</x:f>
      </x:c>
      <x:c r="I11" s="177" t="e">
        <x:f>HYPERLINK("lehrer/de_k9_st07_diagnose_erstellen_orga.html","Vorbereitung öffnen")</x:f>
      </x:c>
    </x:row>
    <x:row r="12" ht="65" customHeight="1">
      <x:c r="A12" s="142" t="n">
        <x:v>9</x:v>
      </x:c>
      <x:c r="B12" s="115" t="str">
        <x:v>Sprechen und Zuhören</x:v>
      </x:c>
      <x:c r="C12" s="148" t="n">
        <x:v>8</x:v>
      </x:c>
      <x:c r="D12" s="115" t="str">
        <x:v>Lernstand und Prüfungsformate: präsentieren und reflektieren</x:v>
      </x:c>
      <x:c r="E12" s="115" t="str">
        <x:v>Produkt kurz vorstellen; Rückmeldung anhand weniger Kriterien geben und annehmen. HSA-orientiert: überschaubare Materialien, klarer Schreibrahmen, gesicherte Grundoperatoren und lebensweltlicher Bezug.</x:v>
      </x:c>
      <x:c r="F12" s="115" t="str">
        <x:v>Produkt überzeugend präsentieren; Arbeitsprozess, Quellenwahl und Wirkung kritisch reflektieren. RSA-orientiert: umfangreichere Materialien, selbstständige Auswahl, differenzierte Textbelege und komplexere Schreibaufträge.</x:v>
      </x:c>
      <x:c r="G12" s="115" t="str">
        <x:v>de_k9_st08_diagnose_reflexion</x:v>
      </x:c>
      <x:c r="H12" s="176" t="e">
        <x:f>HYPERLINK("schueler/de_k9_st08_diagnose_reflexion_app.html","Lernmodul öffnen")</x:f>
      </x:c>
      <x:c r="I12" s="177" t="e">
        <x:f>HYPERLINK("lehrer/de_k9_st08_diagnose_reflexion_orga.html","Vorbereitung öffnen")</x:f>
      </x:c>
    </x:row>
    <x:row r="13" ht="65" customHeight="1">
      <x:c r="A13" s="142" t="n">
        <x:v>9</x:v>
      </x:c>
      <x:c r="B13" s="115" t="str">
        <x:v>Sprechen und Zuhören</x:v>
      </x:c>
      <x:c r="C13" s="148" t="n">
        <x:v>9</x:v>
      </x:c>
      <x:c r="D13" s="115" t="str">
        <x:v>Kurzgeschichte und Parabel: Hör- oder Leseeinstieg gestalten</x:v>
      </x:c>
      <x:c r="E13" s="115" t="str">
        <x:v>Einstieg über Bild, Hörtext oder kurzen Auszug; Vorwissen zu Kurzgeschichte und Parabel sammeln und zentrale Wörter klären. HSA-orientiert: überschaubare Materialien, klarer Schreibrahmen, gesicherte Grundoperatoren und lebensweltlicher Bezug.</x:v>
      </x:c>
      <x:c r="F13" s="115" t="str">
        <x:v>Aus Titel, Kontext und Gestaltung Erwartungen an Kurzgeschichte und Parabel ableiten; erste Hypothesen formulieren und begründen. RSA-orientiert: umfangreichere Materialien, selbstständige Auswahl, differenzierte Textbelege und komplexere Schreibaufträge.</x:v>
      </x:c>
      <x:c r="G13" s="115" t="str">
        <x:v>de_k9_st09_parabel_einstieg</x:v>
      </x:c>
      <x:c r="H13" s="176" t="e">
        <x:f>HYPERLINK("schueler/de_k9_st09_parabel_einstieg_app.html","Lernmodul öffnen")</x:f>
      </x:c>
      <x:c r="I13" s="177" t="e">
        <x:f>HYPERLINK("lehrer/de_k9_st09_parabel_einstieg_orga.html","Vorbereitung öffnen")</x:f>
      </x:c>
    </x:row>
    <x:row r="14" ht="65" customHeight="1">
      <x:c r="A14" s="142" t="n">
        <x:v>9</x:v>
      </x:c>
      <x:c r="B14" s="115" t="str">
        <x:v>Lesen/Umgang mit Texten</x:v>
      </x:c>
      <x:c r="C14" s="148" t="n">
        <x:v>10</x:v>
      </x:c>
      <x:c r="D14" s="115" t="str">
        <x:v>Kurzgeschichte und Parabel: den Text mit Lesestrategien erschließen</x:v>
      </x:c>
      <x:c r="E14" s="115" t="str">
        <x:v>Text abschnittsweise lesen; Schlüsselwörter markieren und den Inhalt mit Leitfragen sichern. HSA-orientiert: überschaubare Materialien, klarer Schreibrahmen, gesicherte Grundoperatoren und lebensweltlicher Bezug.</x:v>
      </x:c>
      <x:c r="F14" s="115" t="str">
        <x:v>Lesetechnik passend zum Ziel wählen; Sinnabschnitte, Schlüsselstellen und offene Fragen selbstständig festhalten. RSA-orientiert: umfangreichere Materialien, selbstständige Auswahl, differenzierte Textbelege und komplexere Schreibaufträge.</x:v>
      </x:c>
      <x:c r="G14" s="115" t="str">
        <x:v>de_k9_st10_parabel_erschliessen</x:v>
      </x:c>
      <x:c r="H14" s="176" t="e">
        <x:f>HYPERLINK("schueler/de_k9_st10_parabel_erschliessen_app.html","Lernmodul öffnen")</x:f>
      </x:c>
      <x:c r="I14" s="177" t="e">
        <x:f>HYPERLINK("lehrer/de_k9_st10_parabel_erschliessen_orga.html","Vorbereitung öffnen")</x:f>
      </x:c>
    </x:row>
    <x:row r="15" ht="65" customHeight="1">
      <x:c r="A15" s="142" t="n">
        <x:v>9</x:v>
      </x:c>
      <x:c r="B15" s="115" t="str">
        <x:v>Lesen/Umgang mit Texten</x:v>
      </x:c>
      <x:c r="C15" s="148" t="n">
        <x:v>11</x:v>
      </x:c>
      <x:c r="D15" s="115" t="str">
        <x:v>Kurzgeschichte und Parabel: Gattungsmerkmale erkennen</x:v>
      </x:c>
      <x:c r="E15" s="115" t="str">
        <x:v>Merkmale wie Handlung, Konflikt, Bild- und Sachebene mithilfe einer Checkliste zuordnen und an Textstellen zeigen. HSA-orientiert: überschaubare Materialien, klarer Schreibrahmen, gesicherte Grundoperatoren und lebensweltlicher Bezug.</x:v>
      </x:c>
      <x:c r="F15" s="115" t="str">
        <x:v>Merkmale wie Handlung, Konflikt, Bild- und Sachebene textnah belegen und ihre Funktion für Aufbau und Wirkung erklären. RSA-orientiert: umfangreichere Materialien, selbstständige Auswahl, differenzierte Textbelege und komplexere Schreibaufträge.</x:v>
      </x:c>
      <x:c r="G15" s="115" t="str">
        <x:v>de_k9_st11_parabel_merkmale</x:v>
      </x:c>
      <x:c r="H15" s="176" t="e">
        <x:f>HYPERLINK("schueler/de_k9_st11_parabel_merkmale_app.html","Lernmodul öffnen")</x:f>
      </x:c>
      <x:c r="I15" s="177" t="e">
        <x:f>HYPERLINK("lehrer/de_k9_st11_parabel_merkmale_orga.html","Vorbereitung öffnen")</x:f>
      </x:c>
    </x:row>
    <x:row r="16" ht="65" customHeight="1">
      <x:c r="A16" s="142" t="n">
        <x:v>9</x:v>
      </x:c>
      <x:c r="B16" s="115" t="str">
        <x:v>Lesen/Umgang mit Texten</x:v>
      </x:c>
      <x:c r="C16" s="148" t="n">
        <x:v>12</x:v>
      </x:c>
      <x:c r="D16" s="115" t="str">
        <x:v>Kurzgeschichte und Parabel: Figuren, Handlung und Konflikt untersuchen</x:v>
      </x:c>
      <x:c r="E16" s="115" t="str">
        <x:v>Mehrdeutigkeit, Symbolik und Deutungshypothese mit Figurenkarten oder Handlungsstreifen ordnen; einfache Belege auswählen. HSA-orientiert: überschaubare Materialien, klarer Schreibrahmen, gesicherte Grundoperatoren und lebensweltlicher Bezug.</x:v>
      </x:c>
      <x:c r="F16" s="115" t="str">
        <x:v>Mehrdeutigkeit, Symbolik und Deutungshypothese in ihrem Zusammenhang untersuchen; Schlussfolgerungen mit passenden Textbelegen absichern. RSA-orientiert: umfangreichere Materialien, selbstständige Auswahl, differenzierte Textbelege und komplexere Schreibaufträge.</x:v>
      </x:c>
      <x:c r="G16" s="115" t="str">
        <x:v>de_k9_st12_parabel_figuren_handlung</x:v>
      </x:c>
      <x:c r="H16" s="176" t="e">
        <x:f>HYPERLINK("schueler/de_k9_st12_parabel_figuren_handlung_app.html","Lernmodul öffnen")</x:f>
      </x:c>
      <x:c r="I16" s="177" t="e">
        <x:f>HYPERLINK("lehrer/de_k9_st12_parabel_figuren_handlung_orga.html","Vorbereitung öffnen")</x:f>
      </x:c>
    </x:row>
    <x:row r="17" ht="65" customHeight="1">
      <x:c r="A17" s="142" t="n">
        <x:v>9</x:v>
      </x:c>
      <x:c r="B17" s="115" t="str">
        <x:v>Sprache untersuchen</x:v>
      </x:c>
      <x:c r="C17" s="148" t="n">
        <x:v>13</x:v>
      </x:c>
      <x:c r="D17" s="115" t="str">
        <x:v>Kurzgeschichte und Parabel: Sprache und Wirkung untersuchen</x:v>
      </x:c>
      <x:c r="E17" s="115" t="str">
        <x:v>Beispiele für Erzählweise, Leitmotive, rhetorische Mittel markieren und ihre Wirkung mit vorgegebenen Begriffen beschreiben. HSA-orientiert: überschaubare Materialien, klarer Schreibrahmen, gesicherte Grundoperatoren und lebensweltlicher Bezug.</x:v>
      </x:c>
      <x:c r="F17" s="115" t="str">
        <x:v>Erzählweise, Leitmotive, rhetorische Mittel fachsprachlich analysieren und auf Figurenzeichnung, Stimmung oder Aussage beziehen. RSA-orientiert: umfangreichere Materialien, selbstständige Auswahl, differenzierte Textbelege und komplexere Schreibaufträge.</x:v>
      </x:c>
      <x:c r="G17" s="115" t="str">
        <x:v>de_k9_st13_parabel_sprache_wirkung</x:v>
      </x:c>
      <x:c r="H17" s="176" t="e">
        <x:f>HYPERLINK("schueler/de_k9_st13_parabel_sprache_wirkung_app.html","Lernmodul öffnen")</x:f>
      </x:c>
      <x:c r="I17" s="177" t="e">
        <x:f>HYPERLINK("lehrer/de_k9_st13_parabel_sprache_wirkung_orga.html","Vorbereitung öffnen")</x:f>
      </x:c>
    </x:row>
    <x:row r="18" ht="65" customHeight="1">
      <x:c r="A18" s="142" t="n">
        <x:v>9</x:v>
      </x:c>
      <x:c r="B18" s="115" t="str">
        <x:v>Schreiben</x:v>
      </x:c>
      <x:c r="C18" s="148" t="n">
        <x:v>14</x:v>
      </x:c>
      <x:c r="D18" s="115" t="str">
        <x:v>Kurzgeschichte und Parabel: eine Deutung oder Perspektive vorbereiten</x:v>
      </x:c>
      <x:c r="E18" s="115" t="str">
        <x:v>Eine zentrale Aussage mit Satzstartern formulieren; Beleg und Erklärung in einem Schreibrahmen verbinden. HSA-orientiert: überschaubare Materialien, klarer Schreibrahmen, gesicherte Grundoperatoren und lebensweltlicher Bezug.</x:v>
      </x:c>
      <x:c r="F18" s="115" t="str">
        <x:v>Eine schlüssige Deutungshypothese entwickeln; mehrere Belege auswählen, ordnen und gegeneinander abwägen. RSA-orientiert: umfangreichere Materialien, selbstständige Auswahl, differenzierte Textbelege und komplexere Schreibaufträge.</x:v>
      </x:c>
      <x:c r="G18" s="115" t="str">
        <x:v>de_k9_st14_parabel_deutung_planen</x:v>
      </x:c>
      <x:c r="H18" s="176" t="e">
        <x:f>HYPERLINK("schueler/de_k9_st14_parabel_deutung_planen_app.html","Lernmodul öffnen")</x:f>
      </x:c>
      <x:c r="I18" s="177" t="e">
        <x:f>HYPERLINK("lehrer/de_k9_st14_parabel_deutung_planen_orga.html","Vorbereitung öffnen")</x:f>
      </x:c>
    </x:row>
    <x:row r="19" ht="65" customHeight="1">
      <x:c r="A19" s="142" t="n">
        <x:v>9</x:v>
      </x:c>
      <x:c r="B19" s="115" t="str">
        <x:v>Schreiben</x:v>
      </x:c>
      <x:c r="C19" s="148" t="n">
        <x:v>15</x:v>
      </x:c>
      <x:c r="D19" s="115" t="str">
        <x:v>Kurzgeschichte und Parabel: Interpretationsabschnitt gestalten</x:v>
      </x:c>
      <x:c r="E19" s="115" t="str">
        <x:v>Interpretationsabschnitt nach klaren Vorgaben erstellen; Hilfekarten und Wortbank nutzen. HSA-orientiert: überschaubare Materialien, klarer Schreibrahmen, gesicherte Grundoperatoren und lebensweltlicher Bezug.</x:v>
      </x:c>
      <x:c r="F19" s="115" t="str">
        <x:v>Interpretationsabschnitt eigenständig, textnah und sprachlich variabel gestalten; Wirkung bewusst planen. RSA-orientiert: umfangreichere Materialien, selbstständige Auswahl, differenzierte Textbelege und komplexere Schreibaufträge.</x:v>
      </x:c>
      <x:c r="G19" s="115" t="str">
        <x:v>de_k9_st15_parabel_produkt</x:v>
      </x:c>
      <x:c r="H19" s="176" t="e">
        <x:f>HYPERLINK("schueler/de_k9_st15_parabel_produkt_app.html","Lernmodul öffnen")</x:f>
      </x:c>
      <x:c r="I19" s="177" t="e">
        <x:f>HYPERLINK("lehrer/de_k9_st15_parabel_produkt_orga.html","Vorbereitung öffnen")</x:f>
      </x:c>
    </x:row>
    <x:row r="20" ht="65" customHeight="1">
      <x:c r="A20" s="142" t="n">
        <x:v>9</x:v>
      </x:c>
      <x:c r="B20" s="115" t="str">
        <x:v>Sprechen und Zuhören</x:v>
      </x:c>
      <x:c r="C20" s="148" t="n">
        <x:v>16</x:v>
      </x:c>
      <x:c r="D20" s="115" t="str">
        <x:v>Kurzgeschichte und Parabel: Ergebnisse präsentieren und reflektieren</x:v>
      </x:c>
      <x:c r="E20" s="115" t="str">
        <x:v>Ergebnis kurz vorstellen; zwei vereinbarte Kriterien für Rückmeldung anwenden. HSA-orientiert: überschaubare Materialien, klarer Schreibrahmen, gesicherte Grundoperatoren und lebensweltlicher Bezug.</x:v>
      </x:c>
      <x:c r="F20" s="115" t="str">
        <x:v>Ergebnis adressatenbezogen präsentieren; Rückmeldungen begründen und die eigene Deutung oder Gestaltung überarbeiten. RSA-orientiert: umfangreichere Materialien, selbstständige Auswahl, differenzierte Textbelege und komplexere Schreibaufträge.</x:v>
      </x:c>
      <x:c r="G20" s="115" t="str">
        <x:v>de_k9_st16_parabel_praesentieren</x:v>
      </x:c>
      <x:c r="H20" s="176" t="e">
        <x:f>HYPERLINK("schueler/de_k9_st16_parabel_praesentieren_app.html","Lernmodul öffnen")</x:f>
      </x:c>
      <x:c r="I20" s="177" t="e">
        <x:f>HYPERLINK("lehrer/de_k9_st16_parabel_praesentieren_orga.html","Vorbereitung öffnen")</x:f>
      </x:c>
    </x:row>
    <x:row r="21" ht="65" customHeight="1">
      <x:c r="A21" s="142" t="n">
        <x:v>9</x:v>
      </x:c>
      <x:c r="B21" s="115" t="str">
        <x:v>Sprechen und Zuhören</x:v>
      </x:c>
      <x:c r="C21" s="148" t="n">
        <x:v>17</x:v>
      </x:c>
      <x:c r="D21" s="115" t="str">
        <x:v>Drama: Konflikt auf der Bühne: Hör- oder Leseeinstieg gestalten</x:v>
      </x:c>
      <x:c r="E21" s="115" t="str">
        <x:v>Einstieg über Bild, Hörtext oder kurzen Auszug; Vorwissen zu klassisches oder modernes Drama sammeln und zentrale Wörter klären. HSA-orientiert: überschaubare Materialien, klarer Schreibrahmen, gesicherte Grundoperatoren und lebensweltlicher Bezug.</x:v>
      </x:c>
      <x:c r="F21" s="115" t="str">
        <x:v>Aus Titel, Kontext und Gestaltung Erwartungen an klassisches oder modernes Drama ableiten; erste Hypothesen formulieren und begründen. RSA-orientiert: umfangreichere Materialien, selbstständige Auswahl, differenzierte Textbelege und komplexere Schreibaufträge.</x:v>
      </x:c>
      <x:c r="G21" s="115" t="str">
        <x:v>de_k9_st17_drama_einstieg</x:v>
      </x:c>
      <x:c r="H21" s="176" t="e">
        <x:f>HYPERLINK("schueler/de_k9_st17_drama_einstieg_app.html","Lernmodul öffnen")</x:f>
      </x:c>
      <x:c r="I21" s="177" t="e">
        <x:f>HYPERLINK("lehrer/de_k9_st17_drama_einstieg_orga.html","Vorbereitung öffnen")</x:f>
      </x:c>
    </x:row>
    <x:row r="22" ht="65" customHeight="1">
      <x:c r="A22" s="142" t="n">
        <x:v>9</x:v>
      </x:c>
      <x:c r="B22" s="115" t="str">
        <x:v>Lesen/Umgang mit Texten</x:v>
      </x:c>
      <x:c r="C22" s="148" t="n">
        <x:v>18</x:v>
      </x:c>
      <x:c r="D22" s="115" t="str">
        <x:v>Drama: Konflikt auf der Bühne: den Text mit Lesestrategien erschließen</x:v>
      </x:c>
      <x:c r="E22" s="115" t="str">
        <x:v>Text abschnittsweise lesen; Schlüsselwörter markieren und den Inhalt mit Leitfragen sichern. HSA-orientiert: überschaubare Materialien, klarer Schreibrahmen, gesicherte Grundoperatoren und lebensweltlicher Bezug.</x:v>
      </x:c>
      <x:c r="F22" s="115" t="str">
        <x:v>Lesetechnik passend zum Ziel wählen; Sinnabschnitte, Schlüsselstellen und offene Fragen selbstständig festhalten. RSA-orientiert: umfangreichere Materialien, selbstständige Auswahl, differenzierte Textbelege und komplexere Schreibaufträge.</x:v>
      </x:c>
      <x:c r="G22" s="115" t="str">
        <x:v>de_k9_st18_drama_erschliessen</x:v>
      </x:c>
      <x:c r="H22" s="176" t="e">
        <x:f>HYPERLINK("schueler/de_k9_st18_drama_erschliessen_app.html","Lernmodul öffnen")</x:f>
      </x:c>
      <x:c r="I22" s="177" t="e">
        <x:f>HYPERLINK("lehrer/de_k9_st18_drama_erschliessen_orga.html","Vorbereitung öffnen")</x:f>
      </x:c>
    </x:row>
    <x:row r="23" ht="65" customHeight="1">
      <x:c r="A23" s="142" t="n">
        <x:v>9</x:v>
      </x:c>
      <x:c r="B23" s="115" t="str">
        <x:v>Lesen/Umgang mit Texten</x:v>
      </x:c>
      <x:c r="C23" s="148" t="n">
        <x:v>19</x:v>
      </x:c>
      <x:c r="D23" s="115" t="str">
        <x:v>Drama: Konflikt auf der Bühne: Gattungsmerkmale erkennen</x:v>
      </x:c>
      <x:c r="E23" s="115" t="str">
        <x:v>Merkmale wie Szene, Akt, Figuren, Konflikt, Regieanweisung mithilfe einer Checkliste zuordnen und an Textstellen zeigen. HSA-orientiert: überschaubare Materialien, klarer Schreibrahmen, gesicherte Grundoperatoren und lebensweltlicher Bezug.</x:v>
      </x:c>
      <x:c r="F23" s="115" t="str">
        <x:v>Merkmale wie Szene, Akt, Figuren, Konflikt, Regieanweisung textnah belegen und ihre Funktion für Aufbau und Wirkung erklären. RSA-orientiert: umfangreichere Materialien, selbstständige Auswahl, differenzierte Textbelege und komplexere Schreibaufträge.</x:v>
      </x:c>
      <x:c r="G23" s="115" t="str">
        <x:v>de_k9_st19_drama_merkmale</x:v>
      </x:c>
      <x:c r="H23" s="176" t="e">
        <x:f>HYPERLINK("schueler/de_k9_st19_drama_merkmale_app.html","Lernmodul öffnen")</x:f>
      </x:c>
      <x:c r="I23" s="177" t="e">
        <x:f>HYPERLINK("lehrer/de_k9_st19_drama_merkmale_orga.html","Vorbereitung öffnen")</x:f>
      </x:c>
    </x:row>
    <x:row r="24" ht="65" customHeight="1">
      <x:c r="A24" s="142" t="n">
        <x:v>9</x:v>
      </x:c>
      <x:c r="B24" s="115" t="str">
        <x:v>Lesen/Umgang mit Texten</x:v>
      </x:c>
      <x:c r="C24" s="148" t="n">
        <x:v>20</x:v>
      </x:c>
      <x:c r="D24" s="115" t="str">
        <x:v>Drama: Konflikt auf der Bühne: Figuren, Handlung und Konflikt untersuchen</x:v>
      </x:c>
      <x:c r="E24" s="115" t="str">
        <x:v>Dramenaufbau, Figurenkonstellation und historische Bezüge mit Figurenkarten oder Handlungsstreifen ordnen; einfache Belege auswählen. HSA-orientiert: überschaubare Materialien, klarer Schreibrahmen, gesicherte Grundoperatoren und lebensweltlicher Bezug.</x:v>
      </x:c>
      <x:c r="F24" s="115" t="str">
        <x:v>Dramenaufbau, Figurenkonstellation und historische Bezüge in ihrem Zusammenhang untersuchen; Schlussfolgerungen mit passenden Textbelegen absichern. RSA-orientiert: umfangreichere Materialien, selbstständige Auswahl, differenzierte Textbelege und komplexere Schreibaufträge.</x:v>
      </x:c>
      <x:c r="G24" s="115" t="str">
        <x:v>de_k9_st20_drama_figuren_handlung</x:v>
      </x:c>
      <x:c r="H24" s="176" t="e">
        <x:f>HYPERLINK("schueler/de_k9_st20_drama_figuren_handlung_app.html","Lernmodul öffnen")</x:f>
      </x:c>
      <x:c r="I24" s="177" t="e">
        <x:f>HYPERLINK("lehrer/de_k9_st20_drama_figuren_handlung_orga.html","Vorbereitung öffnen")</x:f>
      </x:c>
    </x:row>
    <x:row r="25" ht="65" customHeight="1">
      <x:c r="A25" s="142" t="n">
        <x:v>9</x:v>
      </x:c>
      <x:c r="B25" s="115" t="str">
        <x:v>Sprache untersuchen</x:v>
      </x:c>
      <x:c r="C25" s="148" t="n">
        <x:v>21</x:v>
      </x:c>
      <x:c r="D25" s="115" t="str">
        <x:v>Drama: Konflikt auf der Bühne: Sprache und Wirkung untersuchen</x:v>
      </x:c>
      <x:c r="E25" s="115" t="str">
        <x:v>Beispiele für Dialoganalyse, Gesprächsstrategien, rhetorische Mittel markieren und ihre Wirkung mit vorgegebenen Begriffen beschreiben. HSA-orientiert: überschaubare Materialien, klarer Schreibrahmen, gesicherte Grundoperatoren und lebensweltlicher Bezug.</x:v>
      </x:c>
      <x:c r="F25" s="115" t="str">
        <x:v>Dialoganalyse, Gesprächsstrategien, rhetorische Mittel fachsprachlich analysieren und auf Figurenzeichnung, Stimmung oder Aussage beziehen. RSA-orientiert: umfangreichere Materialien, selbstständige Auswahl, differenzierte Textbelege und komplexere Schreibaufträge.</x:v>
      </x:c>
      <x:c r="G25" s="115" t="str">
        <x:v>de_k9_st21_drama_sprache_wirkung</x:v>
      </x:c>
      <x:c r="H25" s="176" t="e">
        <x:f>HYPERLINK("schueler/de_k9_st21_drama_sprache_wirkung_app.html","Lernmodul öffnen")</x:f>
      </x:c>
      <x:c r="I25" s="177" t="e">
        <x:f>HYPERLINK("lehrer/de_k9_st21_drama_sprache_wirkung_orga.html","Vorbereitung öffnen")</x:f>
      </x:c>
    </x:row>
    <x:row r="26" ht="65" customHeight="1">
      <x:c r="A26" s="142" t="n">
        <x:v>9</x:v>
      </x:c>
      <x:c r="B26" s="115" t="str">
        <x:v>Schreiben</x:v>
      </x:c>
      <x:c r="C26" s="148" t="n">
        <x:v>22</x:v>
      </x:c>
      <x:c r="D26" s="115" t="str">
        <x:v>Drama: Konflikt auf der Bühne: eine Deutung oder Perspektive vorbereiten</x:v>
      </x:c>
      <x:c r="E26" s="115" t="str">
        <x:v>Eine zentrale Aussage mit Satzstartern formulieren; Beleg und Erklärung in einem Schreibrahmen verbinden. HSA-orientiert: überschaubare Materialien, klarer Schreibrahmen, gesicherte Grundoperatoren und lebensweltlicher Bezug.</x:v>
      </x:c>
      <x:c r="F26" s="115" t="str">
        <x:v>Eine schlüssige Deutungshypothese entwickeln; mehrere Belege auswählen, ordnen und gegeneinander abwägen. RSA-orientiert: umfangreichere Materialien, selbstständige Auswahl, differenzierte Textbelege und komplexere Schreibaufträge.</x:v>
      </x:c>
      <x:c r="G26" s="115" t="str">
        <x:v>de_k9_st22_drama_deutung_planen</x:v>
      </x:c>
      <x:c r="H26" s="176" t="e">
        <x:f>HYPERLINK("schueler/de_k9_st22_drama_deutung_planen_app.html","Lernmodul öffnen")</x:f>
      </x:c>
      <x:c r="I26" s="177" t="e">
        <x:f>HYPERLINK("lehrer/de_k9_st22_drama_deutung_planen_orga.html","Vorbereitung öffnen")</x:f>
      </x:c>
    </x:row>
    <x:row r="27" ht="65" customHeight="1">
      <x:c r="A27" s="142" t="n">
        <x:v>9</x:v>
      </x:c>
      <x:c r="B27" s="115" t="str">
        <x:v>Schreiben</x:v>
      </x:c>
      <x:c r="C27" s="148" t="n">
        <x:v>23</x:v>
      </x:c>
      <x:c r="D27" s="115" t="str">
        <x:v>Drama: Konflikt auf der Bühne: Szenenanalyse gestalten</x:v>
      </x:c>
      <x:c r="E27" s="115" t="str">
        <x:v>Szenenanalyse nach klaren Vorgaben erstellen; Hilfekarten und Wortbank nutzen. HSA-orientiert: überschaubare Materialien, klarer Schreibrahmen, gesicherte Grundoperatoren und lebensweltlicher Bezug.</x:v>
      </x:c>
      <x:c r="F27" s="115" t="str">
        <x:v>Szenenanalyse eigenständig, textnah und sprachlich variabel gestalten; Wirkung bewusst planen. RSA-orientiert: umfangreichere Materialien, selbstständige Auswahl, differenzierte Textbelege und komplexere Schreibaufträge.</x:v>
      </x:c>
      <x:c r="G27" s="115" t="str">
        <x:v>de_k9_st23_drama_produkt</x:v>
      </x:c>
      <x:c r="H27" s="176" t="e">
        <x:f>HYPERLINK("schueler/de_k9_st23_drama_produkt_app.html","Lernmodul öffnen")</x:f>
      </x:c>
      <x:c r="I27" s="177" t="e">
        <x:f>HYPERLINK("lehrer/de_k9_st23_drama_produkt_orga.html","Vorbereitung öffnen")</x:f>
      </x:c>
    </x:row>
    <x:row r="28" ht="65" customHeight="1">
      <x:c r="A28" s="142" t="n">
        <x:v>9</x:v>
      </x:c>
      <x:c r="B28" s="115" t="str">
        <x:v>Sprechen und Zuhören</x:v>
      </x:c>
      <x:c r="C28" s="148" t="n">
        <x:v>24</x:v>
      </x:c>
      <x:c r="D28" s="115" t="str">
        <x:v>Drama: Konflikt auf der Bühne: Ergebnisse präsentieren und reflektieren</x:v>
      </x:c>
      <x:c r="E28" s="115" t="str">
        <x:v>Ergebnis kurz vorstellen; zwei vereinbarte Kriterien für Rückmeldung anwenden. HSA-orientiert: überschaubare Materialien, klarer Schreibrahmen, gesicherte Grundoperatoren und lebensweltlicher Bezug.</x:v>
      </x:c>
      <x:c r="F28" s="115" t="str">
        <x:v>Ergebnis adressatenbezogen präsentieren; Rückmeldungen begründen und die eigene Deutung oder Gestaltung überarbeiten. RSA-orientiert: umfangreichere Materialien, selbstständige Auswahl, differenzierte Textbelege und komplexere Schreibaufträge.</x:v>
      </x:c>
      <x:c r="G28" s="115" t="str">
        <x:v>de_k9_st24_drama_praesentieren</x:v>
      </x:c>
      <x:c r="H28" s="176" t="e">
        <x:f>HYPERLINK("schueler/de_k9_st24_drama_praesentieren_app.html","Lernmodul öffnen")</x:f>
      </x:c>
      <x:c r="I28" s="177" t="e">
        <x:f>HYPERLINK("lehrer/de_k9_st24_drama_praesentieren_orga.html","Vorbereitung öffnen")</x:f>
      </x:c>
    </x:row>
    <x:row r="29" ht="65" customHeight="1">
      <x:c r="A29" s="142" t="n">
        <x:v>9</x:v>
      </x:c>
      <x:c r="B29" s="115" t="str">
        <x:v>Lesen/Umgang mit Texten</x:v>
      </x:c>
      <x:c r="C29" s="148" t="n">
        <x:v>25</x:v>
      </x:c>
      <x:c r="D29" s="115" t="str">
        <x:v>Inhaltsangabe und Charakteristik verbinden: Beispieltexte untersuchen</x:v>
      </x:c>
      <x:c r="E29" s="115" t="str">
        <x:v>Ein Beispiel für textbezogene Darstellung lesen; Aufbau und typische Formulierungen farbig kennzeichnen. HSA-orientiert: überschaubare Materialien, klarer Schreibrahmen, gesicherte Grundoperatoren und lebensweltlicher Bezug.</x:v>
      </x:c>
      <x:c r="F29" s="115" t="str">
        <x:v>Mehrere Beispiele für textbezogene Darstellung vergleichen; Funktion, Adressat und Qualitätsunterschiede herausarbeiten. RSA-orientiert: umfangreichere Materialien, selbstständige Auswahl, differenzierte Textbelege und komplexere Schreibaufträge.</x:v>
      </x:c>
      <x:c r="G29" s="115" t="str">
        <x:v>de_k9_st25_charakteristik_beispiel</x:v>
      </x:c>
      <x:c r="H29" s="176" t="e">
        <x:f>HYPERLINK("schueler/de_k9_st25_charakteristik_beispiel_app.html","Lernmodul öffnen")</x:f>
      </x:c>
      <x:c r="I29" s="177" t="e">
        <x:f>HYPERLINK("lehrer/de_k9_st25_charakteristik_beispiel_orga.html","Vorbereitung öffnen")</x:f>
      </x:c>
    </x:row>
    <x:row r="30" ht="65" customHeight="1">
      <x:c r="A30" s="142" t="n">
        <x:v>9</x:v>
      </x:c>
      <x:c r="B30" s="115" t="str">
        <x:v>Schreiben</x:v>
      </x:c>
      <x:c r="C30" s="148" t="n">
        <x:v>26</x:v>
      </x:c>
      <x:c r="D30" s="115" t="str">
        <x:v>Inhaltsangabe und Charakteristik verbinden: Schreibziel und Kriterien klären</x:v>
      </x:c>
      <x:c r="E30" s="115" t="str">
        <x:v>Schreibziel „Inhalt und Figur geordnet und textnah darstellen“ verstehen; eine kurze Kriterienliste auf ein Beispiel anwenden. HSA-orientiert: überschaubare Materialien, klarer Schreibrahmen, gesicherte Grundoperatoren und lebensweltlicher Bezug.</x:v>
      </x:c>
      <x:c r="F30" s="115" t="str">
        <x:v>Schreibziel „Inhalt und Figur geordnet und textnah darstellen“ präzisieren; Kriterien gewichten und auf unterschiedliche Schreibsituationen übertragen. RSA-orientiert: umfangreichere Materialien, selbstständige Auswahl, differenzierte Textbelege und komplexere Schreibaufträge.</x:v>
      </x:c>
      <x:c r="G30" s="115" t="str">
        <x:v>de_k9_st26_charakteristik_kriterien</x:v>
      </x:c>
      <x:c r="H30" s="176" t="e">
        <x:f>HYPERLINK("schueler/de_k9_st26_charakteristik_kriterien_app.html","Lernmodul öffnen")</x:f>
      </x:c>
      <x:c r="I30" s="177" t="e">
        <x:f>HYPERLINK("lehrer/de_k9_st26_charakteristik_kriterien_orga.html","Vorbereitung öffnen")</x:f>
      </x:c>
    </x:row>
    <x:row r="31" ht="65" customHeight="1">
      <x:c r="A31" s="142" t="n">
        <x:v>9</x:v>
      </x:c>
      <x:c r="B31" s="115" t="str">
        <x:v>Lesen/Umgang mit Texten</x:v>
      </x:c>
      <x:c r="C31" s="148" t="n">
        <x:v>27</x:v>
      </x:c>
      <x:c r="D31" s="115" t="str">
        <x:v>Inhaltsangabe und Charakteristik verbinden: Inhalte auswählen und ordnen</x:v>
      </x:c>
      <x:c r="E31" s="115" t="str">
        <x:v>Auswahl, Beleg, Deutung und Zusammenhang mit Leitfragen sammeln und in einer vorgegebenen Reihenfolge ordnen. HSA-orientiert: überschaubare Materialien, klarer Schreibrahmen, gesicherte Grundoperatoren und lebensweltlicher Bezug.</x:v>
      </x:c>
      <x:c r="F31" s="115" t="str">
        <x:v>Auswahl, Beleg, Deutung und Zusammenhang selbstständig auswählen, gewichten und in einer passenden Gliederung strukturieren. RSA-orientiert: umfangreichere Materialien, selbstständige Auswahl, differenzierte Textbelege und komplexere Schreibaufträge.</x:v>
      </x:c>
      <x:c r="G31" s="115" t="str">
        <x:v>de_k9_st27_charakteristik_inhalte_ordnen</x:v>
      </x:c>
      <x:c r="H31" s="176" t="e">
        <x:f>HYPERLINK("schueler/de_k9_st27_charakteristik_inhalte_ordnen_app.html","Lernmodul öffnen")</x:f>
      </x:c>
      <x:c r="I31" s="177" t="e">
        <x:f>HYPERLINK("lehrer/de_k9_st27_charakteristik_inhalte_ordnen_orga.html","Vorbereitung öffnen")</x:f>
      </x:c>
    </x:row>
    <x:row r="32" ht="65" customHeight="1">
      <x:c r="A32" s="142" t="n">
        <x:v>9</x:v>
      </x:c>
      <x:c r="B32" s="115" t="str">
        <x:v>Sprache untersuchen</x:v>
      </x:c>
      <x:c r="C32" s="148" t="n">
        <x:v>28</x:v>
      </x:c>
      <x:c r="D32" s="115" t="str">
        <x:v>Inhaltsangabe und Charakteristik verbinden: passende sprachliche Mittel verwenden</x:v>
      </x:c>
      <x:c r="E32" s="115" t="str">
        <x:v>Präsens, indirekte Rede, Zitiertechnik in Übungen erkennen und nach Satzmustern anwenden. HSA-orientiert: überschaubare Materialien, klarer Schreibrahmen, gesicherte Grundoperatoren und lebensweltlicher Bezug.</x:v>
      </x:c>
      <x:c r="F32" s="115" t="str">
        <x:v>Präsens, indirekte Rede, Zitiertechnik hinsichtlich Wirkung und Angemessenheit prüfen und gezielt variieren. RSA-orientiert: umfangreichere Materialien, selbstständige Auswahl, differenzierte Textbelege und komplexere Schreibaufträge.</x:v>
      </x:c>
      <x:c r="G32" s="115" t="str">
        <x:v>de_k9_st28_charakteristik_sprachmittel</x:v>
      </x:c>
      <x:c r="H32" s="176" t="e">
        <x:f>HYPERLINK("schueler/de_k9_st28_charakteristik_sprachmittel_app.html","Lernmodul öffnen")</x:f>
      </x:c>
      <x:c r="I32" s="177" t="e">
        <x:f>HYPERLINK("lehrer/de_k9_st28_charakteristik_sprachmittel_orga.html","Vorbereitung öffnen")</x:f>
      </x:c>
    </x:row>
    <x:row r="33" ht="65" customHeight="1">
      <x:c r="A33" s="142" t="n">
        <x:v>9</x:v>
      </x:c>
      <x:c r="B33" s="115" t="str">
        <x:v>Schreiben</x:v>
      </x:c>
      <x:c r="C33" s="148" t="n">
        <x:v>29</x:v>
      </x:c>
      <x:c r="D33" s="115" t="str">
        <x:v>Inhaltsangabe und Charakteristik verbinden: einen Schreibplan erstellen</x:v>
      </x:c>
      <x:c r="E33" s="115" t="str">
        <x:v>Einen vorstrukturierten Schreibplan ausfüllen; Einleitung, Hauptteil und Schluss festlegen. HSA-orientiert: überschaubare Materialien, klarer Schreibrahmen, gesicherte Grundoperatoren und lebensweltlicher Bezug.</x:v>
      </x:c>
      <x:c r="F33" s="115" t="str">
        <x:v>Einen eigenen Schreibplan mit Teilzielen, Belegen und sprachlichen Mitteln entwickeln. RSA-orientiert: umfangreichere Materialien, selbstständige Auswahl, differenzierte Textbelege und komplexere Schreibaufträge.</x:v>
      </x:c>
      <x:c r="G33" s="115" t="str">
        <x:v>de_k9_st29_charakteristik_schreibplan</x:v>
      </x:c>
      <x:c r="H33" s="176" t="e">
        <x:f>HYPERLINK("schueler/de_k9_st29_charakteristik_schreibplan_app.html","Lernmodul öffnen")</x:f>
      </x:c>
      <x:c r="I33" s="177" t="e">
        <x:f>HYPERLINK("lehrer/de_k9_st29_charakteristik_schreibplan_orga.html","Vorbereitung öffnen")</x:f>
      </x:c>
    </x:row>
    <x:row r="34" ht="65" customHeight="1">
      <x:c r="A34" s="142" t="n">
        <x:v>9</x:v>
      </x:c>
      <x:c r="B34" s="115" t="str">
        <x:v>Schreiben</x:v>
      </x:c>
      <x:c r="C34" s="148" t="n">
        <x:v>30</x:v>
      </x:c>
      <x:c r="D34" s="115" t="str">
        <x:v>Inhaltsangabe und Charakteristik verbinden: einen ersten Textentwurf verfassen</x:v>
      </x:c>
      <x:c r="E34" s="115" t="str">
        <x:v>Kombinierte textaufgabe mithilfe von Schreibrahmen, Satzanfängen und Wortbank verfassen. HSA-orientiert: überschaubare Materialien, klarer Schreibrahmen, gesicherte Grundoperatoren und lebensweltlicher Bezug.</x:v>
      </x:c>
      <x:c r="F34" s="115" t="str">
        <x:v>Kombinierte textaufgabe selbstständig, adressatenbezogen und sprachlich differenziert verfassen. RSA-orientiert: umfangreichere Materialien, selbstständige Auswahl, differenzierte Textbelege und komplexere Schreibaufträge.</x:v>
      </x:c>
      <x:c r="G34" s="115" t="str">
        <x:v>de_k9_st30_charakteristik_entwurf</x:v>
      </x:c>
      <x:c r="H34" s="176" t="e">
        <x:f>HYPERLINK("schueler/de_k9_st30_charakteristik_entwurf_app.html","Lernmodul öffnen")</x:f>
      </x:c>
      <x:c r="I34" s="177" t="e">
        <x:f>HYPERLINK("lehrer/de_k9_st30_charakteristik_entwurf_orga.html","Vorbereitung öffnen")</x:f>
      </x:c>
    </x:row>
    <x:row r="35" ht="65" customHeight="1">
      <x:c r="A35" s="142" t="n">
        <x:v>9</x:v>
      </x:c>
      <x:c r="B35" s="115" t="str">
        <x:v>Schreiben</x:v>
      </x:c>
      <x:c r="C35" s="148" t="n">
        <x:v>31</x:v>
      </x:c>
      <x:c r="D35" s="115" t="str">
        <x:v>Inhaltsangabe und Charakteristik verbinden: Text kriteriengeleitet überarbeiten</x:v>
      </x:c>
      <x:c r="E35" s="115" t="str">
        <x:v>Text mit einer kurzen Prüfliste überarbeiten; einen inhaltlichen und einen sprachlichen Fehler verbessern. HSA-orientiert: überschaubare Materialien, klarer Schreibrahmen, gesicherte Grundoperatoren und lebensweltlicher Bezug.</x:v>
      </x:c>
      <x:c r="F35" s="115" t="str">
        <x:v>Text in mehreren Überarbeitungsschritten prüfen; Aufbau, Kohärenz, Stil und Normrichtigkeit gezielt optimieren. RSA-orientiert: umfangreichere Materialien, selbstständige Auswahl, differenzierte Textbelege und komplexere Schreibaufträge.</x:v>
      </x:c>
      <x:c r="G35" s="115" t="str">
        <x:v>de_k9_st31_charakteristik_ueberarbeiten</x:v>
      </x:c>
      <x:c r="H35" s="176" t="e">
        <x:f>HYPERLINK("schueler/de_k9_st31_charakteristik_ueberarbeiten_app.html","Lernmodul öffnen")</x:f>
      </x:c>
      <x:c r="I35" s="177" t="e">
        <x:f>HYPERLINK("lehrer/de_k9_st31_charakteristik_ueberarbeiten_orga.html","Vorbereitung öffnen")</x:f>
      </x:c>
    </x:row>
    <x:row r="36" ht="65" customHeight="1">
      <x:c r="A36" s="142" t="n">
        <x:v>9</x:v>
      </x:c>
      <x:c r="B36" s="115" t="str">
        <x:v>Sprechen und Zuhören</x:v>
      </x:c>
      <x:c r="C36" s="148" t="n">
        <x:v>32</x:v>
      </x:c>
      <x:c r="D36" s="115" t="str">
        <x:v>Inhaltsangabe und Charakteristik verbinden: Texte vorstellen und bewerten</x:v>
      </x:c>
      <x:c r="E36" s="115" t="str">
        <x:v>Ausgewählte Passage vorlesen oder erläutern; Rückmeldung mit einfachen Satzmustern geben. HSA-orientiert: überschaubare Materialien, klarer Schreibrahmen, gesicherte Grundoperatoren und lebensweltlicher Bezug.</x:v>
      </x:c>
      <x:c r="F36" s="115" t="str">
        <x:v>Textwirkung und Schreibentscheidungen erläutern; differenziertes Peer-Feedback geben und begründet annehmen. RSA-orientiert: umfangreichere Materialien, selbstständige Auswahl, differenzierte Textbelege und komplexere Schreibaufträge.</x:v>
      </x:c>
      <x:c r="G36" s="115" t="str">
        <x:v>de_k9_st32_charakteristik_vorstellen</x:v>
      </x:c>
      <x:c r="H36" s="176" t="e">
        <x:f>HYPERLINK("schueler/de_k9_st32_charakteristik_vorstellen_app.html","Lernmodul öffnen")</x:f>
      </x:c>
      <x:c r="I36" s="177" t="e">
        <x:f>HYPERLINK("lehrer/de_k9_st32_charakteristik_vorstellen_orga.html","Vorbereitung öffnen")</x:f>
      </x:c>
    </x:row>
    <x:row r="37" ht="65" customHeight="1">
      <x:c r="A37" s="142" t="n">
        <x:v>9</x:v>
      </x:c>
      <x:c r="B37" s="115" t="str">
        <x:v>Lesen/Umgang mit Texten</x:v>
      </x:c>
      <x:c r="C37" s="148" t="n">
        <x:v>33</x:v>
      </x:c>
      <x:c r="D37" s="115" t="str">
        <x:v>Argumentieren und erörtern: Beispieltexte untersuchen</x:v>
      </x:c>
      <x:c r="E37" s="115" t="str">
        <x:v>Ein Beispiel für lineare oder textgebundene Erörterung lesen; Aufbau und typische Formulierungen farbig kennzeichnen. HSA-orientiert: überschaubare Materialien, klarer Schreibrahmen, gesicherte Grundoperatoren und lebensweltlicher Bezug.</x:v>
      </x:c>
      <x:c r="F37" s="115" t="str">
        <x:v>Mehrere Beispiele für lineare oder textgebundene Erörterung vergleichen; Funktion, Adressat und Qualitätsunterschiede herausarbeiten. RSA-orientiert: umfangreichere Materialien, selbstständige Auswahl, differenzierte Textbelege und komplexere Schreibaufträge.</x:v>
      </x:c>
      <x:c r="G37" s="115" t="str">
        <x:v>de_k9_st33_eroerterung_beispiel</x:v>
      </x:c>
      <x:c r="H37" s="176" t="e">
        <x:f>HYPERLINK("schueler/de_k9_st33_eroerterung_beispiel_app.html","Lernmodul öffnen")</x:f>
      </x:c>
      <x:c r="I37" s="177" t="e">
        <x:f>HYPERLINK("lehrer/de_k9_st33_eroerterung_beispiel_orga.html","Vorbereitung öffnen")</x:f>
      </x:c>
    </x:row>
    <x:row r="38" ht="65" customHeight="1">
      <x:c r="A38" s="142" t="n">
        <x:v>9</x:v>
      </x:c>
      <x:c r="B38" s="115" t="str">
        <x:v>Schreiben</x:v>
      </x:c>
      <x:c r="C38" s="148" t="n">
        <x:v>34</x:v>
      </x:c>
      <x:c r="D38" s="115" t="str">
        <x:v>Argumentieren und erörtern: Schreibziel und Kriterien klären</x:v>
      </x:c>
      <x:c r="E38" s="115" t="str">
        <x:v>Schreibziel „eine Streitfrage mit geordneten Argumenten bearbeiten“ verstehen; eine kurze Kriterienliste auf ein Beispiel anwenden. HSA-orientiert: überschaubare Materialien, klarer Schreibrahmen, gesicherte Grundoperatoren und lebensweltlicher Bezug.</x:v>
      </x:c>
      <x:c r="F38" s="115" t="str">
        <x:v>Schreibziel „eine Streitfrage mit geordneten Argumenten bearbeiten“ präzisieren; Kriterien gewichten und auf unterschiedliche Schreibsituationen übertragen. RSA-orientiert: umfangreichere Materialien, selbstständige Auswahl, differenzierte Textbelege und komplexere Schreibaufträge.</x:v>
      </x:c>
      <x:c r="G38" s="115" t="str">
        <x:v>de_k9_st34_eroerterung_kriterien</x:v>
      </x:c>
      <x:c r="H38" s="176" t="e">
        <x:f>HYPERLINK("schueler/de_k9_st34_eroerterung_kriterien_app.html","Lernmodul öffnen")</x:f>
      </x:c>
      <x:c r="I38" s="177" t="e">
        <x:f>HYPERLINK("lehrer/de_k9_st34_eroerterung_kriterien_orga.html","Vorbereitung öffnen")</x:f>
      </x:c>
    </x:row>
    <x:row r="39" ht="65" customHeight="1">
      <x:c r="A39" s="142" t="n">
        <x:v>9</x:v>
      </x:c>
      <x:c r="B39" s="115" t="str">
        <x:v>Lesen/Umgang mit Texten</x:v>
      </x:c>
      <x:c r="C39" s="148" t="n">
        <x:v>35</x:v>
      </x:c>
      <x:c r="D39" s="115" t="str">
        <x:v>Argumentieren und erörtern: Inhalte auswählen und ordnen</x:v>
      </x:c>
      <x:c r="E39" s="115" t="str">
        <x:v>Materialauswertung, Gegenposition und Gewichtung mit Leitfragen sammeln und in einer vorgegebenen Reihenfolge ordnen. HSA-orientiert: überschaubare Materialien, klarer Schreibrahmen, gesicherte Grundoperatoren und lebensweltlicher Bezug.</x:v>
      </x:c>
      <x:c r="F39" s="115" t="str">
        <x:v>Materialauswertung, Gegenposition und Gewichtung selbstständig auswählen, gewichten und in einer passenden Gliederung strukturieren. RSA-orientiert: umfangreichere Materialien, selbstständige Auswahl, differenzierte Textbelege und komplexere Schreibaufträge.</x:v>
      </x:c>
      <x:c r="G39" s="115" t="str">
        <x:v>de_k9_st35_eroerterung_inhalte_ordnen</x:v>
      </x:c>
      <x:c r="H39" s="176" t="e">
        <x:f>HYPERLINK("schueler/de_k9_st35_eroerterung_inhalte_ordnen_app.html","Lernmodul öffnen")</x:f>
      </x:c>
      <x:c r="I39" s="177" t="e">
        <x:f>HYPERLINK("lehrer/de_k9_st35_eroerterung_inhalte_ordnen_orga.html","Vorbereitung öffnen")</x:f>
      </x:c>
    </x:row>
    <x:row r="40" ht="65" customHeight="1">
      <x:c r="A40" s="142" t="n">
        <x:v>9</x:v>
      </x:c>
      <x:c r="B40" s="115" t="str">
        <x:v>Sprache untersuchen</x:v>
      </x:c>
      <x:c r="C40" s="148" t="n">
        <x:v>36</x:v>
      </x:c>
      <x:c r="D40" s="115" t="str">
        <x:v>Argumentieren und erörtern: passende sprachliche Mittel verwenden</x:v>
      </x:c>
      <x:c r="E40" s="115" t="str">
        <x:v>Argumentationsverknüpfungen, sachlicher Stil, Schlussfolgerung in Übungen erkennen und nach Satzmustern anwenden. HSA-orientiert: überschaubare Materialien, klarer Schreibrahmen, gesicherte Grundoperatoren und lebensweltlicher Bezug.</x:v>
      </x:c>
      <x:c r="F40" s="115" t="str">
        <x:v>Argumentationsverknüpfungen, sachlicher Stil, Schlussfolgerung hinsichtlich Wirkung und Angemessenheit prüfen und gezielt variieren. RSA-orientiert: umfangreichere Materialien, selbstständige Auswahl, differenzierte Textbelege und komplexere Schreibaufträge.</x:v>
      </x:c>
      <x:c r="G40" s="115" t="str">
        <x:v>de_k9_st36_eroerterung_sprachmittel</x:v>
      </x:c>
      <x:c r="H40" s="176" t="e">
        <x:f>HYPERLINK("schueler/de_k9_st36_eroerterung_sprachmittel_app.html","Lernmodul öffnen")</x:f>
      </x:c>
      <x:c r="I40" s="177" t="e">
        <x:f>HYPERLINK("lehrer/de_k9_st36_eroerterung_sprachmittel_orga.html","Vorbereitung öffnen")</x:f>
      </x:c>
    </x:row>
    <x:row r="41" ht="65" customHeight="1">
      <x:c r="A41" s="142" t="n">
        <x:v>9</x:v>
      </x:c>
      <x:c r="B41" s="115" t="str">
        <x:v>Schreiben</x:v>
      </x:c>
      <x:c r="C41" s="148" t="n">
        <x:v>37</x:v>
      </x:c>
      <x:c r="D41" s="115" t="str">
        <x:v>Argumentieren und erörtern: einen Schreibplan erstellen</x:v>
      </x:c>
      <x:c r="E41" s="115" t="str">
        <x:v>Einen vorstrukturierten Schreibplan ausfüllen; Einleitung, Hauptteil und Schluss festlegen. HSA-orientiert: überschaubare Materialien, klarer Schreibrahmen, gesicherte Grundoperatoren und lebensweltlicher Bezug.</x:v>
      </x:c>
      <x:c r="F41" s="115" t="str">
        <x:v>Einen eigenen Schreibplan mit Teilzielen, Belegen und sprachlichen Mitteln entwickeln. RSA-orientiert: umfangreichere Materialien, selbstständige Auswahl, differenzierte Textbelege und komplexere Schreibaufträge.</x:v>
      </x:c>
      <x:c r="G41" s="115" t="str">
        <x:v>de_k9_st37_eroerterung_schreibplan</x:v>
      </x:c>
      <x:c r="H41" s="176" t="e">
        <x:f>HYPERLINK("schueler/de_k9_st37_eroerterung_schreibplan_app.html","Lernmodul öffnen")</x:f>
      </x:c>
      <x:c r="I41" s="177" t="e">
        <x:f>HYPERLINK("lehrer/de_k9_st37_eroerterung_schreibplan_orga.html","Vorbereitung öffnen")</x:f>
      </x:c>
    </x:row>
    <x:row r="42" ht="65" customHeight="1">
      <x:c r="A42" s="142" t="n">
        <x:v>9</x:v>
      </x:c>
      <x:c r="B42" s="115" t="str">
        <x:v>Schreiben</x:v>
      </x:c>
      <x:c r="C42" s="148" t="n">
        <x:v>38</x:v>
      </x:c>
      <x:c r="D42" s="115" t="str">
        <x:v>Argumentieren und erörtern: einen ersten Textentwurf verfassen</x:v>
      </x:c>
      <x:c r="E42" s="115" t="str">
        <x:v>Erörterung mithilfe von Schreibrahmen, Satzanfängen und Wortbank verfassen. HSA-orientiert: überschaubare Materialien, klarer Schreibrahmen, gesicherte Grundoperatoren und lebensweltlicher Bezug.</x:v>
      </x:c>
      <x:c r="F42" s="115" t="str">
        <x:v>Erörterung selbstständig, adressatenbezogen und sprachlich differenziert verfassen. RSA-orientiert: umfangreichere Materialien, selbstständige Auswahl, differenzierte Textbelege und komplexere Schreibaufträge.</x:v>
      </x:c>
      <x:c r="G42" s="115" t="str">
        <x:v>de_k9_st38_eroerterung_entwurf</x:v>
      </x:c>
      <x:c r="H42" s="176" t="e">
        <x:f>HYPERLINK("schueler/de_k9_st38_eroerterung_entwurf_app.html","Lernmodul öffnen")</x:f>
      </x:c>
      <x:c r="I42" s="177" t="e">
        <x:f>HYPERLINK("lehrer/de_k9_st38_eroerterung_entwurf_orga.html","Vorbereitung öffnen")</x:f>
      </x:c>
    </x:row>
    <x:row r="43" ht="65" customHeight="1">
      <x:c r="A43" s="142" t="n">
        <x:v>9</x:v>
      </x:c>
      <x:c r="B43" s="115" t="str">
        <x:v>Schreiben</x:v>
      </x:c>
      <x:c r="C43" s="148" t="n">
        <x:v>39</x:v>
      </x:c>
      <x:c r="D43" s="115" t="str">
        <x:v>Argumentieren und erörtern: Text kriteriengeleitet überarbeiten</x:v>
      </x:c>
      <x:c r="E43" s="115" t="str">
        <x:v>Text mit einer kurzen Prüfliste überarbeiten; einen inhaltlichen und einen sprachlichen Fehler verbessern. HSA-orientiert: überschaubare Materialien, klarer Schreibrahmen, gesicherte Grundoperatoren und lebensweltlicher Bezug.</x:v>
      </x:c>
      <x:c r="F43" s="115" t="str">
        <x:v>Text in mehreren Überarbeitungsschritten prüfen; Aufbau, Kohärenz, Stil und Normrichtigkeit gezielt optimieren. RSA-orientiert: umfangreichere Materialien, selbstständige Auswahl, differenzierte Textbelege und komplexere Schreibaufträge.</x:v>
      </x:c>
      <x:c r="G43" s="115" t="str">
        <x:v>de_k9_st39_eroerterung_ueberarbeiten</x:v>
      </x:c>
      <x:c r="H43" s="176" t="e">
        <x:f>HYPERLINK("schueler/de_k9_st39_eroerterung_ueberarbeiten_app.html","Lernmodul öffnen")</x:f>
      </x:c>
      <x:c r="I43" s="177" t="e">
        <x:f>HYPERLINK("lehrer/de_k9_st39_eroerterung_ueberarbeiten_orga.html","Vorbereitung öffnen")</x:f>
      </x:c>
    </x:row>
    <x:row r="44" ht="65" customHeight="1">
      <x:c r="A44" s="142" t="n">
        <x:v>9</x:v>
      </x:c>
      <x:c r="B44" s="115" t="str">
        <x:v>Sprechen und Zuhören</x:v>
      </x:c>
      <x:c r="C44" s="148" t="n">
        <x:v>40</x:v>
      </x:c>
      <x:c r="D44" s="115" t="str">
        <x:v>Argumentieren und erörtern: Texte vorstellen und bewerten</x:v>
      </x:c>
      <x:c r="E44" s="115" t="str">
        <x:v>Ausgewählte Passage vorlesen oder erläutern; Rückmeldung mit einfachen Satzmustern geben. HSA-orientiert: überschaubare Materialien, klarer Schreibrahmen, gesicherte Grundoperatoren und lebensweltlicher Bezug.</x:v>
      </x:c>
      <x:c r="F44" s="115" t="str">
        <x:v>Textwirkung und Schreibentscheidungen erläutern; differenziertes Peer-Feedback geben und begründet annehmen. RSA-orientiert: umfangreichere Materialien, selbstständige Auswahl, differenzierte Textbelege und komplexere Schreibaufträge.</x:v>
      </x:c>
      <x:c r="G44" s="115" t="str">
        <x:v>de_k9_st40_eroerterung_vorstellen</x:v>
      </x:c>
      <x:c r="H44" s="176" t="e">
        <x:f>HYPERLINK("schueler/de_k9_st40_eroerterung_vorstellen_app.html","Lernmodul öffnen")</x:f>
      </x:c>
      <x:c r="I44" s="177" t="e">
        <x:f>HYPERLINK("lehrer/de_k9_st40_eroerterung_vorstellen_orga.html","Vorbereitung öffnen")</x:f>
      </x:c>
    </x:row>
    <x:row r="45" ht="65" customHeight="1">
      <x:c r="A45" s="142" t="n">
        <x:v>9</x:v>
      </x:c>
      <x:c r="B45" s="115" t="str">
        <x:v>Sprechen und Zuhören</x:v>
      </x:c>
      <x:c r="C45" s="148" t="n">
        <x:v>41</x:v>
      </x:c>
      <x:c r="D45" s="115" t="str">
        <x:v>Medienkritik und soziale Netzwerke: Vorwissen und Positionen klären</x:v>
      </x:c>
      <x:c r="E45" s="115" t="str">
        <x:v>Eigene Erfahrungen zu Nachrichten, Plattformen und algorithmische Auswahl benennen; zentrale Begriffe mit Beispielen klären. HSA-orientiert: überschaubare Materialien, klarer Schreibrahmen, gesicherte Grundoperatoren und lebensweltlicher Bezug.</x:v>
      </x:c>
      <x:c r="F45" s="115" t="str">
        <x:v>Vorwissen zu Nachrichten, Plattformen und algorithmische Auswahl strukturieren; erste Positionen formulieren und mögliche Konflikte benennen. RSA-orientiert: umfangreichere Materialien, selbstständige Auswahl, differenzierte Textbelege und komplexere Schreibaufträge.</x:v>
      </x:c>
      <x:c r="G45" s="115" t="str">
        <x:v>de_k9_st41_medienkritik_einstieg</x:v>
      </x:c>
      <x:c r="H45" s="176" t="e">
        <x:f>HYPERLINK("schueler/de_k9_st41_medienkritik_einstieg_app.html","Lernmodul öffnen")</x:f>
      </x:c>
      <x:c r="I45" s="177" t="e">
        <x:f>HYPERLINK("lehrer/de_k9_st41_medienkritik_einstieg_orga.html","Vorbereitung öffnen")</x:f>
      </x:c>
    </x:row>
    <x:row r="46" ht="65" customHeight="1">
      <x:c r="A46" s="142" t="n">
        <x:v>9</x:v>
      </x:c>
      <x:c r="B46" s="115" t="str">
        <x:v>Lesen/Umgang mit Texten</x:v>
      </x:c>
      <x:c r="C46" s="148" t="n">
        <x:v>42</x:v>
      </x:c>
      <x:c r="D46" s="115" t="str">
        <x:v>Medienkritik und soziale Netzwerke: Quellen und Materialien erschließen</x:v>
      </x:c>
      <x:c r="E46" s="115" t="str">
        <x:v>Kurze Materialien lesen oder ansehen; Hauptaussagen mit Leitfragen festhalten. HSA-orientiert: überschaubare Materialien, klarer Schreibrahmen, gesicherte Grundoperatoren und lebensweltlicher Bezug.</x:v>
      </x:c>
      <x:c r="F46" s="115" t="str">
        <x:v>Unterschiedliche Materialien selbstständig erschließen; Aussage, Intention und Kontext bestimmen. RSA-orientiert: umfangreichere Materialien, selbstständige Auswahl, differenzierte Textbelege und komplexere Schreibaufträge.</x:v>
      </x:c>
      <x:c r="G46" s="115" t="str">
        <x:v>de_k9_st42_medienkritik_quellen</x:v>
      </x:c>
      <x:c r="H46" s="176" t="e">
        <x:f>HYPERLINK("schueler/de_k9_st42_medienkritik_quellen_app.html","Lernmodul öffnen")</x:f>
      </x:c>
      <x:c r="I46" s="177" t="e">
        <x:f>HYPERLINK("lehrer/de_k9_st42_medienkritik_quellen_orga.html","Vorbereitung öffnen")</x:f>
      </x:c>
    </x:row>
    <x:row r="47" ht="65" customHeight="1">
      <x:c r="A47" s="142" t="n">
        <x:v>9</x:v>
      </x:c>
      <x:c r="B47" s="115" t="str">
        <x:v>Lesen/Umgang mit Texten</x:v>
      </x:c>
      <x:c r="C47" s="148" t="n">
        <x:v>43</x:v>
      </x:c>
      <x:c r="D47" s="115" t="str">
        <x:v>Medienkritik und soziale Netzwerke: Qualitätskriterien anwenden</x:v>
      </x:c>
      <x:c r="E47" s="115" t="str">
        <x:v>Quelle, Absicht, Beleg, Werbung und Datenschutz in einer Checkliste anwenden und Auffälligkeiten markieren. HSA-orientiert: überschaubare Materialien, klarer Schreibrahmen, gesicherte Grundoperatoren und lebensweltlicher Bezug.</x:v>
      </x:c>
      <x:c r="F47" s="115" t="str">
        <x:v>Quelle, Absicht, Beleg, Werbung und Datenschutz gewichten, auf Grenzfälle anwenden und begründete Qualitätsurteile formulieren. RSA-orientiert: umfangreichere Materialien, selbstständige Auswahl, differenzierte Textbelege und komplexere Schreibaufträge.</x:v>
      </x:c>
      <x:c r="G47" s="115" t="str">
        <x:v>de_k9_st43_medienkritik_kriterien</x:v>
      </x:c>
      <x:c r="H47" s="176" t="e">
        <x:f>HYPERLINK("schueler/de_k9_st43_medienkritik_kriterien_app.html","Lernmodul öffnen")</x:f>
      </x:c>
      <x:c r="I47" s="177" t="e">
        <x:f>HYPERLINK("lehrer/de_k9_st43_medienkritik_kriterien_orga.html","Vorbereitung öffnen")</x:f>
      </x:c>
    </x:row>
    <x:row r="48" ht="65" customHeight="1">
      <x:c r="A48" s="142" t="n">
        <x:v>9</x:v>
      </x:c>
      <x:c r="B48" s="115" t="str">
        <x:v>Lesen/Umgang mit Texten</x:v>
      </x:c>
      <x:c r="C48" s="148" t="n">
        <x:v>44</x:v>
      </x:c>
      <x:c r="D48" s="115" t="str">
        <x:v>Medienkritik und soziale Netzwerke: Darstellungen vergleichen</x:v>
      </x:c>
      <x:c r="E48" s="115" t="str">
        <x:v>Informationsangebot, kommentar und personalisierter feed nach vorgegebenen Merkmalen vergleichen. HSA-orientiert: überschaubare Materialien, klarer Schreibrahmen, gesicherte Grundoperatoren und lebensweltlicher Bezug.</x:v>
      </x:c>
      <x:c r="F48" s="115" t="str">
        <x:v>Informationsangebot, kommentar und personalisierter feed hinsichtlich Informationsauswahl, Gestaltung, Wirkung und Interessen vergleichen. RSA-orientiert: umfangreichere Materialien, selbstständige Auswahl, differenzierte Textbelege und komplexere Schreibaufträge.</x:v>
      </x:c>
      <x:c r="G48" s="115" t="str">
        <x:v>de_k9_st44_medienkritik_vergleichen</x:v>
      </x:c>
      <x:c r="H48" s="176" t="e">
        <x:f>HYPERLINK("schueler/de_k9_st44_medienkritik_vergleichen_app.html","Lernmodul öffnen")</x:f>
      </x:c>
      <x:c r="I48" s="177" t="e">
        <x:f>HYPERLINK("lehrer/de_k9_st44_medienkritik_vergleichen_orga.html","Vorbereitung öffnen")</x:f>
      </x:c>
    </x:row>
    <x:row r="49" ht="65" customHeight="1">
      <x:c r="A49" s="142" t="n">
        <x:v>9</x:v>
      </x:c>
      <x:c r="B49" s="115" t="str">
        <x:v>Schreiben</x:v>
      </x:c>
      <x:c r="C49" s="148" t="n">
        <x:v>45</x:v>
      </x:c>
      <x:c r="D49" s="115" t="str">
        <x:v>Medienkritik und soziale Netzwerke: Informationen prüfen und ordnen</x:v>
      </x:c>
      <x:c r="E49" s="115" t="str">
        <x:v>Informationen aus vorgegebenen Quellen auswählen; Fundstellen notieren und geordnet ablegen. HSA-orientiert: überschaubare Materialien, klarer Schreibrahmen, gesicherte Grundoperatoren und lebensweltlicher Bezug.</x:v>
      </x:c>
      <x:c r="F49" s="115" t="str">
        <x:v>Recherchefrage entwickeln; Quellen prüfen, Informationen abgleichen und korrekt dokumentieren. RSA-orientiert: umfangreichere Materialien, selbstständige Auswahl, differenzierte Textbelege und komplexere Schreibaufträge.</x:v>
      </x:c>
      <x:c r="G49" s="115" t="str">
        <x:v>de_k9_st45_medienkritik_recherche</x:v>
      </x:c>
      <x:c r="H49" s="176" t="e">
        <x:f>HYPERLINK("schueler/de_k9_st45_medienkritik_recherche_app.html","Lernmodul öffnen")</x:f>
      </x:c>
      <x:c r="I49" s="177" t="e">
        <x:f>HYPERLINK("lehrer/de_k9_st45_medienkritik_recherche_orga.html","Vorbereitung öffnen")</x:f>
      </x:c>
    </x:row>
    <x:row r="50" ht="65" customHeight="1">
      <x:c r="A50" s="142" t="n">
        <x:v>9</x:v>
      </x:c>
      <x:c r="B50" s="115" t="str">
        <x:v>Schreiben</x:v>
      </x:c>
      <x:c r="C50" s="148" t="n">
        <x:v>46</x:v>
      </x:c>
      <x:c r="D50" s="115" t="str">
        <x:v>Medienkritik und soziale Netzwerke: Produkt planen</x:v>
      </x:c>
      <x:c r="E50" s="115" t="str">
        <x:v>Für Medienkritik einen vorgegebenen Arbeitsplan ergänzen; Aufgaben verteilen. HSA-orientiert: überschaubare Materialien, klarer Schreibrahmen, gesicherte Grundoperatoren und lebensweltlicher Bezug.</x:v>
      </x:c>
      <x:c r="F50" s="115" t="str">
        <x:v>Für Medienkritik Zielgruppe, Aufbau, Medienwahl, Zeitplan und Qualitätskontrolle selbstständig festlegen. RSA-orientiert: umfangreichere Materialien, selbstständige Auswahl, differenzierte Textbelege und komplexere Schreibaufträge.</x:v>
      </x:c>
      <x:c r="G50" s="115" t="str">
        <x:v>de_k9_st46_medienkritik_planen</x:v>
      </x:c>
      <x:c r="H50" s="176" t="e">
        <x:f>HYPERLINK("schueler/de_k9_st46_medienkritik_planen_app.html","Lernmodul öffnen")</x:f>
      </x:c>
      <x:c r="I50" s="177" t="e">
        <x:f>HYPERLINK("lehrer/de_k9_st46_medienkritik_planen_orga.html","Vorbereitung öffnen")</x:f>
      </x:c>
    </x:row>
    <x:row r="51" ht="65" customHeight="1">
      <x:c r="A51" s="142" t="n">
        <x:v>9</x:v>
      </x:c>
      <x:c r="B51" s="115" t="str">
        <x:v>Schreiben</x:v>
      </x:c>
      <x:c r="C51" s="148" t="n">
        <x:v>47</x:v>
      </x:c>
      <x:c r="D51" s="115" t="str">
        <x:v>Medienkritik und soziale Netzwerke: Produkt erstellen</x:v>
      </x:c>
      <x:c r="E51" s="115" t="str">
        <x:v>Medienkritik mit Vorlage und klaren Teilaufträgen erstellen. HSA-orientiert: überschaubare Materialien, klarer Schreibrahmen, gesicherte Grundoperatoren und lebensweltlicher Bezug.</x:v>
      </x:c>
      <x:c r="F51" s="115" t="str">
        <x:v>Medienkritik selbstständig, adressatengerecht und quellenbewusst erstellen. RSA-orientiert: umfangreichere Materialien, selbstständige Auswahl, differenzierte Textbelege und komplexere Schreibaufträge.</x:v>
      </x:c>
      <x:c r="G51" s="115" t="str">
        <x:v>de_k9_st47_medienkritik_erstellen</x:v>
      </x:c>
      <x:c r="H51" s="176" t="e">
        <x:f>HYPERLINK("schueler/de_k9_st47_medienkritik_erstellen_app.html","Lernmodul öffnen")</x:f>
      </x:c>
      <x:c r="I51" s="177" t="e">
        <x:f>HYPERLINK("lehrer/de_k9_st47_medienkritik_erstellen_orga.html","Vorbereitung öffnen")</x:f>
      </x:c>
    </x:row>
    <x:row r="52" ht="65" customHeight="1">
      <x:c r="A52" s="142" t="n">
        <x:v>9</x:v>
      </x:c>
      <x:c r="B52" s="115" t="str">
        <x:v>Sprechen und Zuhören</x:v>
      </x:c>
      <x:c r="C52" s="148" t="n">
        <x:v>48</x:v>
      </x:c>
      <x:c r="D52" s="115" t="str">
        <x:v>Medienkritik und soziale Netzwerke: präsentieren und reflektieren</x:v>
      </x:c>
      <x:c r="E52" s="115" t="str">
        <x:v>Produkt kurz vorstellen; Rückmeldung anhand weniger Kriterien geben und annehmen. HSA-orientiert: überschaubare Materialien, klarer Schreibrahmen, gesicherte Grundoperatoren und lebensweltlicher Bezug.</x:v>
      </x:c>
      <x:c r="F52" s="115" t="str">
        <x:v>Produkt überzeugend präsentieren; Arbeitsprozess, Quellenwahl und Wirkung kritisch reflektieren. RSA-orientiert: umfangreichere Materialien, selbstständige Auswahl, differenzierte Textbelege und komplexere Schreibaufträge.</x:v>
      </x:c>
      <x:c r="G52" s="115" t="str">
        <x:v>de_k9_st48_medienkritik_reflexion</x:v>
      </x:c>
      <x:c r="H52" s="176" t="e">
        <x:f>HYPERLINK("schueler/de_k9_st48_medienkritik_reflexion_app.html","Lernmodul öffnen")</x:f>
      </x:c>
      <x:c r="I52" s="177" t="e">
        <x:f>HYPERLINK("lehrer/de_k9_st48_medienkritik_reflexion_orga.html","Vorbereitung öffnen")</x:f>
      </x:c>
    </x:row>
    <x:row r="53" ht="65" customHeight="1">
      <x:c r="A53" s="142" t="n">
        <x:v>9</x:v>
      </x:c>
      <x:c r="B53" s="115" t="str">
        <x:v>Sprache untersuchen</x:v>
      </x:c>
      <x:c r="C53" s="148" t="n">
        <x:v>49</x:v>
      </x:c>
      <x:c r="D53" s="115" t="str">
        <x:v>Grammatik, Stil und Zeichensetzung: Lernstand feststellen</x:v>
      </x:c>
      <x:c r="E53" s="115" t="str">
        <x:v>Kurze Diagnose zu Satzbau, Tempus, Modus und Kommasetzung bearbeiten; eigene Unsicherheiten markieren. HSA-orientiert: überschaubare Materialien, klarer Schreibrahmen, gesicherte Grundoperatoren und lebensweltlicher Bezug.</x:v>
      </x:c>
      <x:c r="F53" s="115" t="str">
        <x:v>Diagnose zu Satzbau, Tempus, Modus und Kommasetzung auswerten; Fehlermuster benennen und persönliche Lernziele ableiten. RSA-orientiert: umfangreichere Materialien, selbstständige Auswahl, differenzierte Textbelege und komplexere Schreibaufträge.</x:v>
      </x:c>
      <x:c r="G53" s="115" t="str">
        <x:v>de_k9_st49_sprache_diagnose</x:v>
      </x:c>
      <x:c r="H53" s="176" t="e">
        <x:f>HYPERLINK("schueler/de_k9_st49_sprache_diagnose_app.html","Lernmodul öffnen")</x:f>
      </x:c>
      <x:c r="I53" s="177" t="e">
        <x:f>HYPERLINK("lehrer/de_k9_st49_sprache_diagnose_orga.html","Vorbereitung öffnen")</x:f>
      </x:c>
    </x:row>
    <x:row r="54" ht="65" customHeight="1">
      <x:c r="A54" s="142" t="n">
        <x:v>9</x:v>
      </x:c>
      <x:c r="B54" s="115" t="str">
        <x:v>Sprache untersuchen</x:v>
      </x:c>
      <x:c r="C54" s="148" t="n">
        <x:v>50</x:v>
      </x:c>
      <x:c r="D54" s="115" t="str">
        <x:v>Grammatik, Stil und Zeichensetzung: Grundbegriffe sichern</x:v>
      </x:c>
      <x:c r="E54" s="115" t="str">
        <x:v>Satzgefüge, indirekte Rede, Aktiv und Passiv an einfachen Beispielen erkennen und mit Merkkarten sichern. HSA-orientiert: überschaubare Materialien, klarer Schreibrahmen, gesicherte Grundoperatoren und lebensweltlicher Bezug.</x:v>
      </x:c>
      <x:c r="F54" s="115" t="str">
        <x:v>Satzgefüge, indirekte Rede, Aktiv und Passiv fachsprachlich erklären, voneinander abgrenzen und in komplexeren Beispielen bestimmen. RSA-orientiert: umfangreichere Materialien, selbstständige Auswahl, differenzierte Textbelege und komplexere Schreibaufträge.</x:v>
      </x:c>
      <x:c r="G54" s="115" t="str">
        <x:v>de_k9_st50_sprache_grundbegriffe</x:v>
      </x:c>
      <x:c r="H54" s="176" t="e">
        <x:f>HYPERLINK("schueler/de_k9_st50_sprache_grundbegriffe_app.html","Lernmodul öffnen")</x:f>
      </x:c>
      <x:c r="I54" s="177" t="e">
        <x:f>HYPERLINK("lehrer/de_k9_st50_sprache_grundbegriffe_orga.html","Vorbereitung öffnen")</x:f>
      </x:c>
    </x:row>
    <x:row r="55" ht="65" customHeight="1">
      <x:c r="A55" s="142" t="n">
        <x:v>9</x:v>
      </x:c>
      <x:c r="B55" s="115" t="str">
        <x:v>Sprache untersuchen</x:v>
      </x:c>
      <x:c r="C55" s="148" t="n">
        <x:v>51</x:v>
      </x:c>
      <x:c r="D55" s="115" t="str">
        <x:v>Grammatik, Stil und Zeichensetzung: Verfahren anwenden</x:v>
      </x:c>
      <x:c r="E55" s="115" t="str">
        <x:v>grammatische Analyse und Stilprobe Schritt für Schritt anwenden; Entscheidungen mündlich begründen. HSA-orientiert: überschaubare Materialien, klarer Schreibrahmen, gesicherte Grundoperatoren und lebensweltlicher Bezug.</x:v>
      </x:c>
      <x:c r="F55" s="115" t="str">
        <x:v>grammatische Analyse und Stilprobe selbstständig auswählen, kombinieren und auf Zweifelsfälle übertragen. RSA-orientiert: umfangreichere Materialien, selbstständige Auswahl, differenzierte Textbelege und komplexere Schreibaufträge.</x:v>
      </x:c>
      <x:c r="G55" s="115" t="str">
        <x:v>de_k9_st51_sprache_verfahren</x:v>
      </x:c>
      <x:c r="H55" s="176" t="e">
        <x:f>HYPERLINK("schueler/de_k9_st51_sprache_verfahren_app.html","Lernmodul öffnen")</x:f>
      </x:c>
      <x:c r="I55" s="177" t="e">
        <x:f>HYPERLINK("lehrer/de_k9_st51_sprache_verfahren_orga.html","Vorbereitung öffnen")</x:f>
      </x:c>
    </x:row>
    <x:row r="56" ht="65" customHeight="1">
      <x:c r="A56" s="142" t="n">
        <x:v>9</x:v>
      </x:c>
      <x:c r="B56" s="115" t="str">
        <x:v>Sprache untersuchen</x:v>
      </x:c>
      <x:c r="C56" s="148" t="n">
        <x:v>52</x:v>
      </x:c>
      <x:c r="D56" s="115" t="str">
        <x:v>Grammatik, Stil und Zeichensetzung: Formen und Funktionen untersuchen</x:v>
      </x:c>
      <x:c r="E56" s="115" t="str">
        <x:v>Formen bilden und ihre Aufgabe im Satz mit Leitfragen beschreiben. HSA-orientiert: überschaubare Materialien, klarer Schreibrahmen, gesicherte Grundoperatoren und lebensweltlicher Bezug.</x:v>
      </x:c>
      <x:c r="F56" s="115" t="str">
        <x:v>Form, Funktion und Wirkung im Satz oder Text untersuchen; alternative Formulierungen vergleichen. RSA-orientiert: umfangreichere Materialien, selbstständige Auswahl, differenzierte Textbelege und komplexere Schreibaufträge.</x:v>
      </x:c>
      <x:c r="G56" s="115" t="str">
        <x:v>de_k9_st52_sprache_funktion</x:v>
      </x:c>
      <x:c r="H56" s="176" t="e">
        <x:f>HYPERLINK("schueler/de_k9_st52_sprache_funktion_app.html","Lernmodul öffnen")</x:f>
      </x:c>
      <x:c r="I56" s="177" t="e">
        <x:f>HYPERLINK("lehrer/de_k9_st52_sprache_funktion_orga.html","Vorbereitung öffnen")</x:f>
      </x:c>
    </x:row>
    <x:row r="57" ht="65" customHeight="1">
      <x:c r="A57" s="142" t="n">
        <x:v>9</x:v>
      </x:c>
      <x:c r="B57" s="115" t="str">
        <x:v>Schreiben</x:v>
      </x:c>
      <x:c r="C57" s="148" t="n">
        <x:v>53</x:v>
      </x:c>
      <x:c r="D57" s="115" t="str">
        <x:v>Grammatik, Stil und Zeichensetzung: Wissen im eigenen Text nutzen</x:v>
      </x:c>
      <x:c r="E57" s="115" t="str">
        <x:v>Prüfungstexte und eigene fehlerschwerpunkte nach Vorgabe verfassen und die geübten Strukturen farbig markieren. HSA-orientiert: überschaubare Materialien, klarer Schreibrahmen, gesicherte Grundoperatoren und lebensweltlicher Bezug.</x:v>
      </x:c>
      <x:c r="F57" s="115" t="str">
        <x:v>Prüfungstexte und eigene fehlerschwerpunkte bewusst gestalten und sprachliche Entscheidungen kommentieren. RSA-orientiert: umfangreichere Materialien, selbstständige Auswahl, differenzierte Textbelege und komplexere Schreibaufträge.</x:v>
      </x:c>
      <x:c r="G57" s="115" t="str">
        <x:v>de_k9_st53_sprache_anwenden</x:v>
      </x:c>
      <x:c r="H57" s="176" t="e">
        <x:f>HYPERLINK("schueler/de_k9_st53_sprache_anwenden_app.html","Lernmodul öffnen")</x:f>
      </x:c>
      <x:c r="I57" s="177" t="e">
        <x:f>HYPERLINK("lehrer/de_k9_st53_sprache_anwenden_orga.html","Vorbereitung öffnen")</x:f>
      </x:c>
    </x:row>
    <x:row r="58" ht="65" customHeight="1">
      <x:c r="A58" s="142" t="n">
        <x:v>9</x:v>
      </x:c>
      <x:c r="B58" s="115" t="str">
        <x:v>Sprache untersuchen</x:v>
      </x:c>
      <x:c r="C58" s="148" t="n">
        <x:v>54</x:v>
      </x:c>
      <x:c r="D58" s="115" t="str">
        <x:v>Grammatik, Stil und Zeichensetzung: Fehler finden und korrigieren</x:v>
      </x:c>
      <x:c r="E58" s="115" t="str">
        <x:v>Typische Fehler in kurzen Sätzen finden; passende Regelkarte auswählen und korrigieren. HSA-orientiert: überschaubare Materialien, klarer Schreibrahmen, gesicherte Grundoperatoren und lebensweltlicher Bezug.</x:v>
      </x:c>
      <x:c r="F58" s="115" t="str">
        <x:v>Fehler systematisch diagnostizieren, Regelbezug herstellen und mehrere Korrekturmöglichkeiten bewerten. RSA-orientiert: umfangreichere Materialien, selbstständige Auswahl, differenzierte Textbelege und komplexere Schreibaufträge.</x:v>
      </x:c>
      <x:c r="G58" s="115" t="str">
        <x:v>de_k9_st54_sprache_fehler</x:v>
      </x:c>
      <x:c r="H58" s="176" t="e">
        <x:f>HYPERLINK("schueler/de_k9_st54_sprache_fehler_app.html","Lernmodul öffnen")</x:f>
      </x:c>
      <x:c r="I58" s="177" t="e">
        <x:f>HYPERLINK("lehrer/de_k9_st54_sprache_fehler_orga.html","Vorbereitung öffnen")</x:f>
      </x:c>
    </x:row>
    <x:row r="59" ht="65" customHeight="1">
      <x:c r="A59" s="142" t="n">
        <x:v>9</x:v>
      </x:c>
      <x:c r="B59" s="115" t="str">
        <x:v>Sprache untersuchen</x:v>
      </x:c>
      <x:c r="C59" s="148" t="n">
        <x:v>55</x:v>
      </x:c>
      <x:c r="D59" s="115" t="str">
        <x:v>Grammatik, Stil und Zeichensetzung: Transfer auf unbekannte Beispiele</x:v>
      </x:c>
      <x:c r="E59" s="115" t="str">
        <x:v>Neue Beispiele mit Hilfekarte bearbeiten und Lösungen vergleichen. HSA-orientiert: überschaubare Materialien, klarer Schreibrahmen, gesicherte Grundoperatoren und lebensweltlicher Bezug.</x:v>
      </x:c>
      <x:c r="F59" s="115" t="str">
        <x:v>Unbekannte und mehrdeutige Beispiele selbstständig analysieren; Grenzfälle begründet diskutieren. RSA-orientiert: umfangreichere Materialien, selbstständige Auswahl, differenzierte Textbelege und komplexere Schreibaufträge.</x:v>
      </x:c>
      <x:c r="G59" s="115" t="str">
        <x:v>de_k9_st55_sprache_transfer</x:v>
      </x:c>
      <x:c r="H59" s="176" t="e">
        <x:f>HYPERLINK("schueler/de_k9_st55_sprache_transfer_app.html","Lernmodul öffnen")</x:f>
      </x:c>
      <x:c r="I59" s="177" t="e">
        <x:f>HYPERLINK("lehrer/de_k9_st55_sprache_transfer_orga.html","Vorbereitung öffnen")</x:f>
      </x:c>
    </x:row>
    <x:row r="60" ht="65" customHeight="1">
      <x:c r="A60" s="142" t="n">
        <x:v>9</x:v>
      </x:c>
      <x:c r="B60" s="115" t="str">
        <x:v>Schreiben</x:v>
      </x:c>
      <x:c r="C60" s="148" t="n">
        <x:v>56</x:v>
      </x:c>
      <x:c r="D60" s="115" t="str">
        <x:v>Grammatik, Stil und Zeichensetzung: Lernprodukt und Kompetenzcheck</x:v>
      </x:c>
      <x:c r="E60" s="115" t="str">
        <x:v>Merkblatt oder Übungstext erstellen; Grundregeln in einem kurzen Kompetenzcheck anwenden. HSA-orientiert: überschaubare Materialien, klarer Schreibrahmen, gesicherte Grundoperatoren und lebensweltlicher Bezug.</x:v>
      </x:c>
      <x:c r="F60" s="115" t="str">
        <x:v>Erklärprodukt mit eigenen Beispielen erstellen; Regeln in einem anspruchsvollen Kompetenzcheck sicher anwenden. RSA-orientiert: umfangreichere Materialien, selbstständige Auswahl, differenzierte Textbelege und komplexere Schreibaufträge.</x:v>
      </x:c>
      <x:c r="G60" s="115" t="str">
        <x:v>de_k9_st56_sprache_kompetenzcheck</x:v>
      </x:c>
      <x:c r="H60" s="176" t="e">
        <x:f>HYPERLINK("schueler/de_k9_st56_sprache_kompetenzcheck_app.html","Lernmodul öffnen")</x:f>
      </x:c>
      <x:c r="I60" s="177" t="e">
        <x:f>HYPERLINK("lehrer/de_k9_st56_sprache_kompetenzcheck_orga.html","Vorbereitung öffnen")</x:f>
      </x:c>
    </x:row>
    <x:row r="61" ht="65" customHeight="1">
      <x:c r="A61" s="142" t="n">
        <x:v>9</x:v>
      </x:c>
      <x:c r="B61" s="115" t="str">
        <x:v>Lesen/Umgang mit Texten</x:v>
      </x:c>
      <x:c r="C61" s="148" t="n">
        <x:v>57</x:v>
      </x:c>
      <x:c r="D61" s="115" t="str">
        <x:v>Bewerbung und Lebenslauf: Beispieltexte untersuchen</x:v>
      </x:c>
      <x:c r="E61" s="115" t="str">
        <x:v>Ein Beispiel für Bewerbungsunterlagen lesen; Aufbau und typische Formulierungen farbig kennzeichnen. HSA-orientiert: überschaubare Materialien, klarer Schreibrahmen, gesicherte Grundoperatoren und lebensweltlicher Bezug.</x:v>
      </x:c>
      <x:c r="F61" s="115" t="str">
        <x:v>Mehrere Beispiele für Bewerbungsunterlagen vergleichen; Funktion, Adressat und Qualitätsunterschiede herausarbeiten. RSA-orientiert: umfangreichere Materialien, selbstständige Auswahl, differenzierte Textbelege und komplexere Schreibaufträge.</x:v>
      </x:c>
      <x:c r="G61" s="115" t="str">
        <x:v>de_k9_st57_bewerbung_beispiel</x:v>
      </x:c>
      <x:c r="H61" s="176" t="e">
        <x:f>HYPERLINK("schueler/de_k9_st57_bewerbung_beispiel_app.html","Lernmodul öffnen")</x:f>
      </x:c>
      <x:c r="I61" s="177" t="e">
        <x:f>HYPERLINK("lehrer/de_k9_st57_bewerbung_beispiel_orga.html","Vorbereitung öffnen")</x:f>
      </x:c>
    </x:row>
    <x:row r="62" ht="65" customHeight="1">
      <x:c r="A62" s="142" t="n">
        <x:v>9</x:v>
      </x:c>
      <x:c r="B62" s="115" t="str">
        <x:v>Schreiben</x:v>
      </x:c>
      <x:c r="C62" s="148" t="n">
        <x:v>58</x:v>
      </x:c>
      <x:c r="D62" s="115" t="str">
        <x:v>Bewerbung und Lebenslauf: Schreibziel und Kriterien klären</x:v>
      </x:c>
      <x:c r="E62" s="115" t="str">
        <x:v>Schreibziel „Interessen, Fähigkeiten und Erfahrungen passend darstellen“ verstehen; eine kurze Kriterienliste auf ein Beispiel anwenden. HSA-orientiert: überschaubare Materialien, klarer Schreibrahmen, gesicherte Grundoperatoren und lebensweltlicher Bezug.</x:v>
      </x:c>
      <x:c r="F62" s="115" t="str">
        <x:v>Schreibziel „Interessen, Fähigkeiten und Erfahrungen passend darstellen“ präzisieren; Kriterien gewichten und auf unterschiedliche Schreibsituationen übertragen. RSA-orientiert: umfangreichere Materialien, selbstständige Auswahl, differenzierte Textbelege und komplexere Schreibaufträge.</x:v>
      </x:c>
      <x:c r="G62" s="115" t="str">
        <x:v>de_k9_st58_bewerbung_kriterien</x:v>
      </x:c>
      <x:c r="H62" s="176" t="e">
        <x:f>HYPERLINK("schueler/de_k9_st58_bewerbung_kriterien_app.html","Lernmodul öffnen")</x:f>
      </x:c>
      <x:c r="I62" s="177" t="e">
        <x:f>HYPERLINK("lehrer/de_k9_st58_bewerbung_kriterien_orga.html","Vorbereitung öffnen")</x:f>
      </x:c>
    </x:row>
    <x:row r="63" ht="65" customHeight="1">
      <x:c r="A63" s="142" t="n">
        <x:v>9</x:v>
      </x:c>
      <x:c r="B63" s="115" t="str">
        <x:v>Lesen/Umgang mit Texten</x:v>
      </x:c>
      <x:c r="C63" s="148" t="n">
        <x:v>59</x:v>
      </x:c>
      <x:c r="D63" s="115" t="str">
        <x:v>Bewerbung und Lebenslauf: Inhalte auswählen und ordnen</x:v>
      </x:c>
      <x:c r="E63" s="115" t="str">
        <x:v>Stellenanzeige, Anforderungsprofil und Auswahl mit Leitfragen sammeln und in einer vorgegebenen Reihenfolge ordnen. HSA-orientiert: überschaubare Materialien, klarer Schreibrahmen, gesicherte Grundoperatoren und lebensweltlicher Bezug.</x:v>
      </x:c>
      <x:c r="F63" s="115" t="str">
        <x:v>Stellenanzeige, Anforderungsprofil und Auswahl selbstständig auswählen, gewichten und in einer passenden Gliederung strukturieren. RSA-orientiert: umfangreichere Materialien, selbstständige Auswahl, differenzierte Textbelege und komplexere Schreibaufträge.</x:v>
      </x:c>
      <x:c r="G63" s="115" t="str">
        <x:v>de_k9_st59_bewerbung_inhalte_ordnen</x:v>
      </x:c>
      <x:c r="H63" s="176" t="e">
        <x:f>HYPERLINK("schueler/de_k9_st59_bewerbung_inhalte_ordnen_app.html","Lernmodul öffnen")</x:f>
      </x:c>
      <x:c r="I63" s="177" t="e">
        <x:f>HYPERLINK("lehrer/de_k9_st59_bewerbung_inhalte_ordnen_orga.html","Vorbereitung öffnen")</x:f>
      </x:c>
    </x:row>
    <x:row r="64" ht="65" customHeight="1">
      <x:c r="A64" s="142" t="n">
        <x:v>9</x:v>
      </x:c>
      <x:c r="B64" s="115" t="str">
        <x:v>Sprache untersuchen</x:v>
      </x:c>
      <x:c r="C64" s="148" t="n">
        <x:v>60</x:v>
      </x:c>
      <x:c r="D64" s="115" t="str">
        <x:v>Bewerbung und Lebenslauf: passende sprachliche Mittel verwenden</x:v>
      </x:c>
      <x:c r="E64" s="115" t="str">
        <x:v>formelle Sprache, präzise Verben, fehlerfreie Gestaltung in Übungen erkennen und nach Satzmustern anwenden. HSA-orientiert: überschaubare Materialien, klarer Schreibrahmen, gesicherte Grundoperatoren und lebensweltlicher Bezug.</x:v>
      </x:c>
      <x:c r="F64" s="115" t="str">
        <x:v>formelle Sprache, präzise Verben, fehlerfreie Gestaltung hinsichtlich Wirkung und Angemessenheit prüfen und gezielt variieren. RSA-orientiert: umfangreichere Materialien, selbstständige Auswahl, differenzierte Textbelege und komplexere Schreibaufträge.</x:v>
      </x:c>
      <x:c r="G64" s="115" t="str">
        <x:v>de_k9_st60_bewerbung_sprachmittel</x:v>
      </x:c>
      <x:c r="H64" s="176" t="e">
        <x:f>HYPERLINK("schueler/de_k9_st60_bewerbung_sprachmittel_app.html","Lernmodul öffnen")</x:f>
      </x:c>
      <x:c r="I64" s="177" t="e">
        <x:f>HYPERLINK("lehrer/de_k9_st60_bewerbung_sprachmittel_orga.html","Vorbereitung öffnen")</x:f>
      </x:c>
    </x:row>
    <x:row r="65" ht="65" customHeight="1">
      <x:c r="A65" s="142" t="n">
        <x:v>9</x:v>
      </x:c>
      <x:c r="B65" s="115" t="str">
        <x:v>Schreiben</x:v>
      </x:c>
      <x:c r="C65" s="148" t="n">
        <x:v>61</x:v>
      </x:c>
      <x:c r="D65" s="115" t="str">
        <x:v>Bewerbung und Lebenslauf: einen Schreibplan erstellen</x:v>
      </x:c>
      <x:c r="E65" s="115" t="str">
        <x:v>Einen vorstrukturierten Schreibplan ausfüllen; Einleitung, Hauptteil und Schluss festlegen. HSA-orientiert: überschaubare Materialien, klarer Schreibrahmen, gesicherte Grundoperatoren und lebensweltlicher Bezug.</x:v>
      </x:c>
      <x:c r="F65" s="115" t="str">
        <x:v>Einen eigenen Schreibplan mit Teilzielen, Belegen und sprachlichen Mitteln entwickeln. RSA-orientiert: umfangreichere Materialien, selbstständige Auswahl, differenzierte Textbelege und komplexere Schreibaufträge.</x:v>
      </x:c>
      <x:c r="G65" s="115" t="str">
        <x:v>de_k9_st61_bewerbung_schreibplan</x:v>
      </x:c>
      <x:c r="H65" s="176" t="e">
        <x:f>HYPERLINK("schueler/de_k9_st61_bewerbung_schreibplan_app.html","Lernmodul öffnen")</x:f>
      </x:c>
      <x:c r="I65" s="177" t="e">
        <x:f>HYPERLINK("lehrer/de_k9_st61_bewerbung_schreibplan_orga.html","Vorbereitung öffnen")</x:f>
      </x:c>
    </x:row>
    <x:row r="66" ht="65" customHeight="1">
      <x:c r="A66" s="142" t="n">
        <x:v>9</x:v>
      </x:c>
      <x:c r="B66" s="115" t="str">
        <x:v>Schreiben</x:v>
      </x:c>
      <x:c r="C66" s="148" t="n">
        <x:v>62</x:v>
      </x:c>
      <x:c r="D66" s="115" t="str">
        <x:v>Bewerbung und Lebenslauf: einen ersten Textentwurf verfassen</x:v>
      </x:c>
      <x:c r="E66" s="115" t="str">
        <x:v>Anschreiben und lebenslauf mithilfe von Schreibrahmen, Satzanfängen und Wortbank verfassen. HSA-orientiert: überschaubare Materialien, klarer Schreibrahmen, gesicherte Grundoperatoren und lebensweltlicher Bezug.</x:v>
      </x:c>
      <x:c r="F66" s="115" t="str">
        <x:v>Anschreiben und lebenslauf selbstständig, adressatenbezogen und sprachlich differenziert verfassen. RSA-orientiert: umfangreichere Materialien, selbstständige Auswahl, differenzierte Textbelege und komplexere Schreibaufträge.</x:v>
      </x:c>
      <x:c r="G66" s="115" t="str">
        <x:v>de_k9_st62_bewerbung_entwurf</x:v>
      </x:c>
      <x:c r="H66" s="176" t="e">
        <x:f>HYPERLINK("schueler/de_k9_st62_bewerbung_entwurf_app.html","Lernmodul öffnen")</x:f>
      </x:c>
      <x:c r="I66" s="177" t="e">
        <x:f>HYPERLINK("lehrer/de_k9_st62_bewerbung_entwurf_orga.html","Vorbereitung öffnen")</x:f>
      </x:c>
    </x:row>
    <x:row r="67" ht="65" customHeight="1">
      <x:c r="A67" s="142" t="n">
        <x:v>9</x:v>
      </x:c>
      <x:c r="B67" s="115" t="str">
        <x:v>Schreiben</x:v>
      </x:c>
      <x:c r="C67" s="148" t="n">
        <x:v>63</x:v>
      </x:c>
      <x:c r="D67" s="115" t="str">
        <x:v>Bewerbung und Lebenslauf: Text kriteriengeleitet überarbeiten</x:v>
      </x:c>
      <x:c r="E67" s="115" t="str">
        <x:v>Text mit einer kurzen Prüfliste überarbeiten; einen inhaltlichen und einen sprachlichen Fehler verbessern. HSA-orientiert: überschaubare Materialien, klarer Schreibrahmen, gesicherte Grundoperatoren und lebensweltlicher Bezug.</x:v>
      </x:c>
      <x:c r="F67" s="115" t="str">
        <x:v>Text in mehreren Überarbeitungsschritten prüfen; Aufbau, Kohärenz, Stil und Normrichtigkeit gezielt optimieren. RSA-orientiert: umfangreichere Materialien, selbstständige Auswahl, differenzierte Textbelege und komplexere Schreibaufträge.</x:v>
      </x:c>
      <x:c r="G67" s="115" t="str">
        <x:v>de_k9_st63_bewerbung_ueberarbeiten</x:v>
      </x:c>
      <x:c r="H67" s="176" t="e">
        <x:f>HYPERLINK("schueler/de_k9_st63_bewerbung_ueberarbeiten_app.html","Lernmodul öffnen")</x:f>
      </x:c>
      <x:c r="I67" s="177" t="e">
        <x:f>HYPERLINK("lehrer/de_k9_st63_bewerbung_ueberarbeiten_orga.html","Vorbereitung öffnen")</x:f>
      </x:c>
    </x:row>
    <x:row r="68" ht="65" customHeight="1">
      <x:c r="A68" s="142" t="n">
        <x:v>9</x:v>
      </x:c>
      <x:c r="B68" s="115" t="str">
        <x:v>Sprechen und Zuhören</x:v>
      </x:c>
      <x:c r="C68" s="148" t="n">
        <x:v>64</x:v>
      </x:c>
      <x:c r="D68" s="115" t="str">
        <x:v>Bewerbung und Lebenslauf: Texte vorstellen und bewerten</x:v>
      </x:c>
      <x:c r="E68" s="115" t="str">
        <x:v>Ausgewählte Passage vorlesen oder erläutern; Rückmeldung mit einfachen Satzmustern geben. HSA-orientiert: überschaubare Materialien, klarer Schreibrahmen, gesicherte Grundoperatoren und lebensweltlicher Bezug.</x:v>
      </x:c>
      <x:c r="F68" s="115" t="str">
        <x:v>Textwirkung und Schreibentscheidungen erläutern; differenziertes Peer-Feedback geben und begründet annehmen. RSA-orientiert: umfangreichere Materialien, selbstständige Auswahl, differenzierte Textbelege und komplexere Schreibaufträge.</x:v>
      </x:c>
      <x:c r="G68" s="115" t="str">
        <x:v>de_k9_st64_bewerbung_vorstellen</x:v>
      </x:c>
      <x:c r="H68" s="176" t="e">
        <x:f>HYPERLINK("schueler/de_k9_st64_bewerbung_vorstellen_app.html","Lernmodul öffnen")</x:f>
      </x:c>
      <x:c r="I68" s="177" t="e">
        <x:f>HYPERLINK("lehrer/de_k9_st64_bewerbung_vorstellen_orga.html","Vorbereitung öffnen")</x:f>
      </x:c>
    </x:row>
    <x:row r="69" ht="65" customHeight="1">
      <x:c r="A69" s="142" t="n">
        <x:v>9</x:v>
      </x:c>
      <x:c r="B69" s="115" t="str">
        <x:v>Sprechen und Zuhören</x:v>
      </x:c>
      <x:c r="C69" s="148" t="n">
        <x:v>65</x:v>
      </x:c>
      <x:c r="D69" s="115" t="str">
        <x:v>Gedankenlyrik und politische Lyrik: Hör- oder Leseeinstieg gestalten</x:v>
      </x:c>
      <x:c r="E69" s="115" t="str">
        <x:v>Einstieg über Bild, Hörtext oder kurzen Auszug; Vorwissen zu Gedichte zu Individuum und Gesellschaft sammeln und zentrale Wörter klären. HSA-orientiert: überschaubare Materialien, klarer Schreibrahmen, gesicherte Grundoperatoren und lebensweltlicher Bezug.</x:v>
      </x:c>
      <x:c r="F69" s="115" t="str">
        <x:v>Aus Titel, Kontext und Gestaltung Erwartungen an Gedichte zu Individuum und Gesellschaft ableiten; erste Hypothesen formulieren und begründen. RSA-orientiert: umfangreichere Materialien, selbstständige Auswahl, differenzierte Textbelege und komplexere Schreibaufträge.</x:v>
      </x:c>
      <x:c r="G69" s="115" t="str">
        <x:v>de_k9_st65_lyrik_einstieg</x:v>
      </x:c>
      <x:c r="H69" s="176" t="e">
        <x:f>HYPERLINK("schueler/de_k9_st65_lyrik_einstieg_app.html","Lernmodul öffnen")</x:f>
      </x:c>
      <x:c r="I69" s="177" t="e">
        <x:f>HYPERLINK("lehrer/de_k9_st65_lyrik_einstieg_orga.html","Vorbereitung öffnen")</x:f>
      </x:c>
    </x:row>
    <x:row r="70" ht="65" customHeight="1">
      <x:c r="A70" s="142" t="n">
        <x:v>9</x:v>
      </x:c>
      <x:c r="B70" s="115" t="str">
        <x:v>Lesen/Umgang mit Texten</x:v>
      </x:c>
      <x:c r="C70" s="148" t="n">
        <x:v>66</x:v>
      </x:c>
      <x:c r="D70" s="115" t="str">
        <x:v>Gedankenlyrik und politische Lyrik: den Text mit Lesestrategien erschließen</x:v>
      </x:c>
      <x:c r="E70" s="115" t="str">
        <x:v>Text abschnittsweise lesen; Schlüsselwörter markieren und den Inhalt mit Leitfragen sichern. HSA-orientiert: überschaubare Materialien, klarer Schreibrahmen, gesicherte Grundoperatoren und lebensweltlicher Bezug.</x:v>
      </x:c>
      <x:c r="F70" s="115" t="str">
        <x:v>Lesetechnik passend zum Ziel wählen; Sinnabschnitte, Schlüsselstellen und offene Fragen selbstständig festhalten. RSA-orientiert: umfangreichere Materialien, selbstständige Auswahl, differenzierte Textbelege und komplexere Schreibaufträge.</x:v>
      </x:c>
      <x:c r="G70" s="115" t="str">
        <x:v>de_k9_st66_lyrik_erschliessen</x:v>
      </x:c>
      <x:c r="H70" s="176" t="e">
        <x:f>HYPERLINK("schueler/de_k9_st66_lyrik_erschliessen_app.html","Lernmodul öffnen")</x:f>
      </x:c>
      <x:c r="I70" s="177" t="e">
        <x:f>HYPERLINK("lehrer/de_k9_st66_lyrik_erschliessen_orga.html","Vorbereitung öffnen")</x:f>
      </x:c>
    </x:row>
    <x:row r="71" ht="65" customHeight="1">
      <x:c r="A71" s="142" t="n">
        <x:v>9</x:v>
      </x:c>
      <x:c r="B71" s="115" t="str">
        <x:v>Lesen/Umgang mit Texten</x:v>
      </x:c>
      <x:c r="C71" s="148" t="n">
        <x:v>67</x:v>
      </x:c>
      <x:c r="D71" s="115" t="str">
        <x:v>Gedankenlyrik und politische Lyrik: Gattungsmerkmale erkennen</x:v>
      </x:c>
      <x:c r="E71" s="115" t="str">
        <x:v>Merkmale wie Sprecher, Thema, Stimmung, Form mithilfe einer Checkliste zuordnen und an Textstellen zeigen. HSA-orientiert: überschaubare Materialien, klarer Schreibrahmen, gesicherte Grundoperatoren und lebensweltlicher Bezug.</x:v>
      </x:c>
      <x:c r="F71" s="115" t="str">
        <x:v>Merkmale wie Sprecher, Thema, Stimmung, Form textnah belegen und ihre Funktion für Aufbau und Wirkung erklären. RSA-orientiert: umfangreichere Materialien, selbstständige Auswahl, differenzierte Textbelege und komplexere Schreibaufträge.</x:v>
      </x:c>
      <x:c r="G71" s="115" t="str">
        <x:v>de_k9_st67_lyrik_merkmale</x:v>
      </x:c>
      <x:c r="H71" s="176" t="e">
        <x:f>HYPERLINK("schueler/de_k9_st67_lyrik_merkmale_app.html","Lernmodul öffnen")</x:f>
      </x:c>
      <x:c r="I71" s="177" t="e">
        <x:f>HYPERLINK("lehrer/de_k9_st67_lyrik_merkmale_orga.html","Vorbereitung öffnen")</x:f>
      </x:c>
    </x:row>
    <x:row r="72" ht="65" customHeight="1">
      <x:c r="A72" s="142" t="n">
        <x:v>9</x:v>
      </x:c>
      <x:c r="B72" s="115" t="str">
        <x:v>Lesen/Umgang mit Texten</x:v>
      </x:c>
      <x:c r="C72" s="148" t="n">
        <x:v>68</x:v>
      </x:c>
      <x:c r="D72" s="115" t="str">
        <x:v>Gedankenlyrik und politische Lyrik: Figuren, Handlung und Konflikt untersuchen</x:v>
      </x:c>
      <x:c r="E72" s="115" t="str">
        <x:v>historischer Kontext, Motiv und Deutungsansatz mit Figurenkarten oder Handlungsstreifen ordnen; einfache Belege auswählen. HSA-orientiert: überschaubare Materialien, klarer Schreibrahmen, gesicherte Grundoperatoren und lebensweltlicher Bezug.</x:v>
      </x:c>
      <x:c r="F72" s="115" t="str">
        <x:v>historischer Kontext, Motiv und Deutungsansatz in ihrem Zusammenhang untersuchen; Schlussfolgerungen mit passenden Textbelegen absichern. RSA-orientiert: umfangreichere Materialien, selbstständige Auswahl, differenzierte Textbelege und komplexere Schreibaufträge.</x:v>
      </x:c>
      <x:c r="G72" s="115" t="str">
        <x:v>de_k9_st68_lyrik_figuren_handlung</x:v>
      </x:c>
      <x:c r="H72" s="176" t="e">
        <x:f>HYPERLINK("schueler/de_k9_st68_lyrik_figuren_handlung_app.html","Lernmodul öffnen")</x:f>
      </x:c>
      <x:c r="I72" s="177" t="e">
        <x:f>HYPERLINK("lehrer/de_k9_st68_lyrik_figuren_handlung_orga.html","Vorbereitung öffnen")</x:f>
      </x:c>
    </x:row>
    <x:row r="73" ht="65" customHeight="1">
      <x:c r="A73" s="142" t="n">
        <x:v>9</x:v>
      </x:c>
      <x:c r="B73" s="115" t="str">
        <x:v>Sprache untersuchen</x:v>
      </x:c>
      <x:c r="C73" s="148" t="n">
        <x:v>69</x:v>
      </x:c>
      <x:c r="D73" s="115" t="str">
        <x:v>Gedankenlyrik und politische Lyrik: Sprache und Wirkung untersuchen</x:v>
      </x:c>
      <x:c r="E73" s="115" t="str">
        <x:v>Beispiele für Metrum, Bildlichkeit, rhetorische Mittel markieren und ihre Wirkung mit vorgegebenen Begriffen beschreiben. HSA-orientiert: überschaubare Materialien, klarer Schreibrahmen, gesicherte Grundoperatoren und lebensweltlicher Bezug.</x:v>
      </x:c>
      <x:c r="F73" s="115" t="str">
        <x:v>Metrum, Bildlichkeit, rhetorische Mittel fachsprachlich analysieren und auf Figurenzeichnung, Stimmung oder Aussage beziehen. RSA-orientiert: umfangreichere Materialien, selbstständige Auswahl, differenzierte Textbelege und komplexere Schreibaufträge.</x:v>
      </x:c>
      <x:c r="G73" s="115" t="str">
        <x:v>de_k9_st69_lyrik_sprache_wirkung</x:v>
      </x:c>
      <x:c r="H73" s="176" t="e">
        <x:f>HYPERLINK("schueler/de_k9_st69_lyrik_sprache_wirkung_app.html","Lernmodul öffnen")</x:f>
      </x:c>
      <x:c r="I73" s="177" t="e">
        <x:f>HYPERLINK("lehrer/de_k9_st69_lyrik_sprache_wirkung_orga.html","Vorbereitung öffnen")</x:f>
      </x:c>
    </x:row>
    <x:row r="74" ht="65" customHeight="1">
      <x:c r="A74" s="142" t="n">
        <x:v>9</x:v>
      </x:c>
      <x:c r="B74" s="115" t="str">
        <x:v>Schreiben</x:v>
      </x:c>
      <x:c r="C74" s="148" t="n">
        <x:v>70</x:v>
      </x:c>
      <x:c r="D74" s="115" t="str">
        <x:v>Gedankenlyrik und politische Lyrik: eine Deutung oder Perspektive vorbereiten</x:v>
      </x:c>
      <x:c r="E74" s="115" t="str">
        <x:v>Eine zentrale Aussage mit Satzstartern formulieren; Beleg und Erklärung in einem Schreibrahmen verbinden. HSA-orientiert: überschaubare Materialien, klarer Schreibrahmen, gesicherte Grundoperatoren und lebensweltlicher Bezug.</x:v>
      </x:c>
      <x:c r="F74" s="115" t="str">
        <x:v>Eine schlüssige Deutungshypothese entwickeln; mehrere Belege auswählen, ordnen und gegeneinander abwägen. RSA-orientiert: umfangreichere Materialien, selbstständige Auswahl, differenzierte Textbelege und komplexere Schreibaufträge.</x:v>
      </x:c>
      <x:c r="G74" s="115" t="str">
        <x:v>de_k9_st70_lyrik_deutung_planen</x:v>
      </x:c>
      <x:c r="H74" s="176" t="e">
        <x:f>HYPERLINK("schueler/de_k9_st70_lyrik_deutung_planen_app.html","Lernmodul öffnen")</x:f>
      </x:c>
      <x:c r="I74" s="177" t="e">
        <x:f>HYPERLINK("lehrer/de_k9_st70_lyrik_deutung_planen_orga.html","Vorbereitung öffnen")</x:f>
      </x:c>
    </x:row>
    <x:row r="75" ht="65" customHeight="1">
      <x:c r="A75" s="142" t="n">
        <x:v>9</x:v>
      </x:c>
      <x:c r="B75" s="115" t="str">
        <x:v>Schreiben</x:v>
      </x:c>
      <x:c r="C75" s="148" t="n">
        <x:v>71</x:v>
      </x:c>
      <x:c r="D75" s="115" t="str">
        <x:v>Gedankenlyrik und politische Lyrik: Gedichtanalyse oder Vergleich gestalten</x:v>
      </x:c>
      <x:c r="E75" s="115" t="str">
        <x:v>Gedichtanalyse oder vergleich nach klaren Vorgaben erstellen; Hilfekarten und Wortbank nutzen. HSA-orientiert: überschaubare Materialien, klarer Schreibrahmen, gesicherte Grundoperatoren und lebensweltlicher Bezug.</x:v>
      </x:c>
      <x:c r="F75" s="115" t="str">
        <x:v>Gedichtanalyse oder vergleich eigenständig, textnah und sprachlich variabel gestalten; Wirkung bewusst planen. RSA-orientiert: umfangreichere Materialien, selbstständige Auswahl, differenzierte Textbelege und komplexere Schreibaufträge.</x:v>
      </x:c>
      <x:c r="G75" s="115" t="str">
        <x:v>de_k9_st71_lyrik_produkt</x:v>
      </x:c>
      <x:c r="H75" s="176" t="e">
        <x:f>HYPERLINK("schueler/de_k9_st71_lyrik_produkt_app.html","Lernmodul öffnen")</x:f>
      </x:c>
      <x:c r="I75" s="177" t="e">
        <x:f>HYPERLINK("lehrer/de_k9_st71_lyrik_produkt_orga.html","Vorbereitung öffnen")</x:f>
      </x:c>
    </x:row>
    <x:row r="76" ht="65" customHeight="1">
      <x:c r="A76" s="142" t="n">
        <x:v>9</x:v>
      </x:c>
      <x:c r="B76" s="115" t="str">
        <x:v>Sprechen und Zuhören</x:v>
      </x:c>
      <x:c r="C76" s="148" t="n">
        <x:v>72</x:v>
      </x:c>
      <x:c r="D76" s="115" t="str">
        <x:v>Gedankenlyrik und politische Lyrik: Ergebnisse präsentieren und reflektieren</x:v>
      </x:c>
      <x:c r="E76" s="115" t="str">
        <x:v>Ergebnis kurz vorstellen; zwei vereinbarte Kriterien für Rückmeldung anwenden. HSA-orientiert: überschaubare Materialien, klarer Schreibrahmen, gesicherte Grundoperatoren und lebensweltlicher Bezug.</x:v>
      </x:c>
      <x:c r="F76" s="115" t="str">
        <x:v>Ergebnis adressatenbezogen präsentieren; Rückmeldungen begründen und die eigene Deutung oder Gestaltung überarbeiten. RSA-orientiert: umfangreichere Materialien, selbstständige Auswahl, differenzierte Textbelege und komplexere Schreibaufträge.</x:v>
      </x:c>
      <x:c r="G76" s="115" t="str">
        <x:v>de_k9_st72_lyrik_praesentieren</x:v>
      </x:c>
      <x:c r="H76" s="176" t="e">
        <x:f>HYPERLINK("schueler/de_k9_st72_lyrik_praesentieren_app.html","Lernmodul öffnen")</x:f>
      </x:c>
      <x:c r="I76" s="177" t="e">
        <x:f>HYPERLINK("lehrer/de_k9_st72_lyrik_praesentieren_orga.html","Vorbereitung öffnen")</x:f>
      </x:c>
    </x:row>
    <x:row r="77" ht="65" customHeight="1">
      <x:c r="A77" s="142" t="n">
        <x:v>9</x:v>
      </x:c>
      <x:c r="B77" s="115" t="str">
        <x:v>Sprechen und Zuhören</x:v>
      </x:c>
      <x:c r="C77" s="148" t="n">
        <x:v>73</x:v>
      </x:c>
      <x:c r="D77" s="115" t="str">
        <x:v>Sachtexte, Diagramme und Exzerpte: Vorwissen und Positionen klären</x:v>
      </x:c>
      <x:c r="E77" s="115" t="str">
        <x:v>Eigene Erfahrungen zu komplexere Sach- und Gebrauchstexte benennen; zentrale Begriffe mit Beispielen klären. HSA-orientiert: überschaubare Materialien, klarer Schreibrahmen, gesicherte Grundoperatoren und lebensweltlicher Bezug.</x:v>
      </x:c>
      <x:c r="F77" s="115" t="str">
        <x:v>Vorwissen zu komplexere Sach- und Gebrauchstexte strukturieren; erste Positionen formulieren und mögliche Konflikte benennen. RSA-orientiert: umfangreichere Materialien, selbstständige Auswahl, differenzierte Textbelege und komplexere Schreibaufträge.</x:v>
      </x:c>
      <x:c r="G77" s="115" t="str">
        <x:v>de_k9_st73_sachtexte_einstieg</x:v>
      </x:c>
      <x:c r="H77" s="176" t="e">
        <x:f>HYPERLINK("schueler/de_k9_st73_sachtexte_einstieg_app.html","Lernmodul öffnen")</x:f>
      </x:c>
      <x:c r="I77" s="177" t="e">
        <x:f>HYPERLINK("lehrer/de_k9_st73_sachtexte_einstieg_orga.html","Vorbereitung öffnen")</x:f>
      </x:c>
    </x:row>
    <x:row r="78" ht="65" customHeight="1">
      <x:c r="A78" s="142" t="n">
        <x:v>9</x:v>
      </x:c>
      <x:c r="B78" s="115" t="str">
        <x:v>Lesen/Umgang mit Texten</x:v>
      </x:c>
      <x:c r="C78" s="148" t="n">
        <x:v>74</x:v>
      </x:c>
      <x:c r="D78" s="115" t="str">
        <x:v>Sachtexte, Diagramme und Exzerpte: Quellen und Materialien erschließen</x:v>
      </x:c>
      <x:c r="E78" s="115" t="str">
        <x:v>Kurze Materialien lesen oder ansehen; Hauptaussagen mit Leitfragen festhalten. HSA-orientiert: überschaubare Materialien, klarer Schreibrahmen, gesicherte Grundoperatoren und lebensweltlicher Bezug.</x:v>
      </x:c>
      <x:c r="F78" s="115" t="str">
        <x:v>Unterschiedliche Materialien selbstständig erschließen; Aussage, Intention und Kontext bestimmen. RSA-orientiert: umfangreichere Materialien, selbstständige Auswahl, differenzierte Textbelege und komplexere Schreibaufträge.</x:v>
      </x:c>
      <x:c r="G78" s="115" t="str">
        <x:v>de_k9_st74_sachtexte_quellen</x:v>
      </x:c>
      <x:c r="H78" s="176" t="e">
        <x:f>HYPERLINK("schueler/de_k9_st74_sachtexte_quellen_app.html","Lernmodul öffnen")</x:f>
      </x:c>
      <x:c r="I78" s="177" t="e">
        <x:f>HYPERLINK("lehrer/de_k9_st74_sachtexte_quellen_orga.html","Vorbereitung öffnen")</x:f>
      </x:c>
    </x:row>
    <x:row r="79" ht="65" customHeight="1">
      <x:c r="A79" s="142" t="n">
        <x:v>9</x:v>
      </x:c>
      <x:c r="B79" s="115" t="str">
        <x:v>Lesen/Umgang mit Texten</x:v>
      </x:c>
      <x:c r="C79" s="148" t="n">
        <x:v>75</x:v>
      </x:c>
      <x:c r="D79" s="115" t="str">
        <x:v>Sachtexte, Diagramme und Exzerpte: Qualitätskriterien anwenden</x:v>
      </x:c>
      <x:c r="E79" s="115" t="str">
        <x:v>Kernaussage, Argumente, Daten, Quelle und Intention in einer Checkliste anwenden und Auffälligkeiten markieren. HSA-orientiert: überschaubare Materialien, klarer Schreibrahmen, gesicherte Grundoperatoren und lebensweltlicher Bezug.</x:v>
      </x:c>
      <x:c r="F79" s="115" t="str">
        <x:v>Kernaussage, Argumente, Daten, Quelle und Intention gewichten, auf Grenzfälle anwenden und begründete Qualitätsurteile formulieren. RSA-orientiert: umfangreichere Materialien, selbstständige Auswahl, differenzierte Textbelege und komplexere Schreibaufträge.</x:v>
      </x:c>
      <x:c r="G79" s="115" t="str">
        <x:v>de_k9_st75_sachtexte_kriterien</x:v>
      </x:c>
      <x:c r="H79" s="176" t="e">
        <x:f>HYPERLINK("schueler/de_k9_st75_sachtexte_kriterien_app.html","Lernmodul öffnen")</x:f>
      </x:c>
      <x:c r="I79" s="177" t="e">
        <x:f>HYPERLINK("lehrer/de_k9_st75_sachtexte_kriterien_orga.html","Vorbereitung öffnen")</x:f>
      </x:c>
    </x:row>
    <x:row r="80" ht="65" customHeight="1">
      <x:c r="A80" s="142" t="n">
        <x:v>9</x:v>
      </x:c>
      <x:c r="B80" s="115" t="str">
        <x:v>Lesen/Umgang mit Texten</x:v>
      </x:c>
      <x:c r="C80" s="148" t="n">
        <x:v>76</x:v>
      </x:c>
      <x:c r="D80" s="115" t="str">
        <x:v>Sachtexte, Diagramme und Exzerpte: Darstellungen vergleichen</x:v>
      </x:c>
      <x:c r="E80" s="115" t="str">
        <x:v>Text, statistik und grafische darstellung nach vorgegebenen Merkmalen vergleichen. HSA-orientiert: überschaubare Materialien, klarer Schreibrahmen, gesicherte Grundoperatoren und lebensweltlicher Bezug.</x:v>
      </x:c>
      <x:c r="F80" s="115" t="str">
        <x:v>Text, statistik und grafische darstellung hinsichtlich Informationsauswahl, Gestaltung, Wirkung und Interessen vergleichen. RSA-orientiert: umfangreichere Materialien, selbstständige Auswahl, differenzierte Textbelege und komplexere Schreibaufträge.</x:v>
      </x:c>
      <x:c r="G80" s="115" t="str">
        <x:v>de_k9_st76_sachtexte_vergleichen</x:v>
      </x:c>
      <x:c r="H80" s="176" t="e">
        <x:f>HYPERLINK("schueler/de_k9_st76_sachtexte_vergleichen_app.html","Lernmodul öffnen")</x:f>
      </x:c>
      <x:c r="I80" s="177" t="e">
        <x:f>HYPERLINK("lehrer/de_k9_st76_sachtexte_vergleichen_orga.html","Vorbereitung öffnen")</x:f>
      </x:c>
    </x:row>
    <x:row r="81" ht="65" customHeight="1">
      <x:c r="A81" s="142" t="n">
        <x:v>9</x:v>
      </x:c>
      <x:c r="B81" s="115" t="str">
        <x:v>Schreiben</x:v>
      </x:c>
      <x:c r="C81" s="148" t="n">
        <x:v>77</x:v>
      </x:c>
      <x:c r="D81" s="115" t="str">
        <x:v>Sachtexte, Diagramme und Exzerpte: Informationen prüfen und ordnen</x:v>
      </x:c>
      <x:c r="E81" s="115" t="str">
        <x:v>Informationen aus vorgegebenen Quellen auswählen; Fundstellen notieren und geordnet ablegen. HSA-orientiert: überschaubare Materialien, klarer Schreibrahmen, gesicherte Grundoperatoren und lebensweltlicher Bezug.</x:v>
      </x:c>
      <x:c r="F81" s="115" t="str">
        <x:v>Recherchefrage entwickeln; Quellen prüfen, Informationen abgleichen und korrekt dokumentieren. RSA-orientiert: umfangreichere Materialien, selbstständige Auswahl, differenzierte Textbelege und komplexere Schreibaufträge.</x:v>
      </x:c>
      <x:c r="G81" s="115" t="str">
        <x:v>de_k9_st77_sachtexte_recherche</x:v>
      </x:c>
      <x:c r="H81" s="176" t="e">
        <x:f>HYPERLINK("schueler/de_k9_st77_sachtexte_recherche_app.html","Lernmodul öffnen")</x:f>
      </x:c>
      <x:c r="I81" s="177" t="e">
        <x:f>HYPERLINK("lehrer/de_k9_st77_sachtexte_recherche_orga.html","Vorbereitung öffnen")</x:f>
      </x:c>
    </x:row>
    <x:row r="82" ht="65" customHeight="1">
      <x:c r="A82" s="142" t="n">
        <x:v>9</x:v>
      </x:c>
      <x:c r="B82" s="115" t="str">
        <x:v>Schreiben</x:v>
      </x:c>
      <x:c r="C82" s="148" t="n">
        <x:v>78</x:v>
      </x:c>
      <x:c r="D82" s="115" t="str">
        <x:v>Sachtexte, Diagramme und Exzerpte: Produkt planen</x:v>
      </x:c>
      <x:c r="E82" s="115" t="str">
        <x:v>Für Exzerpt oder Konspekt einen vorgegebenen Arbeitsplan ergänzen; Aufgaben verteilen. HSA-orientiert: überschaubare Materialien, klarer Schreibrahmen, gesicherte Grundoperatoren und lebensweltlicher Bezug.</x:v>
      </x:c>
      <x:c r="F82" s="115" t="str">
        <x:v>Für Exzerpt oder Konspekt Zielgruppe, Aufbau, Medienwahl, Zeitplan und Qualitätskontrolle selbstständig festlegen. RSA-orientiert: umfangreichere Materialien, selbstständige Auswahl, differenzierte Textbelege und komplexere Schreibaufträge.</x:v>
      </x:c>
      <x:c r="G82" s="115" t="str">
        <x:v>de_k9_st78_sachtexte_planen</x:v>
      </x:c>
      <x:c r="H82" s="176" t="e">
        <x:f>HYPERLINK("schueler/de_k9_st78_sachtexte_planen_app.html","Lernmodul öffnen")</x:f>
      </x:c>
      <x:c r="I82" s="177" t="e">
        <x:f>HYPERLINK("lehrer/de_k9_st78_sachtexte_planen_orga.html","Vorbereitung öffnen")</x:f>
      </x:c>
    </x:row>
    <x:row r="83" ht="65" customHeight="1">
      <x:c r="A83" s="142" t="n">
        <x:v>9</x:v>
      </x:c>
      <x:c r="B83" s="115" t="str">
        <x:v>Schreiben</x:v>
      </x:c>
      <x:c r="C83" s="148" t="n">
        <x:v>79</x:v>
      </x:c>
      <x:c r="D83" s="115" t="str">
        <x:v>Sachtexte, Diagramme und Exzerpte: Produkt erstellen</x:v>
      </x:c>
      <x:c r="E83" s="115" t="str">
        <x:v>Exzerpt oder konspekt mit Vorlage und klaren Teilaufträgen erstellen. HSA-orientiert: überschaubare Materialien, klarer Schreibrahmen, gesicherte Grundoperatoren und lebensweltlicher Bezug.</x:v>
      </x:c>
      <x:c r="F83" s="115" t="str">
        <x:v>Exzerpt oder konspekt selbstständig, adressatengerecht und quellenbewusst erstellen. RSA-orientiert: umfangreichere Materialien, selbstständige Auswahl, differenzierte Textbelege und komplexere Schreibaufträge.</x:v>
      </x:c>
      <x:c r="G83" s="115" t="str">
        <x:v>de_k9_st79_sachtexte_erstellen</x:v>
      </x:c>
      <x:c r="H83" s="176" t="e">
        <x:f>HYPERLINK("schueler/de_k9_st79_sachtexte_erstellen_app.html","Lernmodul öffnen")</x:f>
      </x:c>
      <x:c r="I83" s="177" t="e">
        <x:f>HYPERLINK("lehrer/de_k9_st79_sachtexte_erstellen_orga.html","Vorbereitung öffnen")</x:f>
      </x:c>
    </x:row>
    <x:row r="84" ht="65" customHeight="1">
      <x:c r="A84" s="142" t="n">
        <x:v>9</x:v>
      </x:c>
      <x:c r="B84" s="115" t="str">
        <x:v>Sprechen und Zuhören</x:v>
      </x:c>
      <x:c r="C84" s="148" t="n">
        <x:v>80</x:v>
      </x:c>
      <x:c r="D84" s="115" t="str">
        <x:v>Sachtexte, Diagramme und Exzerpte: präsentieren und reflektieren</x:v>
      </x:c>
      <x:c r="E84" s="115" t="str">
        <x:v>Produkt kurz vorstellen; Rückmeldung anhand weniger Kriterien geben und annehmen. HSA-orientiert: überschaubare Materialien, klarer Schreibrahmen, gesicherte Grundoperatoren und lebensweltlicher Bezug.</x:v>
      </x:c>
      <x:c r="F84" s="115" t="str">
        <x:v>Produkt überzeugend präsentieren; Arbeitsprozess, Quellenwahl und Wirkung kritisch reflektieren. RSA-orientiert: umfangreichere Materialien, selbstständige Auswahl, differenzierte Textbelege und komplexere Schreibaufträge.</x:v>
      </x:c>
      <x:c r="G84" s="115" t="str">
        <x:v>de_k9_st80_sachtexte_reflexion</x:v>
      </x:c>
      <x:c r="H84" s="176" t="e">
        <x:f>HYPERLINK("schueler/de_k9_st80_sachtexte_reflexion_app.html","Lernmodul öffnen")</x:f>
      </x:c>
      <x:c r="I84" s="177" t="e">
        <x:f>HYPERLINK("lehrer/de_k9_st80_sachtexte_reflexion_orga.html","Vorbereitung öffnen")</x:f>
      </x:c>
    </x:row>
    <x:row r="85" ht="65" customHeight="1">
      <x:c r="A85" s="142" t="n">
        <x:v>9</x:v>
      </x:c>
      <x:c r="B85" s="115" t="str">
        <x:v>Sprechen und Zuhören</x:v>
      </x:c>
      <x:c r="C85" s="148" t="n">
        <x:v>81</x:v>
      </x:c>
      <x:c r="D85" s="115" t="str">
        <x:v>Debatte, Referat und mündliche Prüfung: Vorwissen und Positionen klären</x:v>
      </x:c>
      <x:c r="E85" s="115" t="str">
        <x:v>Eigene Erfahrungen zu argumentierendes und informierendes Sprechen benennen; zentrale Begriffe mit Beispielen klären. HSA-orientiert: überschaubare Materialien, klarer Schreibrahmen, gesicherte Grundoperatoren und lebensweltlicher Bezug.</x:v>
      </x:c>
      <x:c r="F85" s="115" t="str">
        <x:v>Vorwissen zu argumentierendes und informierendes Sprechen strukturieren; erste Positionen formulieren und mögliche Konflikte benennen. RSA-orientiert: umfangreichere Materialien, selbstständige Auswahl, differenzierte Textbelege und komplexere Schreibaufträge.</x:v>
      </x:c>
      <x:c r="G85" s="115" t="str">
        <x:v>de_k9_st81_muendlich_einstieg</x:v>
      </x:c>
      <x:c r="H85" s="176" t="e">
        <x:f>HYPERLINK("schueler/de_k9_st81_muendlich_einstieg_app.html","Lernmodul öffnen")</x:f>
      </x:c>
      <x:c r="I85" s="177" t="e">
        <x:f>HYPERLINK("lehrer/de_k9_st81_muendlich_einstieg_orga.html","Vorbereitung öffnen")</x:f>
      </x:c>
    </x:row>
    <x:row r="86" ht="65" customHeight="1">
      <x:c r="A86" s="142" t="n">
        <x:v>9</x:v>
      </x:c>
      <x:c r="B86" s="115" t="str">
        <x:v>Lesen/Umgang mit Texten</x:v>
      </x:c>
      <x:c r="C86" s="148" t="n">
        <x:v>82</x:v>
      </x:c>
      <x:c r="D86" s="115" t="str">
        <x:v>Debatte, Referat und mündliche Prüfung: Quellen und Materialien erschließen</x:v>
      </x:c>
      <x:c r="E86" s="115" t="str">
        <x:v>Kurze Materialien lesen oder ansehen; Hauptaussagen mit Leitfragen festhalten. HSA-orientiert: überschaubare Materialien, klarer Schreibrahmen, gesicherte Grundoperatoren und lebensweltlicher Bezug.</x:v>
      </x:c>
      <x:c r="F86" s="115" t="str">
        <x:v>Unterschiedliche Materialien selbstständig erschließen; Aussage, Intention und Kontext bestimmen. RSA-orientiert: umfangreichere Materialien, selbstständige Auswahl, differenzierte Textbelege und komplexere Schreibaufträge.</x:v>
      </x:c>
      <x:c r="G86" s="115" t="str">
        <x:v>de_k9_st82_muendlich_quellen</x:v>
      </x:c>
      <x:c r="H86" s="176" t="e">
        <x:f>HYPERLINK("schueler/de_k9_st82_muendlich_quellen_app.html","Lernmodul öffnen")</x:f>
      </x:c>
      <x:c r="I86" s="177" t="e">
        <x:f>HYPERLINK("lehrer/de_k9_st82_muendlich_quellen_orga.html","Vorbereitung öffnen")</x:f>
      </x:c>
    </x:row>
    <x:row r="87" ht="65" customHeight="1">
      <x:c r="A87" s="142" t="n">
        <x:v>9</x:v>
      </x:c>
      <x:c r="B87" s="115" t="str">
        <x:v>Lesen/Umgang mit Texten</x:v>
      </x:c>
      <x:c r="C87" s="148" t="n">
        <x:v>83</x:v>
      </x:c>
      <x:c r="D87" s="115" t="str">
        <x:v>Debatte, Referat und mündliche Prüfung: Qualitätskriterien anwenden</x:v>
      </x:c>
      <x:c r="E87" s="115" t="str">
        <x:v>Redegliederung, Belege, Gesprächsregeln und Visualisierung in einer Checkliste anwenden und Auffälligkeiten markieren. HSA-orientiert: überschaubare Materialien, klarer Schreibrahmen, gesicherte Grundoperatoren und lebensweltlicher Bezug.</x:v>
      </x:c>
      <x:c r="F87" s="115" t="str">
        <x:v>Redegliederung, Belege, Gesprächsregeln und Visualisierung gewichten, auf Grenzfälle anwenden und begründete Qualitätsurteile formulieren. RSA-orientiert: umfangreichere Materialien, selbstständige Auswahl, differenzierte Textbelege und komplexere Schreibaufträge.</x:v>
      </x:c>
      <x:c r="G87" s="115" t="str">
        <x:v>de_k9_st83_muendlich_kriterien</x:v>
      </x:c>
      <x:c r="H87" s="176" t="e">
        <x:f>HYPERLINK("schueler/de_k9_st83_muendlich_kriterien_app.html","Lernmodul öffnen")</x:f>
      </x:c>
      <x:c r="I87" s="177" t="e">
        <x:f>HYPERLINK("lehrer/de_k9_st83_muendlich_kriterien_orga.html","Vorbereitung öffnen")</x:f>
      </x:c>
    </x:row>
    <x:row r="88" ht="65" customHeight="1">
      <x:c r="A88" s="142" t="n">
        <x:v>9</x:v>
      </x:c>
      <x:c r="B88" s="115" t="str">
        <x:v>Lesen/Umgang mit Texten</x:v>
      </x:c>
      <x:c r="C88" s="148" t="n">
        <x:v>84</x:v>
      </x:c>
      <x:c r="D88" s="115" t="str">
        <x:v>Debatte, Referat und mündliche Prüfung: Darstellungen vergleichen</x:v>
      </x:c>
      <x:c r="E88" s="115" t="str">
        <x:v>Kurzreferat, debatte und prüfungsgespräch nach vorgegebenen Merkmalen vergleichen. HSA-orientiert: überschaubare Materialien, klarer Schreibrahmen, gesicherte Grundoperatoren und lebensweltlicher Bezug.</x:v>
      </x:c>
      <x:c r="F88" s="115" t="str">
        <x:v>Kurzreferat, debatte und prüfungsgespräch hinsichtlich Informationsauswahl, Gestaltung, Wirkung und Interessen vergleichen. RSA-orientiert: umfangreichere Materialien, selbstständige Auswahl, differenzierte Textbelege und komplexere Schreibaufträge.</x:v>
      </x:c>
      <x:c r="G88" s="115" t="str">
        <x:v>de_k9_st84_muendlich_vergleichen</x:v>
      </x:c>
      <x:c r="H88" s="176" t="e">
        <x:f>HYPERLINK("schueler/de_k9_st84_muendlich_vergleichen_app.html","Lernmodul öffnen")</x:f>
      </x:c>
      <x:c r="I88" s="177" t="e">
        <x:f>HYPERLINK("lehrer/de_k9_st84_muendlich_vergleichen_orga.html","Vorbereitung öffnen")</x:f>
      </x:c>
    </x:row>
    <x:row r="89" ht="65" customHeight="1">
      <x:c r="A89" s="142" t="n">
        <x:v>9</x:v>
      </x:c>
      <x:c r="B89" s="115" t="str">
        <x:v>Schreiben</x:v>
      </x:c>
      <x:c r="C89" s="148" t="n">
        <x:v>85</x:v>
      </x:c>
      <x:c r="D89" s="115" t="str">
        <x:v>Debatte, Referat und mündliche Prüfung: Informationen prüfen und ordnen</x:v>
      </x:c>
      <x:c r="E89" s="115" t="str">
        <x:v>Informationen aus vorgegebenen Quellen auswählen; Fundstellen notieren und geordnet ablegen. HSA-orientiert: überschaubare Materialien, klarer Schreibrahmen, gesicherte Grundoperatoren und lebensweltlicher Bezug.</x:v>
      </x:c>
      <x:c r="F89" s="115" t="str">
        <x:v>Recherchefrage entwickeln; Quellen prüfen, Informationen abgleichen und korrekt dokumentieren. RSA-orientiert: umfangreichere Materialien, selbstständige Auswahl, differenzierte Textbelege und komplexere Schreibaufträge.</x:v>
      </x:c>
      <x:c r="G89" s="115" t="str">
        <x:v>de_k9_st85_muendlich_recherche</x:v>
      </x:c>
      <x:c r="H89" s="176" t="e">
        <x:f>HYPERLINK("schueler/de_k9_st85_muendlich_recherche_app.html","Lernmodul öffnen")</x:f>
      </x:c>
      <x:c r="I89" s="177" t="e">
        <x:f>HYPERLINK("lehrer/de_k9_st85_muendlich_recherche_orga.html","Vorbereitung öffnen")</x:f>
      </x:c>
    </x:row>
    <x:row r="90" ht="65" customHeight="1">
      <x:c r="A90" s="142" t="n">
        <x:v>9</x:v>
      </x:c>
      <x:c r="B90" s="115" t="str">
        <x:v>Schreiben</x:v>
      </x:c>
      <x:c r="C90" s="148" t="n">
        <x:v>86</x:v>
      </x:c>
      <x:c r="D90" s="115" t="str">
        <x:v>Debatte, Referat und mündliche Prüfung: Produkt planen</x:v>
      </x:c>
      <x:c r="E90" s="115" t="str">
        <x:v>Für mündliche Leistung einen vorgegebenen Arbeitsplan ergänzen; Aufgaben verteilen. HSA-orientiert: überschaubare Materialien, klarer Schreibrahmen, gesicherte Grundoperatoren und lebensweltlicher Bezug.</x:v>
      </x:c>
      <x:c r="F90" s="115" t="str">
        <x:v>Für mündliche Leistung Zielgruppe, Aufbau, Medienwahl, Zeitplan und Qualitätskontrolle selbstständig festlegen. RSA-orientiert: umfangreichere Materialien, selbstständige Auswahl, differenzierte Textbelege und komplexere Schreibaufträge.</x:v>
      </x:c>
      <x:c r="G90" s="115" t="str">
        <x:v>de_k9_st86_muendlich_planen</x:v>
      </x:c>
      <x:c r="H90" s="176" t="e">
        <x:f>HYPERLINK("schueler/de_k9_st86_muendlich_planen_app.html","Lernmodul öffnen")</x:f>
      </x:c>
      <x:c r="I90" s="177" t="e">
        <x:f>HYPERLINK("lehrer/de_k9_st86_muendlich_planen_orga.html","Vorbereitung öffnen")</x:f>
      </x:c>
    </x:row>
    <x:row r="91" ht="65" customHeight="1">
      <x:c r="A91" s="142" t="n">
        <x:v>9</x:v>
      </x:c>
      <x:c r="B91" s="115" t="str">
        <x:v>Schreiben</x:v>
      </x:c>
      <x:c r="C91" s="148" t="n">
        <x:v>87</x:v>
      </x:c>
      <x:c r="D91" s="115" t="str">
        <x:v>Debatte, Referat und mündliche Prüfung: Produkt erstellen</x:v>
      </x:c>
      <x:c r="E91" s="115" t="str">
        <x:v>Mündliche leistung mit Vorlage und klaren Teilaufträgen erstellen. HSA-orientiert: überschaubare Materialien, klarer Schreibrahmen, gesicherte Grundoperatoren und lebensweltlicher Bezug.</x:v>
      </x:c>
      <x:c r="F91" s="115" t="str">
        <x:v>Mündliche leistung selbstständig, adressatengerecht und quellenbewusst erstellen. RSA-orientiert: umfangreichere Materialien, selbstständige Auswahl, differenzierte Textbelege und komplexere Schreibaufträge.</x:v>
      </x:c>
      <x:c r="G91" s="115" t="str">
        <x:v>de_k9_st87_muendlich_erstellen</x:v>
      </x:c>
      <x:c r="H91" s="176" t="e">
        <x:f>HYPERLINK("schueler/de_k9_st87_muendlich_erstellen_app.html","Lernmodul öffnen")</x:f>
      </x:c>
      <x:c r="I91" s="177" t="e">
        <x:f>HYPERLINK("lehrer/de_k9_st87_muendlich_erstellen_orga.html","Vorbereitung öffnen")</x:f>
      </x:c>
    </x:row>
    <x:row r="92" ht="65" customHeight="1">
      <x:c r="A92" s="142" t="n">
        <x:v>9</x:v>
      </x:c>
      <x:c r="B92" s="115" t="str">
        <x:v>Sprechen und Zuhören</x:v>
      </x:c>
      <x:c r="C92" s="148" t="n">
        <x:v>88</x:v>
      </x:c>
      <x:c r="D92" s="115" t="str">
        <x:v>Debatte, Referat und mündliche Prüfung: präsentieren und reflektieren</x:v>
      </x:c>
      <x:c r="E92" s="115" t="str">
        <x:v>Produkt kurz vorstellen; Rückmeldung anhand weniger Kriterien geben und annehmen. HSA-orientiert: überschaubare Materialien, klarer Schreibrahmen, gesicherte Grundoperatoren und lebensweltlicher Bezug.</x:v>
      </x:c>
      <x:c r="F92" s="115" t="str">
        <x:v>Produkt überzeugend präsentieren; Arbeitsprozess, Quellenwahl und Wirkung kritisch reflektieren. RSA-orientiert: umfangreichere Materialien, selbstständige Auswahl, differenzierte Textbelege und komplexere Schreibaufträge.</x:v>
      </x:c>
      <x:c r="G92" s="115" t="str">
        <x:v>de_k9_st88_muendlich_reflexion</x:v>
      </x:c>
      <x:c r="H92" s="176" t="e">
        <x:f>HYPERLINK("schueler/de_k9_st88_muendlich_reflexion_app.html","Lernmodul öffnen")</x:f>
      </x:c>
      <x:c r="I92" s="177" t="e">
        <x:f>HYPERLINK("lehrer/de_k9_st88_muendlich_reflexion_orga.html","Vorbereitung öffnen")</x:f>
      </x:c>
    </x:row>
    <x:row r="93" ht="65" customHeight="1">
      <x:c r="A93" s="142" t="n">
        <x:v>9</x:v>
      </x:c>
      <x:c r="B93" s="115" t="str">
        <x:v>Sprechen und Zuhören</x:v>
      </x:c>
      <x:c r="C93" s="148" t="n">
        <x:v>89</x:v>
      </x:c>
      <x:c r="D93" s="115" t="str">
        <x:v>Prüfungsvorbereitung HSA/RSA: Vorwissen und Positionen klären</x:v>
      </x:c>
      <x:c r="E93" s="115" t="str">
        <x:v>Eigene Erfahrungen zu integrierte Abschlussaufgaben benennen; zentrale Begriffe mit Beispielen klären. HSA-orientiert: überschaubare Materialien, klarer Schreibrahmen, gesicherte Grundoperatoren und lebensweltlicher Bezug.</x:v>
      </x:c>
      <x:c r="F93" s="115" t="str">
        <x:v>Vorwissen zu integrierte Abschlussaufgaben strukturieren; erste Positionen formulieren und mögliche Konflikte benennen. RSA-orientiert: umfangreichere Materialien, selbstständige Auswahl, differenzierte Textbelege und komplexere Schreibaufträge.</x:v>
      </x:c>
      <x:c r="G93" s="115" t="str">
        <x:v>de_k9_st89_pruefung_einstieg</x:v>
      </x:c>
      <x:c r="H93" s="176" t="e">
        <x:f>HYPERLINK("schueler/de_k9_st89_pruefung_einstieg_app.html","Lernmodul öffnen")</x:f>
      </x:c>
      <x:c r="I93" s="177" t="e">
        <x:f>HYPERLINK("lehrer/de_k9_st89_pruefung_einstieg_orga.html","Vorbereitung öffnen")</x:f>
      </x:c>
    </x:row>
    <x:row r="94" ht="65" customHeight="1">
      <x:c r="A94" s="142" t="n">
        <x:v>9</x:v>
      </x:c>
      <x:c r="B94" s="115" t="str">
        <x:v>Lesen/Umgang mit Texten</x:v>
      </x:c>
      <x:c r="C94" s="148" t="n">
        <x:v>90</x:v>
      </x:c>
      <x:c r="D94" s="115" t="str">
        <x:v>Prüfungsvorbereitung HSA/RSA: Quellen und Materialien erschließen</x:v>
      </x:c>
      <x:c r="E94" s="115" t="str">
        <x:v>Kurze Materialien lesen oder ansehen; Hauptaussagen mit Leitfragen festhalten. HSA-orientiert: überschaubare Materialien, klarer Schreibrahmen, gesicherte Grundoperatoren und lebensweltlicher Bezug.</x:v>
      </x:c>
      <x:c r="F94" s="115" t="str">
        <x:v>Unterschiedliche Materialien selbstständig erschließen; Aussage, Intention und Kontext bestimmen. RSA-orientiert: umfangreichere Materialien, selbstständige Auswahl, differenzierte Textbelege und komplexere Schreibaufträge.</x:v>
      </x:c>
      <x:c r="G94" s="115" t="str">
        <x:v>de_k9_st90_pruefung_quellen</x:v>
      </x:c>
      <x:c r="H94" s="176" t="e">
        <x:f>HYPERLINK("schueler/de_k9_st90_pruefung_quellen_app.html","Lernmodul öffnen")</x:f>
      </x:c>
      <x:c r="I94" s="177" t="e">
        <x:f>HYPERLINK("lehrer/de_k9_st90_pruefung_quellen_orga.html","Vorbereitung öffnen")</x:f>
      </x:c>
    </x:row>
    <x:row r="95" ht="65" customHeight="1">
      <x:c r="A95" s="142" t="n">
        <x:v>9</x:v>
      </x:c>
      <x:c r="B95" s="115" t="str">
        <x:v>Lesen/Umgang mit Texten</x:v>
      </x:c>
      <x:c r="C95" s="148" t="n">
        <x:v>91</x:v>
      </x:c>
      <x:c r="D95" s="115" t="str">
        <x:v>Prüfungsvorbereitung HSA/RSA: Qualitätskriterien anwenden</x:v>
      </x:c>
      <x:c r="E95" s="115" t="str">
        <x:v>Aufgaben lesen, Zeit einteilen, Ergebnisse prüfen in einer Checkliste anwenden und Auffälligkeiten markieren. HSA-orientiert: überschaubare Materialien, klarer Schreibrahmen, gesicherte Grundoperatoren und lebensweltlicher Bezug.</x:v>
      </x:c>
      <x:c r="F95" s="115" t="str">
        <x:v>Aufgaben lesen, Zeit einteilen, Ergebnisse prüfen gewichten, auf Grenzfälle anwenden und begründete Qualitätsurteile formulieren. RSA-orientiert: umfangreichere Materialien, selbstständige Auswahl, differenzierte Textbelege und komplexere Schreibaufträge.</x:v>
      </x:c>
      <x:c r="G95" s="115" t="str">
        <x:v>de_k9_st91_pruefung_kriterien</x:v>
      </x:c>
      <x:c r="H95" s="176" t="e">
        <x:f>HYPERLINK("schueler/de_k9_st91_pruefung_kriterien_app.html","Lernmodul öffnen")</x:f>
      </x:c>
      <x:c r="I95" s="177" t="e">
        <x:f>HYPERLINK("lehrer/de_k9_st91_pruefung_kriterien_orga.html","Vorbereitung öffnen")</x:f>
      </x:c>
    </x:row>
    <x:row r="96" ht="65" customHeight="1">
      <x:c r="A96" s="142" t="n">
        <x:v>9</x:v>
      </x:c>
      <x:c r="B96" s="115" t="str">
        <x:v>Lesen/Umgang mit Texten</x:v>
      </x:c>
      <x:c r="C96" s="148" t="n">
        <x:v>92</x:v>
      </x:c>
      <x:c r="D96" s="115" t="str">
        <x:v>Prüfungsvorbereitung HSA/RSA: Darstellungen vergleichen</x:v>
      </x:c>
      <x:c r="E96" s="115" t="str">
        <x:v>Unterschiedliche anforderungsniveaus und lösungswege nach vorgegebenen Merkmalen vergleichen. HSA-orientiert: überschaubare Materialien, klarer Schreibrahmen, gesicherte Grundoperatoren und lebensweltlicher Bezug.</x:v>
      </x:c>
      <x:c r="F96" s="115" t="str">
        <x:v>Unterschiedliche anforderungsniveaus und lösungswege hinsichtlich Informationsauswahl, Gestaltung, Wirkung und Interessen vergleichen. RSA-orientiert: umfangreichere Materialien, selbstständige Auswahl, differenzierte Textbelege und komplexere Schreibaufträge.</x:v>
      </x:c>
      <x:c r="G96" s="115" t="str">
        <x:v>de_k9_st92_pruefung_vergleichen</x:v>
      </x:c>
      <x:c r="H96" s="176" t="e">
        <x:f>HYPERLINK("schueler/de_k9_st92_pruefung_vergleichen_app.html","Lernmodul öffnen")</x:f>
      </x:c>
      <x:c r="I96" s="177" t="e">
        <x:f>HYPERLINK("lehrer/de_k9_st92_pruefung_vergleichen_orga.html","Vorbereitung öffnen")</x:f>
      </x:c>
    </x:row>
    <x:row r="97" ht="65" customHeight="1">
      <x:c r="A97" s="142" t="n">
        <x:v>9</x:v>
      </x:c>
      <x:c r="B97" s="115" t="str">
        <x:v>Schreiben</x:v>
      </x:c>
      <x:c r="C97" s="148" t="n">
        <x:v>93</x:v>
      </x:c>
      <x:c r="D97" s="115" t="str">
        <x:v>Prüfungsvorbereitung HSA/RSA: Informationen prüfen und ordnen</x:v>
      </x:c>
      <x:c r="E97" s="115" t="str">
        <x:v>Informationen aus vorgegebenen Quellen auswählen; Fundstellen notieren und geordnet ablegen. HSA-orientiert: überschaubare Materialien, klarer Schreibrahmen, gesicherte Grundoperatoren und lebensweltlicher Bezug.</x:v>
      </x:c>
      <x:c r="F97" s="115" t="str">
        <x:v>Recherchefrage entwickeln; Quellen prüfen, Informationen abgleichen und korrekt dokumentieren. RSA-orientiert: umfangreichere Materialien, selbstständige Auswahl, differenzierte Textbelege und komplexere Schreibaufträge.</x:v>
      </x:c>
      <x:c r="G97" s="115" t="str">
        <x:v>de_k9_st93_pruefung_recherche</x:v>
      </x:c>
      <x:c r="H97" s="176" t="e">
        <x:f>HYPERLINK("schueler/de_k9_st93_pruefung_recherche_app.html","Lernmodul öffnen")</x:f>
      </x:c>
      <x:c r="I97" s="177" t="e">
        <x:f>HYPERLINK("lehrer/de_k9_st93_pruefung_recherche_orga.html","Vorbereitung öffnen")</x:f>
      </x:c>
    </x:row>
    <x:row r="98" ht="65" customHeight="1">
      <x:c r="A98" s="142" t="n">
        <x:v>9</x:v>
      </x:c>
      <x:c r="B98" s="115" t="str">
        <x:v>Schreiben</x:v>
      </x:c>
      <x:c r="C98" s="148" t="n">
        <x:v>94</x:v>
      </x:c>
      <x:c r="D98" s="115" t="str">
        <x:v>Prüfungsvorbereitung HSA/RSA: Produkt planen</x:v>
      </x:c>
      <x:c r="E98" s="115" t="str">
        <x:v>Für Prüfungssimulation einen vorgegebenen Arbeitsplan ergänzen; Aufgaben verteilen. HSA-orientiert: überschaubare Materialien, klarer Schreibrahmen, gesicherte Grundoperatoren und lebensweltlicher Bezug.</x:v>
      </x:c>
      <x:c r="F98" s="115" t="str">
        <x:v>Für Prüfungssimulation Zielgruppe, Aufbau, Medienwahl, Zeitplan und Qualitätskontrolle selbstständig festlegen. RSA-orientiert: umfangreichere Materialien, selbstständige Auswahl, differenzierte Textbelege und komplexere Schreibaufträge.</x:v>
      </x:c>
      <x:c r="G98" s="115" t="str">
        <x:v>de_k9_st94_pruefung_planen</x:v>
      </x:c>
      <x:c r="H98" s="176" t="e">
        <x:f>HYPERLINK("schueler/de_k9_st94_pruefung_planen_app.html","Lernmodul öffnen")</x:f>
      </x:c>
      <x:c r="I98" s="177" t="e">
        <x:f>HYPERLINK("lehrer/de_k9_st94_pruefung_planen_orga.html","Vorbereitung öffnen")</x:f>
      </x:c>
    </x:row>
    <x:row r="99" ht="65" customHeight="1">
      <x:c r="A99" s="142" t="n">
        <x:v>9</x:v>
      </x:c>
      <x:c r="B99" s="115" t="str">
        <x:v>Schreiben</x:v>
      </x:c>
      <x:c r="C99" s="148" t="n">
        <x:v>95</x:v>
      </x:c>
      <x:c r="D99" s="115" t="str">
        <x:v>Prüfungsvorbereitung HSA/RSA: Produkt erstellen</x:v>
      </x:c>
      <x:c r="E99" s="115" t="str">
        <x:v>Prüfungssimulation mit Vorlage und klaren Teilaufträgen erstellen. HSA-orientiert: überschaubare Materialien, klarer Schreibrahmen, gesicherte Grundoperatoren und lebensweltlicher Bezug.</x:v>
      </x:c>
      <x:c r="F99" s="115" t="str">
        <x:v>Prüfungssimulation selbstständig, adressatengerecht und quellenbewusst erstellen. RSA-orientiert: umfangreichere Materialien, selbstständige Auswahl, differenzierte Textbelege und komplexere Schreibaufträge.</x:v>
      </x:c>
      <x:c r="G99" s="115" t="str">
        <x:v>de_k9_st95_pruefung_erstellen</x:v>
      </x:c>
      <x:c r="H99" s="176" t="e">
        <x:f>HYPERLINK("schueler/de_k9_st95_pruefung_erstellen_app.html","Lernmodul öffnen")</x:f>
      </x:c>
      <x:c r="I99" s="177" t="e">
        <x:f>HYPERLINK("lehrer/de_k9_st95_pruefung_erstellen_orga.html","Vorbereitung öffnen")</x:f>
      </x:c>
    </x:row>
    <x:row r="100" ht="65" customHeight="1">
      <x:c r="A100" s="143" t="n">
        <x:v>9</x:v>
      </x:c>
      <x:c r="B100" s="118" t="str">
        <x:v>Sprechen und Zuhören</x:v>
      </x:c>
      <x:c r="C100" s="149" t="n">
        <x:v>96</x:v>
      </x:c>
      <x:c r="D100" s="118" t="str">
        <x:v>Prüfungsvorbereitung HSA/RSA: präsentieren und reflektieren</x:v>
      </x:c>
      <x:c r="E100" s="118" t="str">
        <x:v>Produkt kurz vorstellen; Rückmeldung anhand weniger Kriterien geben und annehmen. HSA-orientiert: überschaubare Materialien, klarer Schreibrahmen, gesicherte Grundoperatoren und lebensweltlicher Bezug.</x:v>
      </x:c>
      <x:c r="F100" s="118" t="str">
        <x:v>Produkt überzeugend präsentieren; Arbeitsprozess, Quellenwahl und Wirkung kritisch reflektieren. RSA-orientiert: umfangreichere Materialien, selbstständige Auswahl, differenzierte Textbelege und komplexere Schreibaufträge.</x:v>
      </x:c>
      <x:c r="G100" s="118" t="str">
        <x:v>de_k9_st96_pruefung_reflexion</x:v>
      </x:c>
      <x:c r="H100" s="178" t="e">
        <x:f>HYPERLINK("schueler/de_k9_st96_pruefung_reflexion_app.html","Lernmodul öffnen")</x:f>
      </x:c>
      <x:c r="I100" s="179" t="e">
        <x:f>HYPERLINK("lehrer/de_k9_st96_pruefung_reflexion_orga.html","Vorbereitung öffnen")</x:f>
      </x:c>
    </x:row>
  </x:sheetData>
  <x:mergeCells>
    <x:mergeCell ref="A1:I1"/>
    <x:mergeCell ref="A2:I2"/>
  </x:mergeCells>
  <x:conditionalFormatting sqref="B5:B100">
    <x:cfRule type="expression" dxfId="20" priority="1">
      <x:formula>B5="Sprechen und Zuhören"</x:formula>
    </x:cfRule>
    <x:cfRule type="expression" dxfId="21" priority="2">
      <x:formula>B5="Schreiben"</x:formula>
    </x:cfRule>
    <x:cfRule type="expression" dxfId="22" priority="3">
      <x:formula>B5="Lesen/Umgang mit Texten"</x:formula>
    </x:cfRule>
    <x:cfRule type="expression" dxfId="23" priority="4">
      <x:formula>B5="Sprache untersuchen"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9b55f7991246b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0" hidden="0" customWidth="1"/>
    <x:col min="4" max="4" width="42" hidden="0" customWidth="1"/>
    <x:col min="5" max="5" width="47" hidden="0" customWidth="1"/>
    <x:col min="6" max="6" width="47" hidden="0" customWidth="1"/>
    <x:col min="7" max="7" width="42" hidden="0" customWidth="1"/>
    <x:col min="8" max="8" width="22" hidden="0" customWidth="1"/>
    <x:col min="9" max="9" width="24" hidden="0" customWidth="1"/>
  </x:cols>
  <x:sheetData>
    <x:row r="1" ht="34" customHeight="1">
      <x:c r="A1" s="131" t="str">
        <x:v>Deutsch Klasse 10 – Schüler-Module und Lehrer-Vorbereitungen</x:v>
      </x:c>
      <x:c r="B1" s="131"/>
      <x:c r="C1" s="131"/>
      <x:c r="D1" s="131"/>
      <x:c r="E1" s="131"/>
      <x:c r="F1" s="131"/>
      <x:c r="G1" s="131"/>
      <x:c r="H1" s="131"/>
      <x:c r="I1" s="131"/>
    </x:row>
    <x:row r="2" ht="42" customHeight="1">
      <x:c r="A2" s="13" t="str">
        <x:v>Jede Unterrichtsstunde ist mit einem Schüler-Lernmodul und einer Lehrer-Vorbereitung verknüpft. Die Links funktionieren, wenn die Excel-Datei neben den Ordnern „schueler“ und „lehrer“ liegt.</x:v>
      </x:c>
      <x:c r="B2" s="13"/>
      <x:c r="C2" s="13"/>
      <x:c r="D2" s="13"/>
      <x:c r="E2" s="13"/>
      <x:c r="F2" s="13"/>
      <x:c r="G2" s="13"/>
      <x:c r="H2" s="13"/>
      <x:c r="I2" s="13"/>
    </x:row>
    <x:row r="4" ht="42" customHeight="1">
      <x:c r="A4" s="135" t="str">
        <x:v>Klasse</x:v>
      </x:c>
      <x:c r="B4" s="136" t="str">
        <x:v>Lernbereich</x:v>
      </x:c>
      <x:c r="C4" s="136" t="str">
        <x:v>Stunde</x:v>
      </x:c>
      <x:c r="D4" s="136" t="str">
        <x:v>Thema der Unterrichtsstunde</x:v>
      </x:c>
      <x:c r="E4" s="136" t="str">
        <x:v>Inhalt HSA</x:v>
      </x:c>
      <x:c r="F4" s="136" t="str">
        <x:v>Inhalt RSA</x:v>
      </x:c>
      <x:c r="G4" s="136" t="str">
        <x:v>Modul-ID</x:v>
      </x:c>
      <x:c r="H4" s="136" t="str">
        <x:v>Schüler-Modul</x:v>
      </x:c>
      <x:c r="I4" s="137" t="str">
        <x:v>Lehrer-Vorbereitung</x:v>
      </x:c>
    </x:row>
    <x:row r="5" ht="65" customHeight="1">
      <x:c r="A5" s="141" t="n">
        <x:v>10</x:v>
      </x:c>
      <x:c r="B5" s="112" t="str">
        <x:v>Sprechen und Zuhören</x:v>
      </x:c>
      <x:c r="C5" s="147" t="n">
        <x:v>1</x:v>
      </x:c>
      <x:c r="D5" s="112" t="str">
        <x:v>Diagnose und Prüfungsstrategie: Vorwissen und Positionen klären</x:v>
      </x:c>
      <x:c r="E5" s="112" t="str">
        <x:v>Eigene Erfahrungen zu Anforderungen der Abschlussprüfung benennen; zentrale Begriffe mit Beispielen klären. Grundlegende Sicherung für Lernende mit HSA-Niveau beziehungsweise zusätzlichem Förderbedarf; kurze Materialien und feste Arbeitsschritte.</x:v>
      </x:c>
      <x:c r="F5" s="112" t="str">
        <x:v>Vorwissen zu Anforderungen der Abschlussprüfung strukturieren; erste Positionen formulieren und mögliche Konflikte benennen. RSA-orientiert: vollständige Anforderungsbreite der Klassenstufe 10, selbstständige Planung, Analyse und reflektierte Bewertung.</x:v>
      </x:c>
      <x:c r="G5" s="112" t="str">
        <x:v>de_k10_st01_diagnose_einstieg</x:v>
      </x:c>
      <x:c r="H5" s="174" t="e">
        <x:f>HYPERLINK("schueler/de_k10_st01_diagnose_einstieg_app.html","Lernmodul öffnen")</x:f>
      </x:c>
      <x:c r="I5" s="175" t="e">
        <x:f>HYPERLINK("lehrer/de_k10_st01_diagnose_einstieg_orga.html","Vorbereitung öffnen")</x:f>
      </x:c>
    </x:row>
    <x:row r="6" ht="65" customHeight="1">
      <x:c r="A6" s="142" t="n">
        <x:v>10</x:v>
      </x:c>
      <x:c r="B6" s="115" t="str">
        <x:v>Lesen/Umgang mit Texten</x:v>
      </x:c>
      <x:c r="C6" s="148" t="n">
        <x:v>2</x:v>
      </x:c>
      <x:c r="D6" s="115" t="str">
        <x:v>Diagnose und Prüfungsstrategie: Quellen und Materialien erschließen</x:v>
      </x:c>
      <x:c r="E6" s="115" t="str">
        <x:v>Kurze Materialien lesen oder ansehen; Hauptaussagen mit Leitfragen festhalten. Grundlegende Sicherung für Lernende mit HSA-Niveau beziehungsweise zusätzlichem Förderbedarf; kurze Materialien und feste Arbeitsschritte.</x:v>
      </x:c>
      <x:c r="F6" s="115" t="str">
        <x:v>Unterschiedliche Materialien selbstständig erschließen; Aussage, Intention und Kontext bestimmen. RSA-orientiert: vollständige Anforderungsbreite der Klassenstufe 10, selbstständige Planung, Analyse und reflektierte Bewertung.</x:v>
      </x:c>
      <x:c r="G6" s="115" t="str">
        <x:v>de_k10_st02_diagnose_quellen</x:v>
      </x:c>
      <x:c r="H6" s="176" t="e">
        <x:f>HYPERLINK("schueler/de_k10_st02_diagnose_quellen_app.html","Lernmodul öffnen")</x:f>
      </x:c>
      <x:c r="I6" s="177" t="e">
        <x:f>HYPERLINK("lehrer/de_k10_st02_diagnose_quellen_orga.html","Vorbereitung öffnen")</x:f>
      </x:c>
    </x:row>
    <x:row r="7" ht="65" customHeight="1">
      <x:c r="A7" s="142" t="n">
        <x:v>10</x:v>
      </x:c>
      <x:c r="B7" s="115" t="str">
        <x:v>Lesen/Umgang mit Texten</x:v>
      </x:c>
      <x:c r="C7" s="148" t="n">
        <x:v>3</x:v>
      </x:c>
      <x:c r="D7" s="115" t="str">
        <x:v>Diagnose und Prüfungsstrategie: Qualitätskriterien anwenden</x:v>
      </x:c>
      <x:c r="E7" s="115" t="str">
        <x:v>Operatoren, Materialauswahl, Zeitmanagement und Bewertungskriterien in einer Checkliste anwenden und Auffälligkeiten markieren. Grundlegende Sicherung für Lernende mit HSA-Niveau beziehungsweise zusätzlichem Förderbedarf; kurze Materialien und feste Arbeitsschritte.</x:v>
      </x:c>
      <x:c r="F7" s="115" t="str">
        <x:v>Operatoren, Materialauswahl, Zeitmanagement und Bewertungskriterien gewichten, auf Grenzfälle anwenden und begründete Qualitätsurteile formulieren. RSA-orientiert: vollständige Anforderungsbreite der Klassenstufe 10, selbstständige Planung, Analyse und reflektierte Bewertung.</x:v>
      </x:c>
      <x:c r="G7" s="115" t="str">
        <x:v>de_k10_st03_diagnose_kriterien</x:v>
      </x:c>
      <x:c r="H7" s="176" t="e">
        <x:f>HYPERLINK("schueler/de_k10_st03_diagnose_kriterien_app.html","Lernmodul öffnen")</x:f>
      </x:c>
      <x:c r="I7" s="177" t="e">
        <x:f>HYPERLINK("lehrer/de_k10_st03_diagnose_kriterien_orga.html","Vorbereitung öffnen")</x:f>
      </x:c>
    </x:row>
    <x:row r="8" ht="65" customHeight="1">
      <x:c r="A8" s="142" t="n">
        <x:v>10</x:v>
      </x:c>
      <x:c r="B8" s="115" t="str">
        <x:v>Lesen/Umgang mit Texten</x:v>
      </x:c>
      <x:c r="C8" s="148" t="n">
        <x:v>4</x:v>
      </x:c>
      <x:c r="D8" s="115" t="str">
        <x:v>Diagnose und Prüfungsstrategie: Darstellungen vergleichen</x:v>
      </x:c>
      <x:c r="E8" s="115" t="str">
        <x:v>Basisaufgabe und komplexe rsa-aufgabe nach vorgegebenen Merkmalen vergleichen. Grundlegende Sicherung für Lernende mit HSA-Niveau beziehungsweise zusätzlichem Förderbedarf; kurze Materialien und feste Arbeitsschritte.</x:v>
      </x:c>
      <x:c r="F8" s="115" t="str">
        <x:v>Basisaufgabe und komplexe rsa-aufgabe hinsichtlich Informationsauswahl, Gestaltung, Wirkung und Interessen vergleichen. RSA-orientiert: vollständige Anforderungsbreite der Klassenstufe 10, selbstständige Planung, Analyse und reflektierte Bewertung.</x:v>
      </x:c>
      <x:c r="G8" s="115" t="str">
        <x:v>de_k10_st04_diagnose_vergleichen</x:v>
      </x:c>
      <x:c r="H8" s="176" t="e">
        <x:f>HYPERLINK("schueler/de_k10_st04_diagnose_vergleichen_app.html","Lernmodul öffnen")</x:f>
      </x:c>
      <x:c r="I8" s="177" t="e">
        <x:f>HYPERLINK("lehrer/de_k10_st04_diagnose_vergleichen_orga.html","Vorbereitung öffnen")</x:f>
      </x:c>
    </x:row>
    <x:row r="9" ht="65" customHeight="1">
      <x:c r="A9" s="142" t="n">
        <x:v>10</x:v>
      </x:c>
      <x:c r="B9" s="115" t="str">
        <x:v>Schreiben</x:v>
      </x:c>
      <x:c r="C9" s="148" t="n">
        <x:v>5</x:v>
      </x:c>
      <x:c r="D9" s="115" t="str">
        <x:v>Diagnose und Prüfungsstrategie: Informationen prüfen und ordnen</x:v>
      </x:c>
      <x:c r="E9" s="115" t="str">
        <x:v>Informationen aus vorgegebenen Quellen auswählen; Fundstellen notieren und geordnet ablegen. Grundlegende Sicherung für Lernende mit HSA-Niveau beziehungsweise zusätzlichem Förderbedarf; kurze Materialien und feste Arbeitsschritte.</x:v>
      </x:c>
      <x:c r="F9" s="115" t="str">
        <x:v>Recherchefrage entwickeln; Quellen prüfen, Informationen abgleichen und korrekt dokumentieren. RSA-orientiert: vollständige Anforderungsbreite der Klassenstufe 10, selbstständige Planung, Analyse und reflektierte Bewertung.</x:v>
      </x:c>
      <x:c r="G9" s="115" t="str">
        <x:v>de_k10_st05_diagnose_recherche</x:v>
      </x:c>
      <x:c r="H9" s="176" t="e">
        <x:f>HYPERLINK("schueler/de_k10_st05_diagnose_recherche_app.html","Lernmodul öffnen")</x:f>
      </x:c>
      <x:c r="I9" s="177" t="e">
        <x:f>HYPERLINK("lehrer/de_k10_st05_diagnose_recherche_orga.html","Vorbereitung öffnen")</x:f>
      </x:c>
    </x:row>
    <x:row r="10" ht="65" customHeight="1">
      <x:c r="A10" s="142" t="n">
        <x:v>10</x:v>
      </x:c>
      <x:c r="B10" s="115" t="str">
        <x:v>Schreiben</x:v>
      </x:c>
      <x:c r="C10" s="148" t="n">
        <x:v>6</x:v>
      </x:c>
      <x:c r="D10" s="115" t="str">
        <x:v>Diagnose und Prüfungsstrategie: Produkt planen</x:v>
      </x:c>
      <x:c r="E10" s="115" t="str">
        <x:v>Für individueller Arbeitsplan einen vorgegebenen Arbeitsplan ergänzen; Aufgaben verteilen. Grundlegende Sicherung für Lernende mit HSA-Niveau beziehungsweise zusätzlichem Förderbedarf; kurze Materialien und feste Arbeitsschritte.</x:v>
      </x:c>
      <x:c r="F10" s="115" t="str">
        <x:v>Für individueller Arbeitsplan Zielgruppe, Aufbau, Medienwahl, Zeitplan und Qualitätskontrolle selbstständig festlegen. RSA-orientiert: vollständige Anforderungsbreite der Klassenstufe 10, selbstständige Planung, Analyse und reflektierte Bewertung.</x:v>
      </x:c>
      <x:c r="G10" s="115" t="str">
        <x:v>de_k10_st06_diagnose_planen</x:v>
      </x:c>
      <x:c r="H10" s="176" t="e">
        <x:f>HYPERLINK("schueler/de_k10_st06_diagnose_planen_app.html","Lernmodul öffnen")</x:f>
      </x:c>
      <x:c r="I10" s="177" t="e">
        <x:f>HYPERLINK("lehrer/de_k10_st06_diagnose_planen_orga.html","Vorbereitung öffnen")</x:f>
      </x:c>
    </x:row>
    <x:row r="11" ht="65" customHeight="1">
      <x:c r="A11" s="142" t="n">
        <x:v>10</x:v>
      </x:c>
      <x:c r="B11" s="115" t="str">
        <x:v>Schreiben</x:v>
      </x:c>
      <x:c r="C11" s="148" t="n">
        <x:v>7</x:v>
      </x:c>
      <x:c r="D11" s="115" t="str">
        <x:v>Diagnose und Prüfungsstrategie: Produkt erstellen</x:v>
      </x:c>
      <x:c r="E11" s="115" t="str">
        <x:v>Individueller arbeitsplan mit Vorlage und klaren Teilaufträgen erstellen. Grundlegende Sicherung für Lernende mit HSA-Niveau beziehungsweise zusätzlichem Förderbedarf; kurze Materialien und feste Arbeitsschritte.</x:v>
      </x:c>
      <x:c r="F11" s="115" t="str">
        <x:v>Individueller arbeitsplan selbstständig, adressatengerecht und quellenbewusst erstellen. RSA-orientiert: vollständige Anforderungsbreite der Klassenstufe 10, selbstständige Planung, Analyse und reflektierte Bewertung.</x:v>
      </x:c>
      <x:c r="G11" s="115" t="str">
        <x:v>de_k10_st07_diagnose_erstellen</x:v>
      </x:c>
      <x:c r="H11" s="176" t="e">
        <x:f>HYPERLINK("schueler/de_k10_st07_diagnose_erstellen_app.html","Lernmodul öffnen")</x:f>
      </x:c>
      <x:c r="I11" s="177" t="e">
        <x:f>HYPERLINK("lehrer/de_k10_st07_diagnose_erstellen_orga.html","Vorbereitung öffnen")</x:f>
      </x:c>
    </x:row>
    <x:row r="12" ht="65" customHeight="1">
      <x:c r="A12" s="142" t="n">
        <x:v>10</x:v>
      </x:c>
      <x:c r="B12" s="115" t="str">
        <x:v>Sprechen und Zuhören</x:v>
      </x:c>
      <x:c r="C12" s="148" t="n">
        <x:v>8</x:v>
      </x:c>
      <x:c r="D12" s="115" t="str">
        <x:v>Diagnose und Prüfungsstrategie: präsentieren und reflektieren</x:v>
      </x:c>
      <x:c r="E12" s="115" t="str">
        <x:v>Produkt kurz vorstellen; Rückmeldung anhand weniger Kriterien geben und annehmen. Grundlegende Sicherung für Lernende mit HSA-Niveau beziehungsweise zusätzlichem Förderbedarf; kurze Materialien und feste Arbeitsschritte.</x:v>
      </x:c>
      <x:c r="F12" s="115" t="str">
        <x:v>Produkt überzeugend präsentieren; Arbeitsprozess, Quellenwahl und Wirkung kritisch reflektieren. RSA-orientiert: vollständige Anforderungsbreite der Klassenstufe 10, selbstständige Planung, Analyse und reflektierte Bewertung.</x:v>
      </x:c>
      <x:c r="G12" s="115" t="str">
        <x:v>de_k10_st08_diagnose_reflexion</x:v>
      </x:c>
      <x:c r="H12" s="176" t="e">
        <x:f>HYPERLINK("schueler/de_k10_st08_diagnose_reflexion_app.html","Lernmodul öffnen")</x:f>
      </x:c>
      <x:c r="I12" s="177" t="e">
        <x:f>HYPERLINK("lehrer/de_k10_st08_diagnose_reflexion_orga.html","Vorbereitung öffnen")</x:f>
      </x:c>
    </x:row>
    <x:row r="13" ht="65" customHeight="1">
      <x:c r="A13" s="142" t="n">
        <x:v>10</x:v>
      </x:c>
      <x:c r="B13" s="115" t="str">
        <x:v>Sprechen und Zuhören</x:v>
      </x:c>
      <x:c r="C13" s="148" t="n">
        <x:v>9</x:v>
      </x:c>
      <x:c r="D13" s="115" t="str">
        <x:v>Klassisches Drama: Hör- oder Leseeinstieg gestalten</x:v>
      </x:c>
      <x:c r="E13" s="115" t="str">
        <x:v>Einstieg über Bild, Hörtext oder kurzen Auszug; Vorwissen zu Drama der Klassik oder des Sturm und Drang sammeln und zentrale Wörter klären. Grundlegende Sicherung für Lernende mit HSA-Niveau beziehungsweise zusätzlichem Förderbedarf; kurze Materialien und feste Arbeitsschritte.</x:v>
      </x:c>
      <x:c r="F13" s="115" t="str">
        <x:v>Aus Titel, Kontext und Gestaltung Erwartungen an Drama der Klassik oder des Sturm und Drang ableiten; erste Hypothesen formulieren und begründen. RSA-orientiert: vollständige Anforderungsbreite der Klassenstufe 10, selbstständige Planung, Analyse und reflektierte Bewertung.</x:v>
      </x:c>
      <x:c r="G13" s="115" t="str">
        <x:v>de_k10_st09_drama_klassik_einstieg</x:v>
      </x:c>
      <x:c r="H13" s="176" t="e">
        <x:f>HYPERLINK("schueler/de_k10_st09_drama_klassik_einstieg_app.html","Lernmodul öffnen")</x:f>
      </x:c>
      <x:c r="I13" s="177" t="e">
        <x:f>HYPERLINK("lehrer/de_k10_st09_drama_klassik_einstieg_orga.html","Vorbereitung öffnen")</x:f>
      </x:c>
    </x:row>
    <x:row r="14" ht="65" customHeight="1">
      <x:c r="A14" s="142" t="n">
        <x:v>10</x:v>
      </x:c>
      <x:c r="B14" s="115" t="str">
        <x:v>Lesen/Umgang mit Texten</x:v>
      </x:c>
      <x:c r="C14" s="148" t="n">
        <x:v>10</x:v>
      </x:c>
      <x:c r="D14" s="115" t="str">
        <x:v>Klassisches Drama: den Text mit Lesestrategien erschließen</x:v>
      </x:c>
      <x:c r="E14" s="115" t="str">
        <x:v>Text abschnittsweise lesen; Schlüsselwörter markieren und den Inhalt mit Leitfragen sichern. Grundlegende Sicherung für Lernende mit HSA-Niveau beziehungsweise zusätzlichem Förderbedarf; kurze Materialien und feste Arbeitsschritte.</x:v>
      </x:c>
      <x:c r="F14" s="115" t="str">
        <x:v>Lesetechnik passend zum Ziel wählen; Sinnabschnitte, Schlüsselstellen und offene Fragen selbstständig festhalten. RSA-orientiert: vollständige Anforderungsbreite der Klassenstufe 10, selbstständige Planung, Analyse und reflektierte Bewertung.</x:v>
      </x:c>
      <x:c r="G14" s="115" t="str">
        <x:v>de_k10_st10_drama_klassik_erschliessen</x:v>
      </x:c>
      <x:c r="H14" s="176" t="e">
        <x:f>HYPERLINK("schueler/de_k10_st10_drama_klassik_erschliessen_app.html","Lernmodul öffnen")</x:f>
      </x:c>
      <x:c r="I14" s="177" t="e">
        <x:f>HYPERLINK("lehrer/de_k10_st10_drama_klassik_erschliessen_orga.html","Vorbereitung öffnen")</x:f>
      </x:c>
    </x:row>
    <x:row r="15" ht="65" customHeight="1">
      <x:c r="A15" s="142" t="n">
        <x:v>10</x:v>
      </x:c>
      <x:c r="B15" s="115" t="str">
        <x:v>Lesen/Umgang mit Texten</x:v>
      </x:c>
      <x:c r="C15" s="148" t="n">
        <x:v>11</x:v>
      </x:c>
      <x:c r="D15" s="115" t="str">
        <x:v>Klassisches Drama: Gattungsmerkmale erkennen</x:v>
      </x:c>
      <x:c r="E15" s="115" t="str">
        <x:v>Merkmale wie Akt, Szene, Konflikt, Figurenkonstellation mithilfe einer Checkliste zuordnen und an Textstellen zeigen. Grundlegende Sicherung für Lernende mit HSA-Niveau beziehungsweise zusätzlichem Förderbedarf; kurze Materialien und feste Arbeitsschritte.</x:v>
      </x:c>
      <x:c r="F15" s="115" t="str">
        <x:v>Merkmale wie Akt, Szene, Konflikt, Figurenkonstellation textnah belegen und ihre Funktion für Aufbau und Wirkung erklären. RSA-orientiert: vollständige Anforderungsbreite der Klassenstufe 10, selbstständige Planung, Analyse und reflektierte Bewertung.</x:v>
      </x:c>
      <x:c r="G15" s="115" t="str">
        <x:v>de_k10_st11_drama_klassik_merkmale</x:v>
      </x:c>
      <x:c r="H15" s="176" t="e">
        <x:f>HYPERLINK("schueler/de_k10_st11_drama_klassik_merkmale_app.html","Lernmodul öffnen")</x:f>
      </x:c>
      <x:c r="I15" s="177" t="e">
        <x:f>HYPERLINK("lehrer/de_k10_st11_drama_klassik_merkmale_orga.html","Vorbereitung öffnen")</x:f>
      </x:c>
    </x:row>
    <x:row r="16" ht="65" customHeight="1">
      <x:c r="A16" s="142" t="n">
        <x:v>10</x:v>
      </x:c>
      <x:c r="B16" s="115" t="str">
        <x:v>Lesen/Umgang mit Texten</x:v>
      </x:c>
      <x:c r="C16" s="148" t="n">
        <x:v>12</x:v>
      </x:c>
      <x:c r="D16" s="115" t="str">
        <x:v>Klassisches Drama: Figuren, Handlung und Konflikt untersuchen</x:v>
      </x:c>
      <x:c r="E16" s="115" t="str">
        <x:v>Epochenbezug, Menschenbild und Dramaturgie mit Figurenkarten oder Handlungsstreifen ordnen; einfache Belege auswählen. Grundlegende Sicherung für Lernende mit HSA-Niveau beziehungsweise zusätzlichem Förderbedarf; kurze Materialien und feste Arbeitsschritte.</x:v>
      </x:c>
      <x:c r="F16" s="115" t="str">
        <x:v>Epochenbezug, Menschenbild und Dramaturgie in ihrem Zusammenhang untersuchen; Schlussfolgerungen mit passenden Textbelegen absichern. RSA-orientiert: vollständige Anforderungsbreite der Klassenstufe 10, selbstständige Planung, Analyse und reflektierte Bewertung.</x:v>
      </x:c>
      <x:c r="G16" s="115" t="str">
        <x:v>de_k10_st12_drama_klassik_figuren_handlung</x:v>
      </x:c>
      <x:c r="H16" s="176" t="e">
        <x:f>HYPERLINK("schueler/de_k10_st12_drama_klassik_figuren_handlung_app.html","Lernmodul öffnen")</x:f>
      </x:c>
      <x:c r="I16" s="177" t="e">
        <x:f>HYPERLINK("lehrer/de_k10_st12_drama_klassik_figuren_handlung_orga.html","Vorbereitung öffnen")</x:f>
      </x:c>
    </x:row>
    <x:row r="17" ht="65" customHeight="1">
      <x:c r="A17" s="142" t="n">
        <x:v>10</x:v>
      </x:c>
      <x:c r="B17" s="115" t="str">
        <x:v>Sprache untersuchen</x:v>
      </x:c>
      <x:c r="C17" s="148" t="n">
        <x:v>13</x:v>
      </x:c>
      <x:c r="D17" s="115" t="str">
        <x:v>Klassisches Drama: Sprache und Wirkung untersuchen</x:v>
      </x:c>
      <x:c r="E17" s="115" t="str">
        <x:v>Beispiele für Dialogführung, Monolog, rhetorische Mittel markieren und ihre Wirkung mit vorgegebenen Begriffen beschreiben. Grundlegende Sicherung für Lernende mit HSA-Niveau beziehungsweise zusätzlichem Förderbedarf; kurze Materialien und feste Arbeitsschritte.</x:v>
      </x:c>
      <x:c r="F17" s="115" t="str">
        <x:v>Dialogführung, Monolog, rhetorische Mittel fachsprachlich analysieren und auf Figurenzeichnung, Stimmung oder Aussage beziehen. RSA-orientiert: vollständige Anforderungsbreite der Klassenstufe 10, selbstständige Planung, Analyse und reflektierte Bewertung.</x:v>
      </x:c>
      <x:c r="G17" s="115" t="str">
        <x:v>de_k10_st13_drama_klassik_sprache_wirkung</x:v>
      </x:c>
      <x:c r="H17" s="176" t="e">
        <x:f>HYPERLINK("schueler/de_k10_st13_drama_klassik_sprache_wirkung_app.html","Lernmodul öffnen")</x:f>
      </x:c>
      <x:c r="I17" s="177" t="e">
        <x:f>HYPERLINK("lehrer/de_k10_st13_drama_klassik_sprache_wirkung_orga.html","Vorbereitung öffnen")</x:f>
      </x:c>
    </x:row>
    <x:row r="18" ht="65" customHeight="1">
      <x:c r="A18" s="142" t="n">
        <x:v>10</x:v>
      </x:c>
      <x:c r="B18" s="115" t="str">
        <x:v>Schreiben</x:v>
      </x:c>
      <x:c r="C18" s="148" t="n">
        <x:v>14</x:v>
      </x:c>
      <x:c r="D18" s="115" t="str">
        <x:v>Klassisches Drama: eine Deutung oder Perspektive vorbereiten</x:v>
      </x:c>
      <x:c r="E18" s="115" t="str">
        <x:v>Eine zentrale Aussage mit Satzstartern formulieren; Beleg und Erklärung in einem Schreibrahmen verbinden. Grundlegende Sicherung für Lernende mit HSA-Niveau beziehungsweise zusätzlichem Förderbedarf; kurze Materialien und feste Arbeitsschritte.</x:v>
      </x:c>
      <x:c r="F18" s="115" t="str">
        <x:v>Eine schlüssige Deutungshypothese entwickeln; mehrere Belege auswählen, ordnen und gegeneinander abwägen. RSA-orientiert: vollständige Anforderungsbreite der Klassenstufe 10, selbstständige Planung, Analyse und reflektierte Bewertung.</x:v>
      </x:c>
      <x:c r="G18" s="115" t="str">
        <x:v>de_k10_st14_drama_klassik_deutung_planen</x:v>
      </x:c>
      <x:c r="H18" s="176" t="e">
        <x:f>HYPERLINK("schueler/de_k10_st14_drama_klassik_deutung_planen_app.html","Lernmodul öffnen")</x:f>
      </x:c>
      <x:c r="I18" s="177" t="e">
        <x:f>HYPERLINK("lehrer/de_k10_st14_drama_klassik_deutung_planen_orga.html","Vorbereitung öffnen")</x:f>
      </x:c>
    </x:row>
    <x:row r="19" ht="65" customHeight="1">
      <x:c r="A19" s="142" t="n">
        <x:v>10</x:v>
      </x:c>
      <x:c r="B19" s="115" t="str">
        <x:v>Schreiben</x:v>
      </x:c>
      <x:c r="C19" s="148" t="n">
        <x:v>15</x:v>
      </x:c>
      <x:c r="D19" s="115" t="str">
        <x:v>Klassisches Drama: Szenenanalyse gestalten</x:v>
      </x:c>
      <x:c r="E19" s="115" t="str">
        <x:v>Szenenanalyse nach klaren Vorgaben erstellen; Hilfekarten und Wortbank nutzen. Grundlegende Sicherung für Lernende mit HSA-Niveau beziehungsweise zusätzlichem Förderbedarf; kurze Materialien und feste Arbeitsschritte.</x:v>
      </x:c>
      <x:c r="F19" s="115" t="str">
        <x:v>Szenenanalyse eigenständig, textnah und sprachlich variabel gestalten; Wirkung bewusst planen. RSA-orientiert: vollständige Anforderungsbreite der Klassenstufe 10, selbstständige Planung, Analyse und reflektierte Bewertung.</x:v>
      </x:c>
      <x:c r="G19" s="115" t="str">
        <x:v>de_k10_st15_drama_klassik_produkt</x:v>
      </x:c>
      <x:c r="H19" s="176" t="e">
        <x:f>HYPERLINK("schueler/de_k10_st15_drama_klassik_produkt_app.html","Lernmodul öffnen")</x:f>
      </x:c>
      <x:c r="I19" s="177" t="e">
        <x:f>HYPERLINK("lehrer/de_k10_st15_drama_klassik_produkt_orga.html","Vorbereitung öffnen")</x:f>
      </x:c>
    </x:row>
    <x:row r="20" ht="65" customHeight="1">
      <x:c r="A20" s="142" t="n">
        <x:v>10</x:v>
      </x:c>
      <x:c r="B20" s="115" t="str">
        <x:v>Sprechen und Zuhören</x:v>
      </x:c>
      <x:c r="C20" s="148" t="n">
        <x:v>16</x:v>
      </x:c>
      <x:c r="D20" s="115" t="str">
        <x:v>Klassisches Drama: Ergebnisse präsentieren und reflektieren</x:v>
      </x:c>
      <x:c r="E20" s="115" t="str">
        <x:v>Ergebnis kurz vorstellen; zwei vereinbarte Kriterien für Rückmeldung anwenden. Grundlegende Sicherung für Lernende mit HSA-Niveau beziehungsweise zusätzlichem Förderbedarf; kurze Materialien und feste Arbeitsschritte.</x:v>
      </x:c>
      <x:c r="F20" s="115" t="str">
        <x:v>Ergebnis adressatenbezogen präsentieren; Rückmeldungen begründen und die eigene Deutung oder Gestaltung überarbeiten. RSA-orientiert: vollständige Anforderungsbreite der Klassenstufe 10, selbstständige Planung, Analyse und reflektierte Bewertung.</x:v>
      </x:c>
      <x:c r="G20" s="115" t="str">
        <x:v>de_k10_st16_drama_klassik_praesentieren</x:v>
      </x:c>
      <x:c r="H20" s="176" t="e">
        <x:f>HYPERLINK("schueler/de_k10_st16_drama_klassik_praesentieren_app.html","Lernmodul öffnen")</x:f>
      </x:c>
      <x:c r="I20" s="177" t="e">
        <x:f>HYPERLINK("lehrer/de_k10_st16_drama_klassik_praesentieren_orga.html","Vorbereitung öffnen")</x:f>
      </x:c>
    </x:row>
    <x:row r="21" ht="65" customHeight="1">
      <x:c r="A21" s="142" t="n">
        <x:v>10</x:v>
      </x:c>
      <x:c r="B21" s="115" t="str">
        <x:v>Sprechen und Zuhören</x:v>
      </x:c>
      <x:c r="C21" s="148" t="n">
        <x:v>17</x:v>
      </x:c>
      <x:c r="D21" s="115" t="str">
        <x:v>Modernes oder episches Drama: Hör- oder Leseeinstieg gestalten</x:v>
      </x:c>
      <x:c r="E21" s="115" t="str">
        <x:v>Einstieg über Bild, Hörtext oder kurzen Auszug; Vorwissen zu modernes beziehungsweise episches Drama sammeln und zentrale Wörter klären. Grundlegende Sicherung für Lernende mit HSA-Niveau beziehungsweise zusätzlichem Förderbedarf; kurze Materialien und feste Arbeitsschritte.</x:v>
      </x:c>
      <x:c r="F21" s="115" t="str">
        <x:v>Aus Titel, Kontext und Gestaltung Erwartungen an modernes beziehungsweise episches Drama ableiten; erste Hypothesen formulieren und begründen. RSA-orientiert: vollständige Anforderungsbreite der Klassenstufe 10, selbstständige Planung, Analyse und reflektierte Bewertung.</x:v>
      </x:c>
      <x:c r="G21" s="115" t="str">
        <x:v>de_k10_st17_drama_modern_einstieg</x:v>
      </x:c>
      <x:c r="H21" s="176" t="e">
        <x:f>HYPERLINK("schueler/de_k10_st17_drama_modern_einstieg_app.html","Lernmodul öffnen")</x:f>
      </x:c>
      <x:c r="I21" s="177" t="e">
        <x:f>HYPERLINK("lehrer/de_k10_st17_drama_modern_einstieg_orga.html","Vorbereitung öffnen")</x:f>
      </x:c>
    </x:row>
    <x:row r="22" ht="65" customHeight="1">
      <x:c r="A22" s="142" t="n">
        <x:v>10</x:v>
      </x:c>
      <x:c r="B22" s="115" t="str">
        <x:v>Lesen/Umgang mit Texten</x:v>
      </x:c>
      <x:c r="C22" s="148" t="n">
        <x:v>18</x:v>
      </x:c>
      <x:c r="D22" s="115" t="str">
        <x:v>Modernes oder episches Drama: den Text mit Lesestrategien erschließen</x:v>
      </x:c>
      <x:c r="E22" s="115" t="str">
        <x:v>Text abschnittsweise lesen; Schlüsselwörter markieren und den Inhalt mit Leitfragen sichern. Grundlegende Sicherung für Lernende mit HSA-Niveau beziehungsweise zusätzlichem Förderbedarf; kurze Materialien und feste Arbeitsschritte.</x:v>
      </x:c>
      <x:c r="F22" s="115" t="str">
        <x:v>Lesetechnik passend zum Ziel wählen; Sinnabschnitte, Schlüsselstellen und offene Fragen selbstständig festhalten. RSA-orientiert: vollständige Anforderungsbreite der Klassenstufe 10, selbstständige Planung, Analyse und reflektierte Bewertung.</x:v>
      </x:c>
      <x:c r="G22" s="115" t="str">
        <x:v>de_k10_st18_drama_modern_erschliessen</x:v>
      </x:c>
      <x:c r="H22" s="176" t="e">
        <x:f>HYPERLINK("schueler/de_k10_st18_drama_modern_erschliessen_app.html","Lernmodul öffnen")</x:f>
      </x:c>
      <x:c r="I22" s="177" t="e">
        <x:f>HYPERLINK("lehrer/de_k10_st18_drama_modern_erschliessen_orga.html","Vorbereitung öffnen")</x:f>
      </x:c>
    </x:row>
    <x:row r="23" ht="65" customHeight="1">
      <x:c r="A23" s="142" t="n">
        <x:v>10</x:v>
      </x:c>
      <x:c r="B23" s="115" t="str">
        <x:v>Lesen/Umgang mit Texten</x:v>
      </x:c>
      <x:c r="C23" s="148" t="n">
        <x:v>19</x:v>
      </x:c>
      <x:c r="D23" s="115" t="str">
        <x:v>Modernes oder episches Drama: Gattungsmerkmale erkennen</x:v>
      </x:c>
      <x:c r="E23" s="115" t="str">
        <x:v>Merkmale wie offene Form, Verfremdung, gesellschaftlicher Konflikt mithilfe einer Checkliste zuordnen und an Textstellen zeigen. Grundlegende Sicherung für Lernende mit HSA-Niveau beziehungsweise zusätzlichem Förderbedarf; kurze Materialien und feste Arbeitsschritte.</x:v>
      </x:c>
      <x:c r="F23" s="115" t="str">
        <x:v>Merkmale wie offene Form, Verfremdung, gesellschaftlicher Konflikt textnah belegen und ihre Funktion für Aufbau und Wirkung erklären. RSA-orientiert: vollständige Anforderungsbreite der Klassenstufe 10, selbstständige Planung, Analyse und reflektierte Bewertung.</x:v>
      </x:c>
      <x:c r="G23" s="115" t="str">
        <x:v>de_k10_st19_drama_modern_merkmale</x:v>
      </x:c>
      <x:c r="H23" s="176" t="e">
        <x:f>HYPERLINK("schueler/de_k10_st19_drama_modern_merkmale_app.html","Lernmodul öffnen")</x:f>
      </x:c>
      <x:c r="I23" s="177" t="e">
        <x:f>HYPERLINK("lehrer/de_k10_st19_drama_modern_merkmale_orga.html","Vorbereitung öffnen")</x:f>
      </x:c>
    </x:row>
    <x:row r="24" ht="65" customHeight="1">
      <x:c r="A24" s="142" t="n">
        <x:v>10</x:v>
      </x:c>
      <x:c r="B24" s="115" t="str">
        <x:v>Lesen/Umgang mit Texten</x:v>
      </x:c>
      <x:c r="C24" s="148" t="n">
        <x:v>20</x:v>
      </x:c>
      <x:c r="D24" s="115" t="str">
        <x:v>Modernes oder episches Drama: Figuren, Handlung und Konflikt untersuchen</x:v>
      </x:c>
      <x:c r="E24" s="115" t="str">
        <x:v>Dramenkonzept, Inszenierung und Wirkung mit Figurenkarten oder Handlungsstreifen ordnen; einfache Belege auswählen. Grundlegende Sicherung für Lernende mit HSA-Niveau beziehungsweise zusätzlichem Förderbedarf; kurze Materialien und feste Arbeitsschritte.</x:v>
      </x:c>
      <x:c r="F24" s="115" t="str">
        <x:v>Dramenkonzept, Inszenierung und Wirkung in ihrem Zusammenhang untersuchen; Schlussfolgerungen mit passenden Textbelegen absichern. RSA-orientiert: vollständige Anforderungsbreite der Klassenstufe 10, selbstständige Planung, Analyse und reflektierte Bewertung.</x:v>
      </x:c>
      <x:c r="G24" s="115" t="str">
        <x:v>de_k10_st20_drama_modern_figuren_handlung</x:v>
      </x:c>
      <x:c r="H24" s="176" t="e">
        <x:f>HYPERLINK("schueler/de_k10_st20_drama_modern_figuren_handlung_app.html","Lernmodul öffnen")</x:f>
      </x:c>
      <x:c r="I24" s="177" t="e">
        <x:f>HYPERLINK("lehrer/de_k10_st20_drama_modern_figuren_handlung_orga.html","Vorbereitung öffnen")</x:f>
      </x:c>
    </x:row>
    <x:row r="25" ht="65" customHeight="1">
      <x:c r="A25" s="142" t="n">
        <x:v>10</x:v>
      </x:c>
      <x:c r="B25" s="115" t="str">
        <x:v>Sprache untersuchen</x:v>
      </x:c>
      <x:c r="C25" s="148" t="n">
        <x:v>21</x:v>
      </x:c>
      <x:c r="D25" s="115" t="str">
        <x:v>Modernes oder episches Drama: Sprache und Wirkung untersuchen</x:v>
      </x:c>
      <x:c r="E25" s="115" t="str">
        <x:v>Beispiele für Regieanweisung, Montage, kommentierende Elemente markieren und ihre Wirkung mit vorgegebenen Begriffen beschreiben. Grundlegende Sicherung für Lernende mit HSA-Niveau beziehungsweise zusätzlichem Förderbedarf; kurze Materialien und feste Arbeitsschritte.</x:v>
      </x:c>
      <x:c r="F25" s="115" t="str">
        <x:v>Regieanweisung, Montage, kommentierende Elemente fachsprachlich analysieren und auf Figurenzeichnung, Stimmung oder Aussage beziehen. RSA-orientiert: vollständige Anforderungsbreite der Klassenstufe 10, selbstständige Planung, Analyse und reflektierte Bewertung.</x:v>
      </x:c>
      <x:c r="G25" s="115" t="str">
        <x:v>de_k10_st21_drama_modern_sprache_wirkung</x:v>
      </x:c>
      <x:c r="H25" s="176" t="e">
        <x:f>HYPERLINK("schueler/de_k10_st21_drama_modern_sprache_wirkung_app.html","Lernmodul öffnen")</x:f>
      </x:c>
      <x:c r="I25" s="177" t="e">
        <x:f>HYPERLINK("lehrer/de_k10_st21_drama_modern_sprache_wirkung_orga.html","Vorbereitung öffnen")</x:f>
      </x:c>
    </x:row>
    <x:row r="26" ht="65" customHeight="1">
      <x:c r="A26" s="142" t="n">
        <x:v>10</x:v>
      </x:c>
      <x:c r="B26" s="115" t="str">
        <x:v>Schreiben</x:v>
      </x:c>
      <x:c r="C26" s="148" t="n">
        <x:v>22</x:v>
      </x:c>
      <x:c r="D26" s="115" t="str">
        <x:v>Modernes oder episches Drama: eine Deutung oder Perspektive vorbereiten</x:v>
      </x:c>
      <x:c r="E26" s="115" t="str">
        <x:v>Eine zentrale Aussage mit Satzstartern formulieren; Beleg und Erklärung in einem Schreibrahmen verbinden. Grundlegende Sicherung für Lernende mit HSA-Niveau beziehungsweise zusätzlichem Förderbedarf; kurze Materialien und feste Arbeitsschritte.</x:v>
      </x:c>
      <x:c r="F26" s="115" t="str">
        <x:v>Eine schlüssige Deutungshypothese entwickeln; mehrere Belege auswählen, ordnen und gegeneinander abwägen. RSA-orientiert: vollständige Anforderungsbreite der Klassenstufe 10, selbstständige Planung, Analyse und reflektierte Bewertung.</x:v>
      </x:c>
      <x:c r="G26" s="115" t="str">
        <x:v>de_k10_st22_drama_modern_deutung_planen</x:v>
      </x:c>
      <x:c r="H26" s="176" t="e">
        <x:f>HYPERLINK("schueler/de_k10_st22_drama_modern_deutung_planen_app.html","Lernmodul öffnen")</x:f>
      </x:c>
      <x:c r="I26" s="177" t="e">
        <x:f>HYPERLINK("lehrer/de_k10_st22_drama_modern_deutung_planen_orga.html","Vorbereitung öffnen")</x:f>
      </x:c>
    </x:row>
    <x:row r="27" ht="65" customHeight="1">
      <x:c r="A27" s="142" t="n">
        <x:v>10</x:v>
      </x:c>
      <x:c r="B27" s="115" t="str">
        <x:v>Schreiben</x:v>
      </x:c>
      <x:c r="C27" s="148" t="n">
        <x:v>23</x:v>
      </x:c>
      <x:c r="D27" s="115" t="str">
        <x:v>Modernes oder episches Drama: Inszenierungsvergleich gestalten</x:v>
      </x:c>
      <x:c r="E27" s="115" t="str">
        <x:v>Inszenierungsvergleich nach klaren Vorgaben erstellen; Hilfekarten und Wortbank nutzen. Grundlegende Sicherung für Lernende mit HSA-Niveau beziehungsweise zusätzlichem Förderbedarf; kurze Materialien und feste Arbeitsschritte.</x:v>
      </x:c>
      <x:c r="F27" s="115" t="str">
        <x:v>Inszenierungsvergleich eigenständig, textnah und sprachlich variabel gestalten; Wirkung bewusst planen. RSA-orientiert: vollständige Anforderungsbreite der Klassenstufe 10, selbstständige Planung, Analyse und reflektierte Bewertung.</x:v>
      </x:c>
      <x:c r="G27" s="115" t="str">
        <x:v>de_k10_st23_drama_modern_produkt</x:v>
      </x:c>
      <x:c r="H27" s="176" t="e">
        <x:f>HYPERLINK("schueler/de_k10_st23_drama_modern_produkt_app.html","Lernmodul öffnen")</x:f>
      </x:c>
      <x:c r="I27" s="177" t="e">
        <x:f>HYPERLINK("lehrer/de_k10_st23_drama_modern_produkt_orga.html","Vorbereitung öffnen")</x:f>
      </x:c>
    </x:row>
    <x:row r="28" ht="65" customHeight="1">
      <x:c r="A28" s="142" t="n">
        <x:v>10</x:v>
      </x:c>
      <x:c r="B28" s="115" t="str">
        <x:v>Sprechen und Zuhören</x:v>
      </x:c>
      <x:c r="C28" s="148" t="n">
        <x:v>24</x:v>
      </x:c>
      <x:c r="D28" s="115" t="str">
        <x:v>Modernes oder episches Drama: Ergebnisse präsentieren und reflektieren</x:v>
      </x:c>
      <x:c r="E28" s="115" t="str">
        <x:v>Ergebnis kurz vorstellen; zwei vereinbarte Kriterien für Rückmeldung anwenden. Grundlegende Sicherung für Lernende mit HSA-Niveau beziehungsweise zusätzlichem Förderbedarf; kurze Materialien und feste Arbeitsschritte.</x:v>
      </x:c>
      <x:c r="F28" s="115" t="str">
        <x:v>Ergebnis adressatenbezogen präsentieren; Rückmeldungen begründen und die eigene Deutung oder Gestaltung überarbeiten. RSA-orientiert: vollständige Anforderungsbreite der Klassenstufe 10, selbstständige Planung, Analyse und reflektierte Bewertung.</x:v>
      </x:c>
      <x:c r="G28" s="115" t="str">
        <x:v>de_k10_st24_drama_modern_praesentieren</x:v>
      </x:c>
      <x:c r="H28" s="176" t="e">
        <x:f>HYPERLINK("schueler/de_k10_st24_drama_modern_praesentieren_app.html","Lernmodul öffnen")</x:f>
      </x:c>
      <x:c r="I28" s="177" t="e">
        <x:f>HYPERLINK("lehrer/de_k10_st24_drama_modern_praesentieren_orga.html","Vorbereitung öffnen")</x:f>
      </x:c>
    </x:row>
    <x:row r="29" ht="65" customHeight="1">
      <x:c r="A29" s="142" t="n">
        <x:v>10</x:v>
      </x:c>
      <x:c r="B29" s="115" t="str">
        <x:v>Lesen/Umgang mit Texten</x:v>
      </x:c>
      <x:c r="C29" s="148" t="n">
        <x:v>25</x:v>
      </x:c>
      <x:c r="D29" s="115" t="str">
        <x:v>Dialektisch erörtern: Beispieltexte untersuchen</x:v>
      </x:c>
      <x:c r="E29" s="115" t="str">
        <x:v>Ein Beispiel für dialektische Erörterung lesen; Aufbau und typische Formulierungen farbig kennzeichnen. Grundlegende Sicherung für Lernende mit HSA-Niveau beziehungsweise zusätzlichem Förderbedarf; kurze Materialien und feste Arbeitsschritte.</x:v>
      </x:c>
      <x:c r="F29" s="115" t="str">
        <x:v>Mehrere Beispiele für dialektische Erörterung vergleichen; Funktion, Adressat und Qualitätsunterschiede herausarbeiten. RSA-orientiert: vollständige Anforderungsbreite der Klassenstufe 10, selbstständige Planung, Analyse und reflektierte Bewertung.</x:v>
      </x:c>
      <x:c r="G29" s="115" t="str">
        <x:v>de_k10_st25_eroerterung_dialektisch_beispiel</x:v>
      </x:c>
      <x:c r="H29" s="176" t="e">
        <x:f>HYPERLINK("schueler/de_k10_st25_eroerterung_dialektisch_beispiel_app.html","Lernmodul öffnen")</x:f>
      </x:c>
      <x:c r="I29" s="177" t="e">
        <x:f>HYPERLINK("lehrer/de_k10_st25_eroerterung_dialektisch_beispiel_orga.html","Vorbereitung öffnen")</x:f>
      </x:c>
    </x:row>
    <x:row r="30" ht="65" customHeight="1">
      <x:c r="A30" s="142" t="n">
        <x:v>10</x:v>
      </x:c>
      <x:c r="B30" s="115" t="str">
        <x:v>Schreiben</x:v>
      </x:c>
      <x:c r="C30" s="148" t="n">
        <x:v>26</x:v>
      </x:c>
      <x:c r="D30" s="115" t="str">
        <x:v>Dialektisch erörtern: Schreibziel und Kriterien klären</x:v>
      </x:c>
      <x:c r="E30" s="115" t="str">
        <x:v>Schreibziel „Pro- und Contra-Argumente geordnet abwägen“ verstehen; eine kurze Kriterienliste auf ein Beispiel anwenden. Grundlegende Sicherung für Lernende mit HSA-Niveau beziehungsweise zusätzlichem Förderbedarf; kurze Materialien und feste Arbeitsschritte.</x:v>
      </x:c>
      <x:c r="F30" s="115" t="str">
        <x:v>Schreibziel „Pro- und Contra-Argumente geordnet abwägen“ präzisieren; Kriterien gewichten und auf unterschiedliche Schreibsituationen übertragen. RSA-orientiert: vollständige Anforderungsbreite der Klassenstufe 10, selbstständige Planung, Analyse und reflektierte Bewertung.</x:v>
      </x:c>
      <x:c r="G30" s="115" t="str">
        <x:v>de_k10_st26_eroerterung_dialektisch_kriterien</x:v>
      </x:c>
      <x:c r="H30" s="176" t="e">
        <x:f>HYPERLINK("schueler/de_k10_st26_eroerterung_dialektisch_kriterien_app.html","Lernmodul öffnen")</x:f>
      </x:c>
      <x:c r="I30" s="177" t="e">
        <x:f>HYPERLINK("lehrer/de_k10_st26_eroerterung_dialektisch_kriterien_orga.html","Vorbereitung öffnen")</x:f>
      </x:c>
    </x:row>
    <x:row r="31" ht="65" customHeight="1">
      <x:c r="A31" s="142" t="n">
        <x:v>10</x:v>
      </x:c>
      <x:c r="B31" s="115" t="str">
        <x:v>Lesen/Umgang mit Texten</x:v>
      </x:c>
      <x:c r="C31" s="148" t="n">
        <x:v>27</x:v>
      </x:c>
      <x:c r="D31" s="115" t="str">
        <x:v>Dialektisch erörtern: Inhalte auswählen und ordnen</x:v>
      </x:c>
      <x:c r="E31" s="115" t="str">
        <x:v>Kriterien, Gewichtung, Gegenargumente und Urteil mit Leitfragen sammeln und in einer vorgegebenen Reihenfolge ordnen. Grundlegende Sicherung für Lernende mit HSA-Niveau beziehungsweise zusätzlichem Förderbedarf; kurze Materialien und feste Arbeitsschritte.</x:v>
      </x:c>
      <x:c r="F31" s="115" t="str">
        <x:v>Kriterien, Gewichtung, Gegenargumente und Urteil selbstständig auswählen, gewichten und in einer passenden Gliederung strukturieren. RSA-orientiert: vollständige Anforderungsbreite der Klassenstufe 10, selbstständige Planung, Analyse und reflektierte Bewertung.</x:v>
      </x:c>
      <x:c r="G31" s="115" t="str">
        <x:v>de_k10_st27_eroerterung_dialektisch_inhalte_ordnen</x:v>
      </x:c>
      <x:c r="H31" s="176" t="e">
        <x:f>HYPERLINK("schueler/de_k10_st27_eroerterung_dialektisch_inhalte_ordnen_app.html","Lernmodul öffnen")</x:f>
      </x:c>
      <x:c r="I31" s="177" t="e">
        <x:f>HYPERLINK("lehrer/de_k10_st27_eroerterung_dialektisch_inhalte_ordnen_orga.html","Vorbereitung öffnen")</x:f>
      </x:c>
    </x:row>
    <x:row r="32" ht="65" customHeight="1">
      <x:c r="A32" s="142" t="n">
        <x:v>10</x:v>
      </x:c>
      <x:c r="B32" s="115" t="str">
        <x:v>Sprache untersuchen</x:v>
      </x:c>
      <x:c r="C32" s="148" t="n">
        <x:v>28</x:v>
      </x:c>
      <x:c r="D32" s="115" t="str">
        <x:v>Dialektisch erörtern: passende sprachliche Mittel verwenden</x:v>
      </x:c>
      <x:c r="E32" s="115" t="str">
        <x:v>argumentative Verknüpfungen, präziser Stil, Schlussfolgerung in Übungen erkennen und nach Satzmustern anwenden. Grundlegende Sicherung für Lernende mit HSA-Niveau beziehungsweise zusätzlichem Förderbedarf; kurze Materialien und feste Arbeitsschritte.</x:v>
      </x:c>
      <x:c r="F32" s="115" t="str">
        <x:v>argumentative Verknüpfungen, präziser Stil, Schlussfolgerung hinsichtlich Wirkung und Angemessenheit prüfen und gezielt variieren. RSA-orientiert: vollständige Anforderungsbreite der Klassenstufe 10, selbstständige Planung, Analyse und reflektierte Bewertung.</x:v>
      </x:c>
      <x:c r="G32" s="115" t="str">
        <x:v>de_k10_st28_eroerterung_dialektisch_sprachmittel</x:v>
      </x:c>
      <x:c r="H32" s="176" t="e">
        <x:f>HYPERLINK("schueler/de_k10_st28_eroerterung_dialektisch_sprachmittel_app.html","Lernmodul öffnen")</x:f>
      </x:c>
      <x:c r="I32" s="177" t="e">
        <x:f>HYPERLINK("lehrer/de_k10_st28_eroerterung_dialektisch_sprachmittel_orga.html","Vorbereitung öffnen")</x:f>
      </x:c>
    </x:row>
    <x:row r="33" ht="65" customHeight="1">
      <x:c r="A33" s="142" t="n">
        <x:v>10</x:v>
      </x:c>
      <x:c r="B33" s="115" t="str">
        <x:v>Schreiben</x:v>
      </x:c>
      <x:c r="C33" s="148" t="n">
        <x:v>29</x:v>
      </x:c>
      <x:c r="D33" s="115" t="str">
        <x:v>Dialektisch erörtern: einen Schreibplan erstellen</x:v>
      </x:c>
      <x:c r="E33" s="115" t="str">
        <x:v>Einen vorstrukturierten Schreibplan ausfüllen; Einleitung, Hauptteil und Schluss festlegen. Grundlegende Sicherung für Lernende mit HSA-Niveau beziehungsweise zusätzlichem Förderbedarf; kurze Materialien und feste Arbeitsschritte.</x:v>
      </x:c>
      <x:c r="F33" s="115" t="str">
        <x:v>Einen eigenen Schreibplan mit Teilzielen, Belegen und sprachlichen Mitteln entwickeln. RSA-orientiert: vollständige Anforderungsbreite der Klassenstufe 10, selbstständige Planung, Analyse und reflektierte Bewertung.</x:v>
      </x:c>
      <x:c r="G33" s="115" t="str">
        <x:v>de_k10_st29_eroerterung_dialektisch_schreibplan</x:v>
      </x:c>
      <x:c r="H33" s="176" t="e">
        <x:f>HYPERLINK("schueler/de_k10_st29_eroerterung_dialektisch_schreibplan_app.html","Lernmodul öffnen")</x:f>
      </x:c>
      <x:c r="I33" s="177" t="e">
        <x:f>HYPERLINK("lehrer/de_k10_st29_eroerterung_dialektisch_schreibplan_orga.html","Vorbereitung öffnen")</x:f>
      </x:c>
    </x:row>
    <x:row r="34" ht="65" customHeight="1">
      <x:c r="A34" s="142" t="n">
        <x:v>10</x:v>
      </x:c>
      <x:c r="B34" s="115" t="str">
        <x:v>Schreiben</x:v>
      </x:c>
      <x:c r="C34" s="148" t="n">
        <x:v>30</x:v>
      </x:c>
      <x:c r="D34" s="115" t="str">
        <x:v>Dialektisch erörtern: einen ersten Textentwurf verfassen</x:v>
      </x:c>
      <x:c r="E34" s="115" t="str">
        <x:v>Dialektische erörterung mithilfe von Schreibrahmen, Satzanfängen und Wortbank verfassen. Grundlegende Sicherung für Lernende mit HSA-Niveau beziehungsweise zusätzlichem Förderbedarf; kurze Materialien und feste Arbeitsschritte.</x:v>
      </x:c>
      <x:c r="F34" s="115" t="str">
        <x:v>Dialektische erörterung selbstständig, adressatenbezogen und sprachlich differenziert verfassen. RSA-orientiert: vollständige Anforderungsbreite der Klassenstufe 10, selbstständige Planung, Analyse und reflektierte Bewertung.</x:v>
      </x:c>
      <x:c r="G34" s="115" t="str">
        <x:v>de_k10_st30_eroerterung_dialektisch_entwurf</x:v>
      </x:c>
      <x:c r="H34" s="176" t="e">
        <x:f>HYPERLINK("schueler/de_k10_st30_eroerterung_dialektisch_entwurf_app.html","Lernmodul öffnen")</x:f>
      </x:c>
      <x:c r="I34" s="177" t="e">
        <x:f>HYPERLINK("lehrer/de_k10_st30_eroerterung_dialektisch_entwurf_orga.html","Vorbereitung öffnen")</x:f>
      </x:c>
    </x:row>
    <x:row r="35" ht="65" customHeight="1">
      <x:c r="A35" s="142" t="n">
        <x:v>10</x:v>
      </x:c>
      <x:c r="B35" s="115" t="str">
        <x:v>Schreiben</x:v>
      </x:c>
      <x:c r="C35" s="148" t="n">
        <x:v>31</x:v>
      </x:c>
      <x:c r="D35" s="115" t="str">
        <x:v>Dialektisch erörtern: Text kriteriengeleitet überarbeiten</x:v>
      </x:c>
      <x:c r="E35" s="115" t="str">
        <x:v>Text mit einer kurzen Prüfliste überarbeiten; einen inhaltlichen und einen sprachlichen Fehler verbessern. Grundlegende Sicherung für Lernende mit HSA-Niveau beziehungsweise zusätzlichem Förderbedarf; kurze Materialien und feste Arbeitsschritte.</x:v>
      </x:c>
      <x:c r="F35" s="115" t="str">
        <x:v>Text in mehreren Überarbeitungsschritten prüfen; Aufbau, Kohärenz, Stil und Normrichtigkeit gezielt optimieren. RSA-orientiert: vollständige Anforderungsbreite der Klassenstufe 10, selbstständige Planung, Analyse und reflektierte Bewertung.</x:v>
      </x:c>
      <x:c r="G35" s="115" t="str">
        <x:v>de_k10_st31_eroerterung_dialektisch_ueberarbeiten</x:v>
      </x:c>
      <x:c r="H35" s="176" t="e">
        <x:f>HYPERLINK("schueler/de_k10_st31_eroerterung_dialektisch_ueberarbeiten_app.html","Lernmodul öffnen")</x:f>
      </x:c>
      <x:c r="I35" s="177" t="e">
        <x:f>HYPERLINK("lehrer/de_k10_st31_eroerterung_dialektisch_ueberarbeiten_orga.html","Vorbereitung öffnen")</x:f>
      </x:c>
    </x:row>
    <x:row r="36" ht="65" customHeight="1">
      <x:c r="A36" s="142" t="n">
        <x:v>10</x:v>
      </x:c>
      <x:c r="B36" s="115" t="str">
        <x:v>Sprechen und Zuhören</x:v>
      </x:c>
      <x:c r="C36" s="148" t="n">
        <x:v>32</x:v>
      </x:c>
      <x:c r="D36" s="115" t="str">
        <x:v>Dialektisch erörtern: Texte vorstellen und bewerten</x:v>
      </x:c>
      <x:c r="E36" s="115" t="str">
        <x:v>Ausgewählte Passage vorlesen oder erläutern; Rückmeldung mit einfachen Satzmustern geben. Grundlegende Sicherung für Lernende mit HSA-Niveau beziehungsweise zusätzlichem Förderbedarf; kurze Materialien und feste Arbeitsschritte.</x:v>
      </x:c>
      <x:c r="F36" s="115" t="str">
        <x:v>Textwirkung und Schreibentscheidungen erläutern; differenziertes Peer-Feedback geben und begründet annehmen. RSA-orientiert: vollständige Anforderungsbreite der Klassenstufe 10, selbstständige Planung, Analyse und reflektierte Bewertung.</x:v>
      </x:c>
      <x:c r="G36" s="115" t="str">
        <x:v>de_k10_st32_eroerterung_dialektisch_vorstellen</x:v>
      </x:c>
      <x:c r="H36" s="176" t="e">
        <x:f>HYPERLINK("schueler/de_k10_st32_eroerterung_dialektisch_vorstellen_app.html","Lernmodul öffnen")</x:f>
      </x:c>
      <x:c r="I36" s="177" t="e">
        <x:f>HYPERLINK("lehrer/de_k10_st32_eroerterung_dialektisch_vorstellen_orga.html","Vorbereitung öffnen")</x:f>
      </x:c>
    </x:row>
    <x:row r="37" ht="65" customHeight="1">
      <x:c r="A37" s="142" t="n">
        <x:v>10</x:v>
      </x:c>
      <x:c r="B37" s="115" t="str">
        <x:v>Lesen/Umgang mit Texten</x:v>
      </x:c>
      <x:c r="C37" s="148" t="n">
        <x:v>33</x:v>
      </x:c>
      <x:c r="D37" s="115" t="str">
        <x:v>Textgebunden erörtern und kommentieren: Beispieltexte untersuchen</x:v>
      </x:c>
      <x:c r="E37" s="115" t="str">
        <x:v>Ein Beispiel für textgebundene Erörterung und Kommentar lesen; Aufbau und typische Formulierungen farbig kennzeichnen. Grundlegende Sicherung für Lernende mit HSA-Niveau beziehungsweise zusätzlichem Förderbedarf; kurze Materialien und feste Arbeitsschritte.</x:v>
      </x:c>
      <x:c r="F37" s="115" t="str">
        <x:v>Mehrere Beispiele für textgebundene Erörterung und Kommentar vergleichen; Funktion, Adressat und Qualitätsunterschiede herausarbeiten. RSA-orientiert: vollständige Anforderungsbreite der Klassenstufe 10, selbstständige Planung, Analyse und reflektierte Bewertung.</x:v>
      </x:c>
      <x:c r="G37" s="115" t="str">
        <x:v>de_k10_st33_textgebunden_beispiel</x:v>
      </x:c>
      <x:c r="H37" s="176" t="e">
        <x:f>HYPERLINK("schueler/de_k10_st33_textgebunden_beispiel_app.html","Lernmodul öffnen")</x:f>
      </x:c>
      <x:c r="I37" s="177" t="e">
        <x:f>HYPERLINK("lehrer/de_k10_st33_textgebunden_beispiel_orga.html","Vorbereitung öffnen")</x:f>
      </x:c>
    </x:row>
    <x:row r="38" ht="65" customHeight="1">
      <x:c r="A38" s="142" t="n">
        <x:v>10</x:v>
      </x:c>
      <x:c r="B38" s="115" t="str">
        <x:v>Schreiben</x:v>
      </x:c>
      <x:c r="C38" s="148" t="n">
        <x:v>34</x:v>
      </x:c>
      <x:c r="D38" s="115" t="str">
        <x:v>Textgebunden erörtern und kommentieren: Schreibziel und Kriterien klären</x:v>
      </x:c>
      <x:c r="E38" s="115" t="str">
        <x:v>Schreibziel „Aussagen eines Ausgangstextes erfassen und dazu Stellung nehmen“ verstehen; eine kurze Kriterienliste auf ein Beispiel anwenden. Grundlegende Sicherung für Lernende mit HSA-Niveau beziehungsweise zusätzlichem Förderbedarf; kurze Materialien und feste Arbeitsschritte.</x:v>
      </x:c>
      <x:c r="F38" s="115" t="str">
        <x:v>Schreibziel „Aussagen eines Ausgangstextes erfassen und dazu Stellung nehmen“ präzisieren; Kriterien gewichten und auf unterschiedliche Schreibsituationen übertragen. RSA-orientiert: vollständige Anforderungsbreite der Klassenstufe 10, selbstständige Planung, Analyse und reflektierte Bewertung.</x:v>
      </x:c>
      <x:c r="G38" s="115" t="str">
        <x:v>de_k10_st34_textgebunden_kriterien</x:v>
      </x:c>
      <x:c r="H38" s="176" t="e">
        <x:f>HYPERLINK("schueler/de_k10_st34_textgebunden_kriterien_app.html","Lernmodul öffnen")</x:f>
      </x:c>
      <x:c r="I38" s="177" t="e">
        <x:f>HYPERLINK("lehrer/de_k10_st34_textgebunden_kriterien_orga.html","Vorbereitung öffnen")</x:f>
      </x:c>
    </x:row>
    <x:row r="39" ht="65" customHeight="1">
      <x:c r="A39" s="142" t="n">
        <x:v>10</x:v>
      </x:c>
      <x:c r="B39" s="115" t="str">
        <x:v>Lesen/Umgang mit Texten</x:v>
      </x:c>
      <x:c r="C39" s="148" t="n">
        <x:v>35</x:v>
      </x:c>
      <x:c r="D39" s="115" t="str">
        <x:v>Textgebunden erörtern und kommentieren: Inhalte auswählen und ordnen</x:v>
      </x:c>
      <x:c r="E39" s="115" t="str">
        <x:v>Argumentationsgang, Intention, Gegenposition und Transfer mit Leitfragen sammeln und in einer vorgegebenen Reihenfolge ordnen. Grundlegende Sicherung für Lernende mit HSA-Niveau beziehungsweise zusätzlichem Förderbedarf; kurze Materialien und feste Arbeitsschritte.</x:v>
      </x:c>
      <x:c r="F39" s="115" t="str">
        <x:v>Argumentationsgang, Intention, Gegenposition und Transfer selbstständig auswählen, gewichten und in einer passenden Gliederung strukturieren. RSA-orientiert: vollständige Anforderungsbreite der Klassenstufe 10, selbstständige Planung, Analyse und reflektierte Bewertung.</x:v>
      </x:c>
      <x:c r="G39" s="115" t="str">
        <x:v>de_k10_st35_textgebunden_inhalte_ordnen</x:v>
      </x:c>
      <x:c r="H39" s="176" t="e">
        <x:f>HYPERLINK("schueler/de_k10_st35_textgebunden_inhalte_ordnen_app.html","Lernmodul öffnen")</x:f>
      </x:c>
      <x:c r="I39" s="177" t="e">
        <x:f>HYPERLINK("lehrer/de_k10_st35_textgebunden_inhalte_ordnen_orga.html","Vorbereitung öffnen")</x:f>
      </x:c>
    </x:row>
    <x:row r="40" ht="65" customHeight="1">
      <x:c r="A40" s="142" t="n">
        <x:v>10</x:v>
      </x:c>
      <x:c r="B40" s="115" t="str">
        <x:v>Sprache untersuchen</x:v>
      </x:c>
      <x:c r="C40" s="148" t="n">
        <x:v>36</x:v>
      </x:c>
      <x:c r="D40" s="115" t="str">
        <x:v>Textgebunden erörtern und kommentieren: passende sprachliche Mittel verwenden</x:v>
      </x:c>
      <x:c r="E40" s="115" t="str">
        <x:v>Zitiertechnik, Distanzmarker, pointierte Wertung in Übungen erkennen und nach Satzmustern anwenden. Grundlegende Sicherung für Lernende mit HSA-Niveau beziehungsweise zusätzlichem Förderbedarf; kurze Materialien und feste Arbeitsschritte.</x:v>
      </x:c>
      <x:c r="F40" s="115" t="str">
        <x:v>Zitiertechnik, Distanzmarker, pointierte Wertung hinsichtlich Wirkung und Angemessenheit prüfen und gezielt variieren. RSA-orientiert: vollständige Anforderungsbreite der Klassenstufe 10, selbstständige Planung, Analyse und reflektierte Bewertung.</x:v>
      </x:c>
      <x:c r="G40" s="115" t="str">
        <x:v>de_k10_st36_textgebunden_sprachmittel</x:v>
      </x:c>
      <x:c r="H40" s="176" t="e">
        <x:f>HYPERLINK("schueler/de_k10_st36_textgebunden_sprachmittel_app.html","Lernmodul öffnen")</x:f>
      </x:c>
      <x:c r="I40" s="177" t="e">
        <x:f>HYPERLINK("lehrer/de_k10_st36_textgebunden_sprachmittel_orga.html","Vorbereitung öffnen")</x:f>
      </x:c>
    </x:row>
    <x:row r="41" ht="65" customHeight="1">
      <x:c r="A41" s="142" t="n">
        <x:v>10</x:v>
      </x:c>
      <x:c r="B41" s="115" t="str">
        <x:v>Schreiben</x:v>
      </x:c>
      <x:c r="C41" s="148" t="n">
        <x:v>37</x:v>
      </x:c>
      <x:c r="D41" s="115" t="str">
        <x:v>Textgebunden erörtern und kommentieren: einen Schreibplan erstellen</x:v>
      </x:c>
      <x:c r="E41" s="115" t="str">
        <x:v>Einen vorstrukturierten Schreibplan ausfüllen; Einleitung, Hauptteil und Schluss festlegen. Grundlegende Sicherung für Lernende mit HSA-Niveau beziehungsweise zusätzlichem Förderbedarf; kurze Materialien und feste Arbeitsschritte.</x:v>
      </x:c>
      <x:c r="F41" s="115" t="str">
        <x:v>Einen eigenen Schreibplan mit Teilzielen, Belegen und sprachlichen Mitteln entwickeln. RSA-orientiert: vollständige Anforderungsbreite der Klassenstufe 10, selbstständige Planung, Analyse und reflektierte Bewertung.</x:v>
      </x:c>
      <x:c r="G41" s="115" t="str">
        <x:v>de_k10_st37_textgebunden_schreibplan</x:v>
      </x:c>
      <x:c r="H41" s="176" t="e">
        <x:f>HYPERLINK("schueler/de_k10_st37_textgebunden_schreibplan_app.html","Lernmodul öffnen")</x:f>
      </x:c>
      <x:c r="I41" s="177" t="e">
        <x:f>HYPERLINK("lehrer/de_k10_st37_textgebunden_schreibplan_orga.html","Vorbereitung öffnen")</x:f>
      </x:c>
    </x:row>
    <x:row r="42" ht="65" customHeight="1">
      <x:c r="A42" s="142" t="n">
        <x:v>10</x:v>
      </x:c>
      <x:c r="B42" s="115" t="str">
        <x:v>Schreiben</x:v>
      </x:c>
      <x:c r="C42" s="148" t="n">
        <x:v>38</x:v>
      </x:c>
      <x:c r="D42" s="115" t="str">
        <x:v>Textgebunden erörtern und kommentieren: einen ersten Textentwurf verfassen</x:v>
      </x:c>
      <x:c r="E42" s="115" t="str">
        <x:v>Textgebundene erörterung mithilfe von Schreibrahmen, Satzanfängen und Wortbank verfassen. Grundlegende Sicherung für Lernende mit HSA-Niveau beziehungsweise zusätzlichem Förderbedarf; kurze Materialien und feste Arbeitsschritte.</x:v>
      </x:c>
      <x:c r="F42" s="115" t="str">
        <x:v>Textgebundene erörterung selbstständig, adressatenbezogen und sprachlich differenziert verfassen. RSA-orientiert: vollständige Anforderungsbreite der Klassenstufe 10, selbstständige Planung, Analyse und reflektierte Bewertung.</x:v>
      </x:c>
      <x:c r="G42" s="115" t="str">
        <x:v>de_k10_st38_textgebunden_entwurf</x:v>
      </x:c>
      <x:c r="H42" s="176" t="e">
        <x:f>HYPERLINK("schueler/de_k10_st38_textgebunden_entwurf_app.html","Lernmodul öffnen")</x:f>
      </x:c>
      <x:c r="I42" s="177" t="e">
        <x:f>HYPERLINK("lehrer/de_k10_st38_textgebunden_entwurf_orga.html","Vorbereitung öffnen")</x:f>
      </x:c>
    </x:row>
    <x:row r="43" ht="65" customHeight="1">
      <x:c r="A43" s="142" t="n">
        <x:v>10</x:v>
      </x:c>
      <x:c r="B43" s="115" t="str">
        <x:v>Schreiben</x:v>
      </x:c>
      <x:c r="C43" s="148" t="n">
        <x:v>39</x:v>
      </x:c>
      <x:c r="D43" s="115" t="str">
        <x:v>Textgebunden erörtern und kommentieren: Text kriteriengeleitet überarbeiten</x:v>
      </x:c>
      <x:c r="E43" s="115" t="str">
        <x:v>Text mit einer kurzen Prüfliste überarbeiten; einen inhaltlichen und einen sprachlichen Fehler verbessern. Grundlegende Sicherung für Lernende mit HSA-Niveau beziehungsweise zusätzlichem Förderbedarf; kurze Materialien und feste Arbeitsschritte.</x:v>
      </x:c>
      <x:c r="F43" s="115" t="str">
        <x:v>Text in mehreren Überarbeitungsschritten prüfen; Aufbau, Kohärenz, Stil und Normrichtigkeit gezielt optimieren. RSA-orientiert: vollständige Anforderungsbreite der Klassenstufe 10, selbstständige Planung, Analyse und reflektierte Bewertung.</x:v>
      </x:c>
      <x:c r="G43" s="115" t="str">
        <x:v>de_k10_st39_textgebunden_ueberarbeiten</x:v>
      </x:c>
      <x:c r="H43" s="176" t="e">
        <x:f>HYPERLINK("schueler/de_k10_st39_textgebunden_ueberarbeiten_app.html","Lernmodul öffnen")</x:f>
      </x:c>
      <x:c r="I43" s="177" t="e">
        <x:f>HYPERLINK("lehrer/de_k10_st39_textgebunden_ueberarbeiten_orga.html","Vorbereitung öffnen")</x:f>
      </x:c>
    </x:row>
    <x:row r="44" ht="65" customHeight="1">
      <x:c r="A44" s="142" t="n">
        <x:v>10</x:v>
      </x:c>
      <x:c r="B44" s="115" t="str">
        <x:v>Sprechen und Zuhören</x:v>
      </x:c>
      <x:c r="C44" s="148" t="n">
        <x:v>40</x:v>
      </x:c>
      <x:c r="D44" s="115" t="str">
        <x:v>Textgebunden erörtern und kommentieren: Texte vorstellen und bewerten</x:v>
      </x:c>
      <x:c r="E44" s="115" t="str">
        <x:v>Ausgewählte Passage vorlesen oder erläutern; Rückmeldung mit einfachen Satzmustern geben. Grundlegende Sicherung für Lernende mit HSA-Niveau beziehungsweise zusätzlichem Förderbedarf; kurze Materialien und feste Arbeitsschritte.</x:v>
      </x:c>
      <x:c r="F44" s="115" t="str">
        <x:v>Textwirkung und Schreibentscheidungen erläutern; differenziertes Peer-Feedback geben und begründet annehmen. RSA-orientiert: vollständige Anforderungsbreite der Klassenstufe 10, selbstständige Planung, Analyse und reflektierte Bewertung.</x:v>
      </x:c>
      <x:c r="G44" s="115" t="str">
        <x:v>de_k10_st40_textgebunden_vorstellen</x:v>
      </x:c>
      <x:c r="H44" s="176" t="e">
        <x:f>HYPERLINK("schueler/de_k10_st40_textgebunden_vorstellen_app.html","Lernmodul öffnen")</x:f>
      </x:c>
      <x:c r="I44" s="177" t="e">
        <x:f>HYPERLINK("lehrer/de_k10_st40_textgebunden_vorstellen_orga.html","Vorbereitung öffnen")</x:f>
      </x:c>
    </x:row>
    <x:row r="45" ht="65" customHeight="1">
      <x:c r="A45" s="142" t="n">
        <x:v>10</x:v>
      </x:c>
      <x:c r="B45" s="115" t="str">
        <x:v>Sprechen und Zuhören</x:v>
      </x:c>
      <x:c r="C45" s="148" t="n">
        <x:v>41</x:v>
      </x:c>
      <x:c r="D45" s="115" t="str">
        <x:v>Literarische Texte vergleichen: Hör- oder Leseeinstieg gestalten</x:v>
      </x:c>
      <x:c r="E45" s="115" t="str">
        <x:v>Einstieg über Bild, Hörtext oder kurzen Auszug; Vorwissen zu epische, lyrische oder dramatische Texte sammeln und zentrale Wörter klären. Grundlegende Sicherung für Lernende mit HSA-Niveau beziehungsweise zusätzlichem Förderbedarf; kurze Materialien und feste Arbeitsschritte.</x:v>
      </x:c>
      <x:c r="F45" s="115" t="str">
        <x:v>Aus Titel, Kontext und Gestaltung Erwartungen an epische, lyrische oder dramatische Texte ableiten; erste Hypothesen formulieren und begründen. RSA-orientiert: vollständige Anforderungsbreite der Klassenstufe 10, selbstständige Planung, Analyse und reflektierte Bewertung.</x:v>
      </x:c>
      <x:c r="G45" s="115" t="str">
        <x:v>de_k10_st41_literaturvergleich_einstieg</x:v>
      </x:c>
      <x:c r="H45" s="176" t="e">
        <x:f>HYPERLINK("schueler/de_k10_st41_literaturvergleich_einstieg_app.html","Lernmodul öffnen")</x:f>
      </x:c>
      <x:c r="I45" s="177" t="e">
        <x:f>HYPERLINK("lehrer/de_k10_st41_literaturvergleich_einstieg_orga.html","Vorbereitung öffnen")</x:f>
      </x:c>
    </x:row>
    <x:row r="46" ht="65" customHeight="1">
      <x:c r="A46" s="142" t="n">
        <x:v>10</x:v>
      </x:c>
      <x:c r="B46" s="115" t="str">
        <x:v>Lesen/Umgang mit Texten</x:v>
      </x:c>
      <x:c r="C46" s="148" t="n">
        <x:v>42</x:v>
      </x:c>
      <x:c r="D46" s="115" t="str">
        <x:v>Literarische Texte vergleichen: den Text mit Lesestrategien erschließen</x:v>
      </x:c>
      <x:c r="E46" s="115" t="str">
        <x:v>Text abschnittsweise lesen; Schlüsselwörter markieren und den Inhalt mit Leitfragen sichern. Grundlegende Sicherung für Lernende mit HSA-Niveau beziehungsweise zusätzlichem Förderbedarf; kurze Materialien und feste Arbeitsschritte.</x:v>
      </x:c>
      <x:c r="F46" s="115" t="str">
        <x:v>Lesetechnik passend zum Ziel wählen; Sinnabschnitte, Schlüsselstellen und offene Fragen selbstständig festhalten. RSA-orientiert: vollständige Anforderungsbreite der Klassenstufe 10, selbstständige Planung, Analyse und reflektierte Bewertung.</x:v>
      </x:c>
      <x:c r="G46" s="115" t="str">
        <x:v>de_k10_st42_literaturvergleich_erschliessen</x:v>
      </x:c>
      <x:c r="H46" s="176" t="e">
        <x:f>HYPERLINK("schueler/de_k10_st42_literaturvergleich_erschliessen_app.html","Lernmodul öffnen")</x:f>
      </x:c>
      <x:c r="I46" s="177" t="e">
        <x:f>HYPERLINK("lehrer/de_k10_st42_literaturvergleich_erschliessen_orga.html","Vorbereitung öffnen")</x:f>
      </x:c>
    </x:row>
    <x:row r="47" ht="65" customHeight="1">
      <x:c r="A47" s="142" t="n">
        <x:v>10</x:v>
      </x:c>
      <x:c r="B47" s="115" t="str">
        <x:v>Lesen/Umgang mit Texten</x:v>
      </x:c>
      <x:c r="C47" s="148" t="n">
        <x:v>43</x:v>
      </x:c>
      <x:c r="D47" s="115" t="str">
        <x:v>Literarische Texte vergleichen: Gattungsmerkmale erkennen</x:v>
      </x:c>
      <x:c r="E47" s="115" t="str">
        <x:v>Merkmale wie Thema, Figuren, Form und zentrale Aussage mithilfe einer Checkliste zuordnen und an Textstellen zeigen. Grundlegende Sicherung für Lernende mit HSA-Niveau beziehungsweise zusätzlichem Förderbedarf; kurze Materialien und feste Arbeitsschritte.</x:v>
      </x:c>
      <x:c r="F47" s="115" t="str">
        <x:v>Merkmale wie Thema, Figuren, Form und zentrale Aussage textnah belegen und ihre Funktion für Aufbau und Wirkung erklären. RSA-orientiert: vollständige Anforderungsbreite der Klassenstufe 10, selbstständige Planung, Analyse und reflektierte Bewertung.</x:v>
      </x:c>
      <x:c r="G47" s="115" t="str">
        <x:v>de_k10_st43_literaturvergleich_merkmale</x:v>
      </x:c>
      <x:c r="H47" s="176" t="e">
        <x:f>HYPERLINK("schueler/de_k10_st43_literaturvergleich_merkmale_app.html","Lernmodul öffnen")</x:f>
      </x:c>
      <x:c r="I47" s="177" t="e">
        <x:f>HYPERLINK("lehrer/de_k10_st43_literaturvergleich_merkmale_orga.html","Vorbereitung öffnen")</x:f>
      </x:c>
    </x:row>
    <x:row r="48" ht="65" customHeight="1">
      <x:c r="A48" s="142" t="n">
        <x:v>10</x:v>
      </x:c>
      <x:c r="B48" s="115" t="str">
        <x:v>Lesen/Umgang mit Texten</x:v>
      </x:c>
      <x:c r="C48" s="148" t="n">
        <x:v>44</x:v>
      </x:c>
      <x:c r="D48" s="115" t="str">
        <x:v>Literarische Texte vergleichen: Figuren, Handlung und Konflikt untersuchen</x:v>
      </x:c>
      <x:c r="E48" s="115" t="str">
        <x:v>Motiv, Epoche, Gestaltung und Deutungsansätze mit Figurenkarten oder Handlungsstreifen ordnen; einfache Belege auswählen. Grundlegende Sicherung für Lernende mit HSA-Niveau beziehungsweise zusätzlichem Förderbedarf; kurze Materialien und feste Arbeitsschritte.</x:v>
      </x:c>
      <x:c r="F48" s="115" t="str">
        <x:v>Motiv, Epoche, Gestaltung und Deutungsansätze in ihrem Zusammenhang untersuchen; Schlussfolgerungen mit passenden Textbelegen absichern. RSA-orientiert: vollständige Anforderungsbreite der Klassenstufe 10, selbstständige Planung, Analyse und reflektierte Bewertung.</x:v>
      </x:c>
      <x:c r="G48" s="115" t="str">
        <x:v>de_k10_st44_literaturvergleich_figuren_handlung</x:v>
      </x:c>
      <x:c r="H48" s="176" t="e">
        <x:f>HYPERLINK("schueler/de_k10_st44_literaturvergleich_figuren_handlung_app.html","Lernmodul öffnen")</x:f>
      </x:c>
      <x:c r="I48" s="177" t="e">
        <x:f>HYPERLINK("lehrer/de_k10_st44_literaturvergleich_figuren_handlung_orga.html","Vorbereitung öffnen")</x:f>
      </x:c>
    </x:row>
    <x:row r="49" ht="65" customHeight="1">
      <x:c r="A49" s="142" t="n">
        <x:v>10</x:v>
      </x:c>
      <x:c r="B49" s="115" t="str">
        <x:v>Sprache untersuchen</x:v>
      </x:c>
      <x:c r="C49" s="148" t="n">
        <x:v>45</x:v>
      </x:c>
      <x:c r="D49" s="115" t="str">
        <x:v>Literarische Texte vergleichen: Sprache und Wirkung untersuchen</x:v>
      </x:c>
      <x:c r="E49" s="115" t="str">
        <x:v>Beispiele für Fachsprache, Textbelege, Vergleichsstrukturen markieren und ihre Wirkung mit vorgegebenen Begriffen beschreiben. Grundlegende Sicherung für Lernende mit HSA-Niveau beziehungsweise zusätzlichem Förderbedarf; kurze Materialien und feste Arbeitsschritte.</x:v>
      </x:c>
      <x:c r="F49" s="115" t="str">
        <x:v>Fachsprache, Textbelege, Vergleichsstrukturen fachsprachlich analysieren und auf Figurenzeichnung, Stimmung oder Aussage beziehen. RSA-orientiert: vollständige Anforderungsbreite der Klassenstufe 10, selbstständige Planung, Analyse und reflektierte Bewertung.</x:v>
      </x:c>
      <x:c r="G49" s="115" t="str">
        <x:v>de_k10_st45_literaturvergleich_sprache_wirkung</x:v>
      </x:c>
      <x:c r="H49" s="176" t="e">
        <x:f>HYPERLINK("schueler/de_k10_st45_literaturvergleich_sprache_wirkung_app.html","Lernmodul öffnen")</x:f>
      </x:c>
      <x:c r="I49" s="177" t="e">
        <x:f>HYPERLINK("lehrer/de_k10_st45_literaturvergleich_sprache_wirkung_orga.html","Vorbereitung öffnen")</x:f>
      </x:c>
    </x:row>
    <x:row r="50" ht="65" customHeight="1">
      <x:c r="A50" s="142" t="n">
        <x:v>10</x:v>
      </x:c>
      <x:c r="B50" s="115" t="str">
        <x:v>Schreiben</x:v>
      </x:c>
      <x:c r="C50" s="148" t="n">
        <x:v>46</x:v>
      </x:c>
      <x:c r="D50" s="115" t="str">
        <x:v>Literarische Texte vergleichen: eine Deutung oder Perspektive vorbereiten</x:v>
      </x:c>
      <x:c r="E50" s="115" t="str">
        <x:v>Eine zentrale Aussage mit Satzstartern formulieren; Beleg und Erklärung in einem Schreibrahmen verbinden. Grundlegende Sicherung für Lernende mit HSA-Niveau beziehungsweise zusätzlichem Förderbedarf; kurze Materialien und feste Arbeitsschritte.</x:v>
      </x:c>
      <x:c r="F50" s="115" t="str">
        <x:v>Eine schlüssige Deutungshypothese entwickeln; mehrere Belege auswählen, ordnen und gegeneinander abwägen. RSA-orientiert: vollständige Anforderungsbreite der Klassenstufe 10, selbstständige Planung, Analyse und reflektierte Bewertung.</x:v>
      </x:c>
      <x:c r="G50" s="115" t="str">
        <x:v>de_k10_st46_literaturvergleich_deutung_planen</x:v>
      </x:c>
      <x:c r="H50" s="176" t="e">
        <x:f>HYPERLINK("schueler/de_k10_st46_literaturvergleich_deutung_planen_app.html","Lernmodul öffnen")</x:f>
      </x:c>
      <x:c r="I50" s="177" t="e">
        <x:f>HYPERLINK("lehrer/de_k10_st46_literaturvergleich_deutung_planen_orga.html","Vorbereitung öffnen")</x:f>
      </x:c>
    </x:row>
    <x:row r="51" ht="65" customHeight="1">
      <x:c r="A51" s="142" t="n">
        <x:v>10</x:v>
      </x:c>
      <x:c r="B51" s="115" t="str">
        <x:v>Schreiben</x:v>
      </x:c>
      <x:c r="C51" s="148" t="n">
        <x:v>47</x:v>
      </x:c>
      <x:c r="D51" s="115" t="str">
        <x:v>Literarische Texte vergleichen: vergleichende Interpretation gestalten</x:v>
      </x:c>
      <x:c r="E51" s="115" t="str">
        <x:v>Vergleichende interpretation nach klaren Vorgaben erstellen; Hilfekarten und Wortbank nutzen. Grundlegende Sicherung für Lernende mit HSA-Niveau beziehungsweise zusätzlichem Förderbedarf; kurze Materialien und feste Arbeitsschritte.</x:v>
      </x:c>
      <x:c r="F51" s="115" t="str">
        <x:v>Vergleichende interpretation eigenständig, textnah und sprachlich variabel gestalten; Wirkung bewusst planen. RSA-orientiert: vollständige Anforderungsbreite der Klassenstufe 10, selbstständige Planung, Analyse und reflektierte Bewertung.</x:v>
      </x:c>
      <x:c r="G51" s="115" t="str">
        <x:v>de_k10_st47_literaturvergleich_produkt</x:v>
      </x:c>
      <x:c r="H51" s="176" t="e">
        <x:f>HYPERLINK("schueler/de_k10_st47_literaturvergleich_produkt_app.html","Lernmodul öffnen")</x:f>
      </x:c>
      <x:c r="I51" s="177" t="e">
        <x:f>HYPERLINK("lehrer/de_k10_st47_literaturvergleich_produkt_orga.html","Vorbereitung öffnen")</x:f>
      </x:c>
    </x:row>
    <x:row r="52" ht="65" customHeight="1">
      <x:c r="A52" s="142" t="n">
        <x:v>10</x:v>
      </x:c>
      <x:c r="B52" s="115" t="str">
        <x:v>Sprechen und Zuhören</x:v>
      </x:c>
      <x:c r="C52" s="148" t="n">
        <x:v>48</x:v>
      </x:c>
      <x:c r="D52" s="115" t="str">
        <x:v>Literarische Texte vergleichen: Ergebnisse präsentieren und reflektieren</x:v>
      </x:c>
      <x:c r="E52" s="115" t="str">
        <x:v>Ergebnis kurz vorstellen; zwei vereinbarte Kriterien für Rückmeldung anwenden. Grundlegende Sicherung für Lernende mit HSA-Niveau beziehungsweise zusätzlichem Förderbedarf; kurze Materialien und feste Arbeitsschritte.</x:v>
      </x:c>
      <x:c r="F52" s="115" t="str">
        <x:v>Ergebnis adressatenbezogen präsentieren; Rückmeldungen begründen und die eigene Deutung oder Gestaltung überarbeiten. RSA-orientiert: vollständige Anforderungsbreite der Klassenstufe 10, selbstständige Planung, Analyse und reflektierte Bewertung.</x:v>
      </x:c>
      <x:c r="G52" s="115" t="str">
        <x:v>de_k10_st48_literaturvergleich_praesentieren</x:v>
      </x:c>
      <x:c r="H52" s="176" t="e">
        <x:f>HYPERLINK("schueler/de_k10_st48_literaturvergleich_praesentieren_app.html","Lernmodul öffnen")</x:f>
      </x:c>
      <x:c r="I52" s="177" t="e">
        <x:f>HYPERLINK("lehrer/de_k10_st48_literaturvergleich_praesentieren_orga.html","Vorbereitung öffnen")</x:f>
      </x:c>
    </x:row>
    <x:row r="53" ht="65" customHeight="1">
      <x:c r="A53" s="142" t="n">
        <x:v>10</x:v>
      </x:c>
      <x:c r="B53" s="115" t="str">
        <x:v>Sprechen und Zuhören</x:v>
      </x:c>
      <x:c r="C53" s="148" t="n">
        <x:v>49</x:v>
      </x:c>
      <x:c r="D53" s="115" t="str">
        <x:v>Medienkritik: KI, Algorithmen und Öffentlichkeit: Vorwissen und Positionen klären</x:v>
      </x:c>
      <x:c r="E53" s="115" t="str">
        <x:v>Eigene Erfahrungen zu digitale Informations- und Textproduktion benennen; zentrale Begriffe mit Beispielen klären. Grundlegende Sicherung für Lernende mit HSA-Niveau beziehungsweise zusätzlichem Förderbedarf; kurze Materialien und feste Arbeitsschritte.</x:v>
      </x:c>
      <x:c r="F53" s="115" t="str">
        <x:v>Vorwissen zu digitale Informations- und Textproduktion strukturieren; erste Positionen formulieren und mögliche Konflikte benennen. RSA-orientiert: vollständige Anforderungsbreite der Klassenstufe 10, selbstständige Planung, Analyse und reflektierte Bewertung.</x:v>
      </x:c>
      <x:c r="G53" s="115" t="str">
        <x:v>de_k10_st49_ki_medien_einstieg</x:v>
      </x:c>
      <x:c r="H53" s="176" t="e">
        <x:f>HYPERLINK("schueler/de_k10_st49_ki_medien_einstieg_app.html","Lernmodul öffnen")</x:f>
      </x:c>
      <x:c r="I53" s="177" t="e">
        <x:f>HYPERLINK("lehrer/de_k10_st49_ki_medien_einstieg_orga.html","Vorbereitung öffnen")</x:f>
      </x:c>
    </x:row>
    <x:row r="54" ht="65" customHeight="1">
      <x:c r="A54" s="142" t="n">
        <x:v>10</x:v>
      </x:c>
      <x:c r="B54" s="115" t="str">
        <x:v>Lesen/Umgang mit Texten</x:v>
      </x:c>
      <x:c r="C54" s="148" t="n">
        <x:v>50</x:v>
      </x:c>
      <x:c r="D54" s="115" t="str">
        <x:v>Medienkritik: KI, Algorithmen und Öffentlichkeit: Quellen und Materialien erschließen</x:v>
      </x:c>
      <x:c r="E54" s="115" t="str">
        <x:v>Kurze Materialien lesen oder ansehen; Hauptaussagen mit Leitfragen festhalten. Grundlegende Sicherung für Lernende mit HSA-Niveau beziehungsweise zusätzlichem Förderbedarf; kurze Materialien und feste Arbeitsschritte.</x:v>
      </x:c>
      <x:c r="F54" s="115" t="str">
        <x:v>Unterschiedliche Materialien selbstständig erschließen; Aussage, Intention und Kontext bestimmen. RSA-orientiert: vollständige Anforderungsbreite der Klassenstufe 10, selbstständige Planung, Analyse und reflektierte Bewertung.</x:v>
      </x:c>
      <x:c r="G54" s="115" t="str">
        <x:v>de_k10_st50_ki_medien_quellen</x:v>
      </x:c>
      <x:c r="H54" s="176" t="e">
        <x:f>HYPERLINK("schueler/de_k10_st50_ki_medien_quellen_app.html","Lernmodul öffnen")</x:f>
      </x:c>
      <x:c r="I54" s="177" t="e">
        <x:f>HYPERLINK("lehrer/de_k10_st50_ki_medien_quellen_orga.html","Vorbereitung öffnen")</x:f>
      </x:c>
    </x:row>
    <x:row r="55" ht="65" customHeight="1">
      <x:c r="A55" s="142" t="n">
        <x:v>10</x:v>
      </x:c>
      <x:c r="B55" s="115" t="str">
        <x:v>Lesen/Umgang mit Texten</x:v>
      </x:c>
      <x:c r="C55" s="148" t="n">
        <x:v>51</x:v>
      </x:c>
      <x:c r="D55" s="115" t="str">
        <x:v>Medienkritik: KI, Algorithmen und Öffentlichkeit: Qualitätskriterien anwenden</x:v>
      </x:c>
      <x:c r="E55" s="115" t="str">
        <x:v>Quelle, Urheberschaft, Kennzeichnung, Datenschutz und Plausibilität in einer Checkliste anwenden und Auffälligkeiten markieren. Grundlegende Sicherung für Lernende mit HSA-Niveau beziehungsweise zusätzlichem Förderbedarf; kurze Materialien und feste Arbeitsschritte.</x:v>
      </x:c>
      <x:c r="F55" s="115" t="str">
        <x:v>Quelle, Urheberschaft, Kennzeichnung, Datenschutz und Plausibilität gewichten, auf Grenzfälle anwenden und begründete Qualitätsurteile formulieren. RSA-orientiert: vollständige Anforderungsbreite der Klassenstufe 10, selbstständige Planung, Analyse und reflektierte Bewertung.</x:v>
      </x:c>
      <x:c r="G55" s="115" t="str">
        <x:v>de_k10_st51_ki_medien_kriterien</x:v>
      </x:c>
      <x:c r="H55" s="176" t="e">
        <x:f>HYPERLINK("schueler/de_k10_st51_ki_medien_kriterien_app.html","Lernmodul öffnen")</x:f>
      </x:c>
      <x:c r="I55" s="177" t="e">
        <x:f>HYPERLINK("lehrer/de_k10_st51_ki_medien_kriterien_orga.html","Vorbereitung öffnen")</x:f>
      </x:c>
    </x:row>
    <x:row r="56" ht="65" customHeight="1">
      <x:c r="A56" s="142" t="n">
        <x:v>10</x:v>
      </x:c>
      <x:c r="B56" s="115" t="str">
        <x:v>Lesen/Umgang mit Texten</x:v>
      </x:c>
      <x:c r="C56" s="148" t="n">
        <x:v>52</x:v>
      </x:c>
      <x:c r="D56" s="115" t="str">
        <x:v>Medienkritik: KI, Algorithmen und Öffentlichkeit: Darstellungen vergleichen</x:v>
      </x:c>
      <x:c r="E56" s="115" t="str">
        <x:v>Menschlich und maschinell erzeugte beiträge nach vorgegebenen Merkmalen vergleichen. Grundlegende Sicherung für Lernende mit HSA-Niveau beziehungsweise zusätzlichem Förderbedarf; kurze Materialien und feste Arbeitsschritte.</x:v>
      </x:c>
      <x:c r="F56" s="115" t="str">
        <x:v>Menschlich und maschinell erzeugte beiträge hinsichtlich Informationsauswahl, Gestaltung, Wirkung und Interessen vergleichen. RSA-orientiert: vollständige Anforderungsbreite der Klassenstufe 10, selbstständige Planung, Analyse und reflektierte Bewertung.</x:v>
      </x:c>
      <x:c r="G56" s="115" t="str">
        <x:v>de_k10_st52_ki_medien_vergleichen</x:v>
      </x:c>
      <x:c r="H56" s="176" t="e">
        <x:f>HYPERLINK("schueler/de_k10_st52_ki_medien_vergleichen_app.html","Lernmodul öffnen")</x:f>
      </x:c>
      <x:c r="I56" s="177" t="e">
        <x:f>HYPERLINK("lehrer/de_k10_st52_ki_medien_vergleichen_orga.html","Vorbereitung öffnen")</x:f>
      </x:c>
    </x:row>
    <x:row r="57" ht="65" customHeight="1">
      <x:c r="A57" s="142" t="n">
        <x:v>10</x:v>
      </x:c>
      <x:c r="B57" s="115" t="str">
        <x:v>Schreiben</x:v>
      </x:c>
      <x:c r="C57" s="148" t="n">
        <x:v>53</x:v>
      </x:c>
      <x:c r="D57" s="115" t="str">
        <x:v>Medienkritik: KI, Algorithmen und Öffentlichkeit: Informationen prüfen und ordnen</x:v>
      </x:c>
      <x:c r="E57" s="115" t="str">
        <x:v>Informationen aus vorgegebenen Quellen auswählen; Fundstellen notieren und geordnet ablegen. Grundlegende Sicherung für Lernende mit HSA-Niveau beziehungsweise zusätzlichem Förderbedarf; kurze Materialien und feste Arbeitsschritte.</x:v>
      </x:c>
      <x:c r="F57" s="115" t="str">
        <x:v>Recherchefrage entwickeln; Quellen prüfen, Informationen abgleichen und korrekt dokumentieren. RSA-orientiert: vollständige Anforderungsbreite der Klassenstufe 10, selbstständige Planung, Analyse und reflektierte Bewertung.</x:v>
      </x:c>
      <x:c r="G57" s="115" t="str">
        <x:v>de_k10_st53_ki_medien_recherche</x:v>
      </x:c>
      <x:c r="H57" s="176" t="e">
        <x:f>HYPERLINK("schueler/de_k10_st53_ki_medien_recherche_app.html","Lernmodul öffnen")</x:f>
      </x:c>
      <x:c r="I57" s="177" t="e">
        <x:f>HYPERLINK("lehrer/de_k10_st53_ki_medien_recherche_orga.html","Vorbereitung öffnen")</x:f>
      </x:c>
    </x:row>
    <x:row r="58" ht="65" customHeight="1">
      <x:c r="A58" s="142" t="n">
        <x:v>10</x:v>
      </x:c>
      <x:c r="B58" s="115" t="str">
        <x:v>Schreiben</x:v>
      </x:c>
      <x:c r="C58" s="148" t="n">
        <x:v>54</x:v>
      </x:c>
      <x:c r="D58" s="115" t="str">
        <x:v>Medienkritik: KI, Algorithmen und Öffentlichkeit: Produkt planen</x:v>
      </x:c>
      <x:c r="E58" s="115" t="str">
        <x:v>Für kritischer Medienbeitrag einen vorgegebenen Arbeitsplan ergänzen; Aufgaben verteilen. Grundlegende Sicherung für Lernende mit HSA-Niveau beziehungsweise zusätzlichem Förderbedarf; kurze Materialien und feste Arbeitsschritte.</x:v>
      </x:c>
      <x:c r="F58" s="115" t="str">
        <x:v>Für kritischer Medienbeitrag Zielgruppe, Aufbau, Medienwahl, Zeitplan und Qualitätskontrolle selbstständig festlegen. RSA-orientiert: vollständige Anforderungsbreite der Klassenstufe 10, selbstständige Planung, Analyse und reflektierte Bewertung.</x:v>
      </x:c>
      <x:c r="G58" s="115" t="str">
        <x:v>de_k10_st54_ki_medien_planen</x:v>
      </x:c>
      <x:c r="H58" s="176" t="e">
        <x:f>HYPERLINK("schueler/de_k10_st54_ki_medien_planen_app.html","Lernmodul öffnen")</x:f>
      </x:c>
      <x:c r="I58" s="177" t="e">
        <x:f>HYPERLINK("lehrer/de_k10_st54_ki_medien_planen_orga.html","Vorbereitung öffnen")</x:f>
      </x:c>
    </x:row>
    <x:row r="59" ht="65" customHeight="1">
      <x:c r="A59" s="142" t="n">
        <x:v>10</x:v>
      </x:c>
      <x:c r="B59" s="115" t="str">
        <x:v>Schreiben</x:v>
      </x:c>
      <x:c r="C59" s="148" t="n">
        <x:v>55</x:v>
      </x:c>
      <x:c r="D59" s="115" t="str">
        <x:v>Medienkritik: KI, Algorithmen und Öffentlichkeit: Produkt erstellen</x:v>
      </x:c>
      <x:c r="E59" s="115" t="str">
        <x:v>Kritischer medienbeitrag mit Vorlage und klaren Teilaufträgen erstellen. Grundlegende Sicherung für Lernende mit HSA-Niveau beziehungsweise zusätzlichem Förderbedarf; kurze Materialien und feste Arbeitsschritte.</x:v>
      </x:c>
      <x:c r="F59" s="115" t="str">
        <x:v>Kritischer medienbeitrag selbstständig, adressatengerecht und quellenbewusst erstellen. RSA-orientiert: vollständige Anforderungsbreite der Klassenstufe 10, selbstständige Planung, Analyse und reflektierte Bewertung.</x:v>
      </x:c>
      <x:c r="G59" s="115" t="str">
        <x:v>de_k10_st55_ki_medien_erstellen</x:v>
      </x:c>
      <x:c r="H59" s="176" t="e">
        <x:f>HYPERLINK("schueler/de_k10_st55_ki_medien_erstellen_app.html","Lernmodul öffnen")</x:f>
      </x:c>
      <x:c r="I59" s="177" t="e">
        <x:f>HYPERLINK("lehrer/de_k10_st55_ki_medien_erstellen_orga.html","Vorbereitung öffnen")</x:f>
      </x:c>
    </x:row>
    <x:row r="60" ht="65" customHeight="1">
      <x:c r="A60" s="142" t="n">
        <x:v>10</x:v>
      </x:c>
      <x:c r="B60" s="115" t="str">
        <x:v>Sprechen und Zuhören</x:v>
      </x:c>
      <x:c r="C60" s="148" t="n">
        <x:v>56</x:v>
      </x:c>
      <x:c r="D60" s="115" t="str">
        <x:v>Medienkritik: KI, Algorithmen und Öffentlichkeit: präsentieren und reflektieren</x:v>
      </x:c>
      <x:c r="E60" s="115" t="str">
        <x:v>Produkt kurz vorstellen; Rückmeldung anhand weniger Kriterien geben und annehmen. Grundlegende Sicherung für Lernende mit HSA-Niveau beziehungsweise zusätzlichem Förderbedarf; kurze Materialien und feste Arbeitsschritte.</x:v>
      </x:c>
      <x:c r="F60" s="115" t="str">
        <x:v>Produkt überzeugend präsentieren; Arbeitsprozess, Quellenwahl und Wirkung kritisch reflektieren. RSA-orientiert: vollständige Anforderungsbreite der Klassenstufe 10, selbstständige Planung, Analyse und reflektierte Bewertung.</x:v>
      </x:c>
      <x:c r="G60" s="115" t="str">
        <x:v>de_k10_st56_ki_medien_reflexion</x:v>
      </x:c>
      <x:c r="H60" s="176" t="e">
        <x:f>HYPERLINK("schueler/de_k10_st56_ki_medien_reflexion_app.html","Lernmodul öffnen")</x:f>
      </x:c>
      <x:c r="I60" s="177" t="e">
        <x:f>HYPERLINK("lehrer/de_k10_st56_ki_medien_reflexion_orga.html","Vorbereitung öffnen")</x:f>
      </x:c>
    </x:row>
    <x:row r="61" ht="65" customHeight="1">
      <x:c r="A61" s="142" t="n">
        <x:v>10</x:v>
      </x:c>
      <x:c r="B61" s="115" t="str">
        <x:v>Sprache untersuchen</x:v>
      </x:c>
      <x:c r="C61" s="148" t="n">
        <x:v>57</x:v>
      </x:c>
      <x:c r="D61" s="115" t="str">
        <x:v>Rhetorik, Sprache und Wirkung: Lernstand feststellen</x:v>
      </x:c>
      <x:c r="E61" s="115" t="str">
        <x:v>Kurze Diagnose zu Rede, Kommentar und öffentliche Kommunikation bearbeiten; eigene Unsicherheiten markieren. Grundlegende Sicherung für Lernende mit HSA-Niveau beziehungsweise zusätzlichem Förderbedarf; kurze Materialien und feste Arbeitsschritte.</x:v>
      </x:c>
      <x:c r="F61" s="115" t="str">
        <x:v>Diagnose zu Rede, Kommentar und öffentliche Kommunikation auswerten; Fehlermuster benennen und persönliche Lernziele ableiten. RSA-orientiert: vollständige Anforderungsbreite der Klassenstufe 10, selbstständige Planung, Analyse und reflektierte Bewertung.</x:v>
      </x:c>
      <x:c r="G61" s="115" t="str">
        <x:v>de_k10_st57_rhetorik_diagnose</x:v>
      </x:c>
      <x:c r="H61" s="176" t="e">
        <x:f>HYPERLINK("schueler/de_k10_st57_rhetorik_diagnose_app.html","Lernmodul öffnen")</x:f>
      </x:c>
      <x:c r="I61" s="177" t="e">
        <x:f>HYPERLINK("lehrer/de_k10_st57_rhetorik_diagnose_orga.html","Vorbereitung öffnen")</x:f>
      </x:c>
    </x:row>
    <x:row r="62" ht="65" customHeight="1">
      <x:c r="A62" s="142" t="n">
        <x:v>10</x:v>
      </x:c>
      <x:c r="B62" s="115" t="str">
        <x:v>Sprache untersuchen</x:v>
      </x:c>
      <x:c r="C62" s="148" t="n">
        <x:v>58</x:v>
      </x:c>
      <x:c r="D62" s="115" t="str">
        <x:v>Rhetorik, Sprache und Wirkung: Grundbegriffe sichern</x:v>
      </x:c>
      <x:c r="E62" s="115" t="str">
        <x:v>Argumentationsmuster, rhetorische Mittel, Framing und Sprachregister an einfachen Beispielen erkennen und mit Merkkarten sichern. Grundlegende Sicherung für Lernende mit HSA-Niveau beziehungsweise zusätzlichem Förderbedarf; kurze Materialien und feste Arbeitsschritte.</x:v>
      </x:c>
      <x:c r="F62" s="115" t="str">
        <x:v>Argumentationsmuster, rhetorische Mittel, Framing und Sprachregister fachsprachlich erklären, voneinander abgrenzen und in komplexeren Beispielen bestimmen. RSA-orientiert: vollständige Anforderungsbreite der Klassenstufe 10, selbstständige Planung, Analyse und reflektierte Bewertung.</x:v>
      </x:c>
      <x:c r="G62" s="115" t="str">
        <x:v>de_k10_st58_rhetorik_grundbegriffe</x:v>
      </x:c>
      <x:c r="H62" s="176" t="e">
        <x:f>HYPERLINK("schueler/de_k10_st58_rhetorik_grundbegriffe_app.html","Lernmodul öffnen")</x:f>
      </x:c>
      <x:c r="I62" s="177" t="e">
        <x:f>HYPERLINK("lehrer/de_k10_st58_rhetorik_grundbegriffe_orga.html","Vorbereitung öffnen")</x:f>
      </x:c>
    </x:row>
    <x:row r="63" ht="65" customHeight="1">
      <x:c r="A63" s="142" t="n">
        <x:v>10</x:v>
      </x:c>
      <x:c r="B63" s="115" t="str">
        <x:v>Sprache untersuchen</x:v>
      </x:c>
      <x:c r="C63" s="148" t="n">
        <x:v>59</x:v>
      </x:c>
      <x:c r="D63" s="115" t="str">
        <x:v>Rhetorik, Sprache und Wirkung: Verfahren anwenden</x:v>
      </x:c>
      <x:c r="E63" s="115" t="str">
        <x:v>Sprach- und Wirkungsanalyse Schritt für Schritt anwenden; Entscheidungen mündlich begründen. Grundlegende Sicherung für Lernende mit HSA-Niveau beziehungsweise zusätzlichem Förderbedarf; kurze Materialien und feste Arbeitsschritte.</x:v>
      </x:c>
      <x:c r="F63" s="115" t="str">
        <x:v>Sprach- und Wirkungsanalyse selbstständig auswählen, kombinieren und auf Zweifelsfälle übertragen. RSA-orientiert: vollständige Anforderungsbreite der Klassenstufe 10, selbstständige Planung, Analyse und reflektierte Bewertung.</x:v>
      </x:c>
      <x:c r="G63" s="115" t="str">
        <x:v>de_k10_st59_rhetorik_verfahren</x:v>
      </x:c>
      <x:c r="H63" s="176" t="e">
        <x:f>HYPERLINK("schueler/de_k10_st59_rhetorik_verfahren_app.html","Lernmodul öffnen")</x:f>
      </x:c>
      <x:c r="I63" s="177" t="e">
        <x:f>HYPERLINK("lehrer/de_k10_st59_rhetorik_verfahren_orga.html","Vorbereitung öffnen")</x:f>
      </x:c>
    </x:row>
    <x:row r="64" ht="65" customHeight="1">
      <x:c r="A64" s="142" t="n">
        <x:v>10</x:v>
      </x:c>
      <x:c r="B64" s="115" t="str">
        <x:v>Sprache untersuchen</x:v>
      </x:c>
      <x:c r="C64" s="148" t="n">
        <x:v>60</x:v>
      </x:c>
      <x:c r="D64" s="115" t="str">
        <x:v>Rhetorik, Sprache und Wirkung: Formen und Funktionen untersuchen</x:v>
      </x:c>
      <x:c r="E64" s="115" t="str">
        <x:v>Formen bilden und ihre Aufgabe im Satz mit Leitfragen beschreiben. Grundlegende Sicherung für Lernende mit HSA-Niveau beziehungsweise zusätzlichem Förderbedarf; kurze Materialien und feste Arbeitsschritte.</x:v>
      </x:c>
      <x:c r="F64" s="115" t="str">
        <x:v>Form, Funktion und Wirkung im Satz oder Text untersuchen; alternative Formulierungen vergleichen. RSA-orientiert: vollständige Anforderungsbreite der Klassenstufe 10, selbstständige Planung, Analyse und reflektierte Bewertung.</x:v>
      </x:c>
      <x:c r="G64" s="115" t="str">
        <x:v>de_k10_st60_rhetorik_funktion</x:v>
      </x:c>
      <x:c r="H64" s="176" t="e">
        <x:f>HYPERLINK("schueler/de_k10_st60_rhetorik_funktion_app.html","Lernmodul öffnen")</x:f>
      </x:c>
      <x:c r="I64" s="177" t="e">
        <x:f>HYPERLINK("lehrer/de_k10_st60_rhetorik_funktion_orga.html","Vorbereitung öffnen")</x:f>
      </x:c>
    </x:row>
    <x:row r="65" ht="65" customHeight="1">
      <x:c r="A65" s="142" t="n">
        <x:v>10</x:v>
      </x:c>
      <x:c r="B65" s="115" t="str">
        <x:v>Schreiben</x:v>
      </x:c>
      <x:c r="C65" s="148" t="n">
        <x:v>61</x:v>
      </x:c>
      <x:c r="D65" s="115" t="str">
        <x:v>Rhetorik, Sprache und Wirkung: Wissen im eigenen Text nutzen</x:v>
      </x:c>
      <x:c r="E65" s="115" t="str">
        <x:v>Redeanalyse und eigene rede nach Vorgabe verfassen und die geübten Strukturen farbig markieren. Grundlegende Sicherung für Lernende mit HSA-Niveau beziehungsweise zusätzlichem Förderbedarf; kurze Materialien und feste Arbeitsschritte.</x:v>
      </x:c>
      <x:c r="F65" s="115" t="str">
        <x:v>Redeanalyse und eigene rede bewusst gestalten und sprachliche Entscheidungen kommentieren. RSA-orientiert: vollständige Anforderungsbreite der Klassenstufe 10, selbstständige Planung, Analyse und reflektierte Bewertung.</x:v>
      </x:c>
      <x:c r="G65" s="115" t="str">
        <x:v>de_k10_st61_rhetorik_anwenden</x:v>
      </x:c>
      <x:c r="H65" s="176" t="e">
        <x:f>HYPERLINK("schueler/de_k10_st61_rhetorik_anwenden_app.html","Lernmodul öffnen")</x:f>
      </x:c>
      <x:c r="I65" s="177" t="e">
        <x:f>HYPERLINK("lehrer/de_k10_st61_rhetorik_anwenden_orga.html","Vorbereitung öffnen")</x:f>
      </x:c>
    </x:row>
    <x:row r="66" ht="65" customHeight="1">
      <x:c r="A66" s="142" t="n">
        <x:v>10</x:v>
      </x:c>
      <x:c r="B66" s="115" t="str">
        <x:v>Sprache untersuchen</x:v>
      </x:c>
      <x:c r="C66" s="148" t="n">
        <x:v>62</x:v>
      </x:c>
      <x:c r="D66" s="115" t="str">
        <x:v>Rhetorik, Sprache und Wirkung: Fehler finden und korrigieren</x:v>
      </x:c>
      <x:c r="E66" s="115" t="str">
        <x:v>Typische Fehler in kurzen Sätzen finden; passende Regelkarte auswählen und korrigieren. Grundlegende Sicherung für Lernende mit HSA-Niveau beziehungsweise zusätzlichem Förderbedarf; kurze Materialien und feste Arbeitsschritte.</x:v>
      </x:c>
      <x:c r="F66" s="115" t="str">
        <x:v>Fehler systematisch diagnostizieren, Regelbezug herstellen und mehrere Korrekturmöglichkeiten bewerten. RSA-orientiert: vollständige Anforderungsbreite der Klassenstufe 10, selbstständige Planung, Analyse und reflektierte Bewertung.</x:v>
      </x:c>
      <x:c r="G66" s="115" t="str">
        <x:v>de_k10_st62_rhetorik_fehler</x:v>
      </x:c>
      <x:c r="H66" s="176" t="e">
        <x:f>HYPERLINK("schueler/de_k10_st62_rhetorik_fehler_app.html","Lernmodul öffnen")</x:f>
      </x:c>
      <x:c r="I66" s="177" t="e">
        <x:f>HYPERLINK("lehrer/de_k10_st62_rhetorik_fehler_orga.html","Vorbereitung öffnen")</x:f>
      </x:c>
    </x:row>
    <x:row r="67" ht="65" customHeight="1">
      <x:c r="A67" s="142" t="n">
        <x:v>10</x:v>
      </x:c>
      <x:c r="B67" s="115" t="str">
        <x:v>Sprache untersuchen</x:v>
      </x:c>
      <x:c r="C67" s="148" t="n">
        <x:v>63</x:v>
      </x:c>
      <x:c r="D67" s="115" t="str">
        <x:v>Rhetorik, Sprache und Wirkung: Transfer auf unbekannte Beispiele</x:v>
      </x:c>
      <x:c r="E67" s="115" t="str">
        <x:v>Neue Beispiele mit Hilfekarte bearbeiten und Lösungen vergleichen. Grundlegende Sicherung für Lernende mit HSA-Niveau beziehungsweise zusätzlichem Förderbedarf; kurze Materialien und feste Arbeitsschritte.</x:v>
      </x:c>
      <x:c r="F67" s="115" t="str">
        <x:v>Unbekannte und mehrdeutige Beispiele selbstständig analysieren; Grenzfälle begründet diskutieren. RSA-orientiert: vollständige Anforderungsbreite der Klassenstufe 10, selbstständige Planung, Analyse und reflektierte Bewertung.</x:v>
      </x:c>
      <x:c r="G67" s="115" t="str">
        <x:v>de_k10_st63_rhetorik_transfer</x:v>
      </x:c>
      <x:c r="H67" s="176" t="e">
        <x:f>HYPERLINK("schueler/de_k10_st63_rhetorik_transfer_app.html","Lernmodul öffnen")</x:f>
      </x:c>
      <x:c r="I67" s="177" t="e">
        <x:f>HYPERLINK("lehrer/de_k10_st63_rhetorik_transfer_orga.html","Vorbereitung öffnen")</x:f>
      </x:c>
    </x:row>
    <x:row r="68" ht="65" customHeight="1">
      <x:c r="A68" s="142" t="n">
        <x:v>10</x:v>
      </x:c>
      <x:c r="B68" s="115" t="str">
        <x:v>Schreiben</x:v>
      </x:c>
      <x:c r="C68" s="148" t="n">
        <x:v>64</x:v>
      </x:c>
      <x:c r="D68" s="115" t="str">
        <x:v>Rhetorik, Sprache und Wirkung: Lernprodukt und Kompetenzcheck</x:v>
      </x:c>
      <x:c r="E68" s="115" t="str">
        <x:v>Merkblatt oder Übungstext erstellen; Grundregeln in einem kurzen Kompetenzcheck anwenden. Grundlegende Sicherung für Lernende mit HSA-Niveau beziehungsweise zusätzlichem Förderbedarf; kurze Materialien und feste Arbeitsschritte.</x:v>
      </x:c>
      <x:c r="F68" s="115" t="str">
        <x:v>Erklärprodukt mit eigenen Beispielen erstellen; Regeln in einem anspruchsvollen Kompetenzcheck sicher anwenden. RSA-orientiert: vollständige Anforderungsbreite der Klassenstufe 10, selbstständige Planung, Analyse und reflektierte Bewertung.</x:v>
      </x:c>
      <x:c r="G68" s="115" t="str">
        <x:v>de_k10_st64_rhetorik_kompetenzcheck</x:v>
      </x:c>
      <x:c r="H68" s="176" t="e">
        <x:f>HYPERLINK("schueler/de_k10_st64_rhetorik_kompetenzcheck_app.html","Lernmodul öffnen")</x:f>
      </x:c>
      <x:c r="I68" s="177" t="e">
        <x:f>HYPERLINK("lehrer/de_k10_st64_rhetorik_kompetenzcheck_orga.html","Vorbereitung öffnen")</x:f>
      </x:c>
    </x:row>
    <x:row r="69" ht="65" customHeight="1">
      <x:c r="A69" s="142" t="n">
        <x:v>10</x:v>
      </x:c>
      <x:c r="B69" s="115" t="str">
        <x:v>Lesen/Umgang mit Texten</x:v>
      </x:c>
      <x:c r="C69" s="148" t="n">
        <x:v>65</x:v>
      </x:c>
      <x:c r="D69" s="115" t="str">
        <x:v>Berufliche Kommunikation: Beispieltexte untersuchen</x:v>
      </x:c>
      <x:c r="E69" s="115" t="str">
        <x:v>Ein Beispiel für Bewerbung, E-Mail, Protokoll und Beschwerde lesen; Aufbau und typische Formulierungen farbig kennzeichnen. Grundlegende Sicherung für Lernende mit HSA-Niveau beziehungsweise zusätzlichem Förderbedarf; kurze Materialien und feste Arbeitsschritte.</x:v>
      </x:c>
      <x:c r="F69" s="115" t="str">
        <x:v>Mehrere Beispiele für Bewerbung, E-Mail, Protokoll und Beschwerde vergleichen; Funktion, Adressat und Qualitätsunterschiede herausarbeiten. RSA-orientiert: vollständige Anforderungsbreite der Klassenstufe 10, selbstständige Planung, Analyse und reflektierte Bewertung.</x:v>
      </x:c>
      <x:c r="G69" s="115" t="str">
        <x:v>de_k10_st65_beruf_beispiel</x:v>
      </x:c>
      <x:c r="H69" s="176" t="e">
        <x:f>HYPERLINK("schueler/de_k10_st65_beruf_beispiel_app.html","Lernmodul öffnen")</x:f>
      </x:c>
      <x:c r="I69" s="177" t="e">
        <x:f>HYPERLINK("lehrer/de_k10_st65_beruf_beispiel_orga.html","Vorbereitung öffnen")</x:f>
      </x:c>
    </x:row>
    <x:row r="70" ht="65" customHeight="1">
      <x:c r="A70" s="142" t="n">
        <x:v>10</x:v>
      </x:c>
      <x:c r="B70" s="115" t="str">
        <x:v>Schreiben</x:v>
      </x:c>
      <x:c r="C70" s="148" t="n">
        <x:v>66</x:v>
      </x:c>
      <x:c r="D70" s="115" t="str">
        <x:v>Berufliche Kommunikation: Schreibziel und Kriterien klären</x:v>
      </x:c>
      <x:c r="E70" s="115" t="str">
        <x:v>Schreibziel „adressatenbezogen und normgerecht kommunizieren“ verstehen; eine kurze Kriterienliste auf ein Beispiel anwenden. Grundlegende Sicherung für Lernende mit HSA-Niveau beziehungsweise zusätzlichem Förderbedarf; kurze Materialien und feste Arbeitsschritte.</x:v>
      </x:c>
      <x:c r="F70" s="115" t="str">
        <x:v>Schreibziel „adressatenbezogen und normgerecht kommunizieren“ präzisieren; Kriterien gewichten und auf unterschiedliche Schreibsituationen übertragen. RSA-orientiert: vollständige Anforderungsbreite der Klassenstufe 10, selbstständige Planung, Analyse und reflektierte Bewertung.</x:v>
      </x:c>
      <x:c r="G70" s="115" t="str">
        <x:v>de_k10_st66_beruf_kriterien</x:v>
      </x:c>
      <x:c r="H70" s="176" t="e">
        <x:f>HYPERLINK("schueler/de_k10_st66_beruf_kriterien_app.html","Lernmodul öffnen")</x:f>
      </x:c>
      <x:c r="I70" s="177" t="e">
        <x:f>HYPERLINK("lehrer/de_k10_st66_beruf_kriterien_orga.html","Vorbereitung öffnen")</x:f>
      </x:c>
    </x:row>
    <x:row r="71" ht="65" customHeight="1">
      <x:c r="A71" s="142" t="n">
        <x:v>10</x:v>
      </x:c>
      <x:c r="B71" s="115" t="str">
        <x:v>Lesen/Umgang mit Texten</x:v>
      </x:c>
      <x:c r="C71" s="148" t="n">
        <x:v>67</x:v>
      </x:c>
      <x:c r="D71" s="115" t="str">
        <x:v>Berufliche Kommunikation: Inhalte auswählen und ordnen</x:v>
      </x:c>
      <x:c r="E71" s="115" t="str">
        <x:v>Anforderungsprofil, Gesprächssituation und Dokumentation mit Leitfragen sammeln und in einer vorgegebenen Reihenfolge ordnen. Grundlegende Sicherung für Lernende mit HSA-Niveau beziehungsweise zusätzlichem Förderbedarf; kurze Materialien und feste Arbeitsschritte.</x:v>
      </x:c>
      <x:c r="F71" s="115" t="str">
        <x:v>Anforderungsprofil, Gesprächssituation und Dokumentation selbstständig auswählen, gewichten und in einer passenden Gliederung strukturieren. RSA-orientiert: vollständige Anforderungsbreite der Klassenstufe 10, selbstständige Planung, Analyse und reflektierte Bewertung.</x:v>
      </x:c>
      <x:c r="G71" s="115" t="str">
        <x:v>de_k10_st67_beruf_inhalte_ordnen</x:v>
      </x:c>
      <x:c r="H71" s="176" t="e">
        <x:f>HYPERLINK("schueler/de_k10_st67_beruf_inhalte_ordnen_app.html","Lernmodul öffnen")</x:f>
      </x:c>
      <x:c r="I71" s="177" t="e">
        <x:f>HYPERLINK("lehrer/de_k10_st67_beruf_inhalte_ordnen_orga.html","Vorbereitung öffnen")</x:f>
      </x:c>
    </x:row>
    <x:row r="72" ht="65" customHeight="1">
      <x:c r="A72" s="142" t="n">
        <x:v>10</x:v>
      </x:c>
      <x:c r="B72" s="115" t="str">
        <x:v>Sprache untersuchen</x:v>
      </x:c>
      <x:c r="C72" s="148" t="n">
        <x:v>68</x:v>
      </x:c>
      <x:c r="D72" s="115" t="str">
        <x:v>Berufliche Kommunikation: passende sprachliche Mittel verwenden</x:v>
      </x:c>
      <x:c r="E72" s="115" t="str">
        <x:v>Fachsprache, Höflichkeit, Präzision, Textgestaltung in Übungen erkennen und nach Satzmustern anwenden. Grundlegende Sicherung für Lernende mit HSA-Niveau beziehungsweise zusätzlichem Förderbedarf; kurze Materialien und feste Arbeitsschritte.</x:v>
      </x:c>
      <x:c r="F72" s="115" t="str">
        <x:v>Fachsprache, Höflichkeit, Präzision, Textgestaltung hinsichtlich Wirkung und Angemessenheit prüfen und gezielt variieren. RSA-orientiert: vollständige Anforderungsbreite der Klassenstufe 10, selbstständige Planung, Analyse und reflektierte Bewertung.</x:v>
      </x:c>
      <x:c r="G72" s="115" t="str">
        <x:v>de_k10_st68_beruf_sprachmittel</x:v>
      </x:c>
      <x:c r="H72" s="176" t="e">
        <x:f>HYPERLINK("schueler/de_k10_st68_beruf_sprachmittel_app.html","Lernmodul öffnen")</x:f>
      </x:c>
      <x:c r="I72" s="177" t="e">
        <x:f>HYPERLINK("lehrer/de_k10_st68_beruf_sprachmittel_orga.html","Vorbereitung öffnen")</x:f>
      </x:c>
    </x:row>
    <x:row r="73" ht="65" customHeight="1">
      <x:c r="A73" s="142" t="n">
        <x:v>10</x:v>
      </x:c>
      <x:c r="B73" s="115" t="str">
        <x:v>Schreiben</x:v>
      </x:c>
      <x:c r="C73" s="148" t="n">
        <x:v>69</x:v>
      </x:c>
      <x:c r="D73" s="115" t="str">
        <x:v>Berufliche Kommunikation: einen Schreibplan erstellen</x:v>
      </x:c>
      <x:c r="E73" s="115" t="str">
        <x:v>Einen vorstrukturierten Schreibplan ausfüllen; Einleitung, Hauptteil und Schluss festlegen. Grundlegende Sicherung für Lernende mit HSA-Niveau beziehungsweise zusätzlichem Förderbedarf; kurze Materialien und feste Arbeitsschritte.</x:v>
      </x:c>
      <x:c r="F73" s="115" t="str">
        <x:v>Einen eigenen Schreibplan mit Teilzielen, Belegen und sprachlichen Mitteln entwickeln. RSA-orientiert: vollständige Anforderungsbreite der Klassenstufe 10, selbstständige Planung, Analyse und reflektierte Bewertung.</x:v>
      </x:c>
      <x:c r="G73" s="115" t="str">
        <x:v>de_k10_st69_beruf_schreibplan</x:v>
      </x:c>
      <x:c r="H73" s="176" t="e">
        <x:f>HYPERLINK("schueler/de_k10_st69_beruf_schreibplan_app.html","Lernmodul öffnen")</x:f>
      </x:c>
      <x:c r="I73" s="177" t="e">
        <x:f>HYPERLINK("lehrer/de_k10_st69_beruf_schreibplan_orga.html","Vorbereitung öffnen")</x:f>
      </x:c>
    </x:row>
    <x:row r="74" ht="65" customHeight="1">
      <x:c r="A74" s="142" t="n">
        <x:v>10</x:v>
      </x:c>
      <x:c r="B74" s="115" t="str">
        <x:v>Schreiben</x:v>
      </x:c>
      <x:c r="C74" s="148" t="n">
        <x:v>70</x:v>
      </x:c>
      <x:c r="D74" s="115" t="str">
        <x:v>Berufliche Kommunikation: einen ersten Textentwurf verfassen</x:v>
      </x:c>
      <x:c r="E74" s="115" t="str">
        <x:v>Bewerbungs- und kommunikationsmappe mithilfe von Schreibrahmen, Satzanfängen und Wortbank verfassen. Grundlegende Sicherung für Lernende mit HSA-Niveau beziehungsweise zusätzlichem Förderbedarf; kurze Materialien und feste Arbeitsschritte.</x:v>
      </x:c>
      <x:c r="F74" s="115" t="str">
        <x:v>Bewerbungs- und kommunikationsmappe selbstständig, adressatenbezogen und sprachlich differenziert verfassen. RSA-orientiert: vollständige Anforderungsbreite der Klassenstufe 10, selbstständige Planung, Analyse und reflektierte Bewertung.</x:v>
      </x:c>
      <x:c r="G74" s="115" t="str">
        <x:v>de_k10_st70_beruf_entwurf</x:v>
      </x:c>
      <x:c r="H74" s="176" t="e">
        <x:f>HYPERLINK("schueler/de_k10_st70_beruf_entwurf_app.html","Lernmodul öffnen")</x:f>
      </x:c>
      <x:c r="I74" s="177" t="e">
        <x:f>HYPERLINK("lehrer/de_k10_st70_beruf_entwurf_orga.html","Vorbereitung öffnen")</x:f>
      </x:c>
    </x:row>
    <x:row r="75" ht="65" customHeight="1">
      <x:c r="A75" s="142" t="n">
        <x:v>10</x:v>
      </x:c>
      <x:c r="B75" s="115" t="str">
        <x:v>Schreiben</x:v>
      </x:c>
      <x:c r="C75" s="148" t="n">
        <x:v>71</x:v>
      </x:c>
      <x:c r="D75" s="115" t="str">
        <x:v>Berufliche Kommunikation: Text kriteriengeleitet überarbeiten</x:v>
      </x:c>
      <x:c r="E75" s="115" t="str">
        <x:v>Text mit einer kurzen Prüfliste überarbeiten; einen inhaltlichen und einen sprachlichen Fehler verbessern. Grundlegende Sicherung für Lernende mit HSA-Niveau beziehungsweise zusätzlichem Förderbedarf; kurze Materialien und feste Arbeitsschritte.</x:v>
      </x:c>
      <x:c r="F75" s="115" t="str">
        <x:v>Text in mehreren Überarbeitungsschritten prüfen; Aufbau, Kohärenz, Stil und Normrichtigkeit gezielt optimieren. RSA-orientiert: vollständige Anforderungsbreite der Klassenstufe 10, selbstständige Planung, Analyse und reflektierte Bewertung.</x:v>
      </x:c>
      <x:c r="G75" s="115" t="str">
        <x:v>de_k10_st71_beruf_ueberarbeiten</x:v>
      </x:c>
      <x:c r="H75" s="176" t="e">
        <x:f>HYPERLINK("schueler/de_k10_st71_beruf_ueberarbeiten_app.html","Lernmodul öffnen")</x:f>
      </x:c>
      <x:c r="I75" s="177" t="e">
        <x:f>HYPERLINK("lehrer/de_k10_st71_beruf_ueberarbeiten_orga.html","Vorbereitung öffnen")</x:f>
      </x:c>
    </x:row>
    <x:row r="76" ht="65" customHeight="1">
      <x:c r="A76" s="142" t="n">
        <x:v>10</x:v>
      </x:c>
      <x:c r="B76" s="115" t="str">
        <x:v>Sprechen und Zuhören</x:v>
      </x:c>
      <x:c r="C76" s="148" t="n">
        <x:v>72</x:v>
      </x:c>
      <x:c r="D76" s="115" t="str">
        <x:v>Berufliche Kommunikation: Texte vorstellen und bewerten</x:v>
      </x:c>
      <x:c r="E76" s="115" t="str">
        <x:v>Ausgewählte Passage vorlesen oder erläutern; Rückmeldung mit einfachen Satzmustern geben. Grundlegende Sicherung für Lernende mit HSA-Niveau beziehungsweise zusätzlichem Förderbedarf; kurze Materialien und feste Arbeitsschritte.</x:v>
      </x:c>
      <x:c r="F76" s="115" t="str">
        <x:v>Textwirkung und Schreibentscheidungen erläutern; differenziertes Peer-Feedback geben und begründet annehmen. RSA-orientiert: vollständige Anforderungsbreite der Klassenstufe 10, selbstständige Planung, Analyse und reflektierte Bewertung.</x:v>
      </x:c>
      <x:c r="G76" s="115" t="str">
        <x:v>de_k10_st72_beruf_vorstellen</x:v>
      </x:c>
      <x:c r="H76" s="176" t="e">
        <x:f>HYPERLINK("schueler/de_k10_st72_beruf_vorstellen_app.html","Lernmodul öffnen")</x:f>
      </x:c>
      <x:c r="I76" s="177" t="e">
        <x:f>HYPERLINK("lehrer/de_k10_st72_beruf_vorstellen_orga.html","Vorbereitung öffnen")</x:f>
      </x:c>
    </x:row>
    <x:row r="77" ht="65" customHeight="1">
      <x:c r="A77" s="142" t="n">
        <x:v>10</x:v>
      </x:c>
      <x:c r="B77" s="115" t="str">
        <x:v>Sprechen und Zuhören</x:v>
      </x:c>
      <x:c r="C77" s="148" t="n">
        <x:v>73</x:v>
      </x:c>
      <x:c r="D77" s="115" t="str">
        <x:v>Liebeslyrik und politische Lyrik: Hör- oder Leseeinstieg gestalten</x:v>
      </x:c>
      <x:c r="E77" s="115" t="str">
        <x:v>Einstieg über Bild, Hörtext oder kurzen Auszug; Vorwissen zu Gedichte verschiedener Epochen sammeln und zentrale Wörter klären. Grundlegende Sicherung für Lernende mit HSA-Niveau beziehungsweise zusätzlichem Förderbedarf; kurze Materialien und feste Arbeitsschritte.</x:v>
      </x:c>
      <x:c r="F77" s="115" t="str">
        <x:v>Aus Titel, Kontext und Gestaltung Erwartungen an Gedichte verschiedener Epochen ableiten; erste Hypothesen formulieren und begründen. RSA-orientiert: vollständige Anforderungsbreite der Klassenstufe 10, selbstständige Planung, Analyse und reflektierte Bewertung.</x:v>
      </x:c>
      <x:c r="G77" s="115" t="str">
        <x:v>de_k10_st73_lyrik_einstieg</x:v>
      </x:c>
      <x:c r="H77" s="176" t="e">
        <x:f>HYPERLINK("schueler/de_k10_st73_lyrik_einstieg_app.html","Lernmodul öffnen")</x:f>
      </x:c>
      <x:c r="I77" s="177" t="e">
        <x:f>HYPERLINK("lehrer/de_k10_st73_lyrik_einstieg_orga.html","Vorbereitung öffnen")</x:f>
      </x:c>
    </x:row>
    <x:row r="78" ht="65" customHeight="1">
      <x:c r="A78" s="142" t="n">
        <x:v>10</x:v>
      </x:c>
      <x:c r="B78" s="115" t="str">
        <x:v>Lesen/Umgang mit Texten</x:v>
      </x:c>
      <x:c r="C78" s="148" t="n">
        <x:v>74</x:v>
      </x:c>
      <x:c r="D78" s="115" t="str">
        <x:v>Liebeslyrik und politische Lyrik: den Text mit Lesestrategien erschließen</x:v>
      </x:c>
      <x:c r="E78" s="115" t="str">
        <x:v>Text abschnittsweise lesen; Schlüsselwörter markieren und den Inhalt mit Leitfragen sichern. Grundlegende Sicherung für Lernende mit HSA-Niveau beziehungsweise zusätzlichem Förderbedarf; kurze Materialien und feste Arbeitsschritte.</x:v>
      </x:c>
      <x:c r="F78" s="115" t="str">
        <x:v>Lesetechnik passend zum Ziel wählen; Sinnabschnitte, Schlüsselstellen und offene Fragen selbstständig festhalten. RSA-orientiert: vollständige Anforderungsbreite der Klassenstufe 10, selbstständige Planung, Analyse und reflektierte Bewertung.</x:v>
      </x:c>
      <x:c r="G78" s="115" t="str">
        <x:v>de_k10_st74_lyrik_erschliessen</x:v>
      </x:c>
      <x:c r="H78" s="176" t="e">
        <x:f>HYPERLINK("schueler/de_k10_st74_lyrik_erschliessen_app.html","Lernmodul öffnen")</x:f>
      </x:c>
      <x:c r="I78" s="177" t="e">
        <x:f>HYPERLINK("lehrer/de_k10_st74_lyrik_erschliessen_orga.html","Vorbereitung öffnen")</x:f>
      </x:c>
    </x:row>
    <x:row r="79" ht="65" customHeight="1">
      <x:c r="A79" s="142" t="n">
        <x:v>10</x:v>
      </x:c>
      <x:c r="B79" s="115" t="str">
        <x:v>Lesen/Umgang mit Texten</x:v>
      </x:c>
      <x:c r="C79" s="148" t="n">
        <x:v>75</x:v>
      </x:c>
      <x:c r="D79" s="115" t="str">
        <x:v>Liebeslyrik und politische Lyrik: Gattungsmerkmale erkennen</x:v>
      </x:c>
      <x:c r="E79" s="115" t="str">
        <x:v>Merkmale wie Sprecher, Thema, Form und Stimmung mithilfe einer Checkliste zuordnen und an Textstellen zeigen. Grundlegende Sicherung für Lernende mit HSA-Niveau beziehungsweise zusätzlichem Förderbedarf; kurze Materialien und feste Arbeitsschritte.</x:v>
      </x:c>
      <x:c r="F79" s="115" t="str">
        <x:v>Merkmale wie Sprecher, Thema, Form und Stimmung textnah belegen und ihre Funktion für Aufbau und Wirkung erklären. RSA-orientiert: vollständige Anforderungsbreite der Klassenstufe 10, selbstständige Planung, Analyse und reflektierte Bewertung.</x:v>
      </x:c>
      <x:c r="G79" s="115" t="str">
        <x:v>de_k10_st75_lyrik_merkmale</x:v>
      </x:c>
      <x:c r="H79" s="176" t="e">
        <x:f>HYPERLINK("schueler/de_k10_st75_lyrik_merkmale_app.html","Lernmodul öffnen")</x:f>
      </x:c>
      <x:c r="I79" s="177" t="e">
        <x:f>HYPERLINK("lehrer/de_k10_st75_lyrik_merkmale_orga.html","Vorbereitung öffnen")</x:f>
      </x:c>
    </x:row>
    <x:row r="80" ht="65" customHeight="1">
      <x:c r="A80" s="142" t="n">
        <x:v>10</x:v>
      </x:c>
      <x:c r="B80" s="115" t="str">
        <x:v>Lesen/Umgang mit Texten</x:v>
      </x:c>
      <x:c r="C80" s="148" t="n">
        <x:v>76</x:v>
      </x:c>
      <x:c r="D80" s="115" t="str">
        <x:v>Liebeslyrik und politische Lyrik: Figuren, Handlung und Konflikt untersuchen</x:v>
      </x:c>
      <x:c r="E80" s="115" t="str">
        <x:v>Epochenvergleich, Motivgeschichte und Mehrdeutigkeit mit Figurenkarten oder Handlungsstreifen ordnen; einfache Belege auswählen. Grundlegende Sicherung für Lernende mit HSA-Niveau beziehungsweise zusätzlichem Förderbedarf; kurze Materialien und feste Arbeitsschritte.</x:v>
      </x:c>
      <x:c r="F80" s="115" t="str">
        <x:v>Epochenvergleich, Motivgeschichte und Mehrdeutigkeit in ihrem Zusammenhang untersuchen; Schlussfolgerungen mit passenden Textbelegen absichern. RSA-orientiert: vollständige Anforderungsbreite der Klassenstufe 10, selbstständige Planung, Analyse und reflektierte Bewertung.</x:v>
      </x:c>
      <x:c r="G80" s="115" t="str">
        <x:v>de_k10_st76_lyrik_figuren_handlung</x:v>
      </x:c>
      <x:c r="H80" s="176" t="e">
        <x:f>HYPERLINK("schueler/de_k10_st76_lyrik_figuren_handlung_app.html","Lernmodul öffnen")</x:f>
      </x:c>
      <x:c r="I80" s="177" t="e">
        <x:f>HYPERLINK("lehrer/de_k10_st76_lyrik_figuren_handlung_orga.html","Vorbereitung öffnen")</x:f>
      </x:c>
    </x:row>
    <x:row r="81" ht="65" customHeight="1">
      <x:c r="A81" s="142" t="n">
        <x:v>10</x:v>
      </x:c>
      <x:c r="B81" s="115" t="str">
        <x:v>Sprache untersuchen</x:v>
      </x:c>
      <x:c r="C81" s="148" t="n">
        <x:v>77</x:v>
      </x:c>
      <x:c r="D81" s="115" t="str">
        <x:v>Liebeslyrik und politische Lyrik: Sprache und Wirkung untersuchen</x:v>
      </x:c>
      <x:c r="E81" s="115" t="str">
        <x:v>Beispiele für Metrum, Bildlichkeit, rhetorische Mittel markieren und ihre Wirkung mit vorgegebenen Begriffen beschreiben. Grundlegende Sicherung für Lernende mit HSA-Niveau beziehungsweise zusätzlichem Förderbedarf; kurze Materialien und feste Arbeitsschritte.</x:v>
      </x:c>
      <x:c r="F81" s="115" t="str">
        <x:v>Metrum, Bildlichkeit, rhetorische Mittel fachsprachlich analysieren und auf Figurenzeichnung, Stimmung oder Aussage beziehen. RSA-orientiert: vollständige Anforderungsbreite der Klassenstufe 10, selbstständige Planung, Analyse und reflektierte Bewertung.</x:v>
      </x:c>
      <x:c r="G81" s="115" t="str">
        <x:v>de_k10_st77_lyrik_sprache_wirkung</x:v>
      </x:c>
      <x:c r="H81" s="176" t="e">
        <x:f>HYPERLINK("schueler/de_k10_st77_lyrik_sprache_wirkung_app.html","Lernmodul öffnen")</x:f>
      </x:c>
      <x:c r="I81" s="177" t="e">
        <x:f>HYPERLINK("lehrer/de_k10_st77_lyrik_sprache_wirkung_orga.html","Vorbereitung öffnen")</x:f>
      </x:c>
    </x:row>
    <x:row r="82" ht="65" customHeight="1">
      <x:c r="A82" s="142" t="n">
        <x:v>10</x:v>
      </x:c>
      <x:c r="B82" s="115" t="str">
        <x:v>Schreiben</x:v>
      </x:c>
      <x:c r="C82" s="148" t="n">
        <x:v>78</x:v>
      </x:c>
      <x:c r="D82" s="115" t="str">
        <x:v>Liebeslyrik und politische Lyrik: eine Deutung oder Perspektive vorbereiten</x:v>
      </x:c>
      <x:c r="E82" s="115" t="str">
        <x:v>Eine zentrale Aussage mit Satzstartern formulieren; Beleg und Erklärung in einem Schreibrahmen verbinden. Grundlegende Sicherung für Lernende mit HSA-Niveau beziehungsweise zusätzlichem Förderbedarf; kurze Materialien und feste Arbeitsschritte.</x:v>
      </x:c>
      <x:c r="F82" s="115" t="str">
        <x:v>Eine schlüssige Deutungshypothese entwickeln; mehrere Belege auswählen, ordnen und gegeneinander abwägen. RSA-orientiert: vollständige Anforderungsbreite der Klassenstufe 10, selbstständige Planung, Analyse und reflektierte Bewertung.</x:v>
      </x:c>
      <x:c r="G82" s="115" t="str">
        <x:v>de_k10_st78_lyrik_deutung_planen</x:v>
      </x:c>
      <x:c r="H82" s="176" t="e">
        <x:f>HYPERLINK("schueler/de_k10_st78_lyrik_deutung_planen_app.html","Lernmodul öffnen")</x:f>
      </x:c>
      <x:c r="I82" s="177" t="e">
        <x:f>HYPERLINK("lehrer/de_k10_st78_lyrik_deutung_planen_orga.html","Vorbereitung öffnen")</x:f>
      </x:c>
    </x:row>
    <x:row r="83" ht="65" customHeight="1">
      <x:c r="A83" s="142" t="n">
        <x:v>10</x:v>
      </x:c>
      <x:c r="B83" s="115" t="str">
        <x:v>Schreiben</x:v>
      </x:c>
      <x:c r="C83" s="148" t="n">
        <x:v>79</x:v>
      </x:c>
      <x:c r="D83" s="115" t="str">
        <x:v>Liebeslyrik und politische Lyrik: vergleichende Gedichtanalyse gestalten</x:v>
      </x:c>
      <x:c r="E83" s="115" t="str">
        <x:v>Vergleichende gedichtanalyse nach klaren Vorgaben erstellen; Hilfekarten und Wortbank nutzen. Grundlegende Sicherung für Lernende mit HSA-Niveau beziehungsweise zusätzlichem Förderbedarf; kurze Materialien und feste Arbeitsschritte.</x:v>
      </x:c>
      <x:c r="F83" s="115" t="str">
        <x:v>Vergleichende gedichtanalyse eigenständig, textnah und sprachlich variabel gestalten; Wirkung bewusst planen. RSA-orientiert: vollständige Anforderungsbreite der Klassenstufe 10, selbstständige Planung, Analyse und reflektierte Bewertung.</x:v>
      </x:c>
      <x:c r="G83" s="115" t="str">
        <x:v>de_k10_st79_lyrik_produkt</x:v>
      </x:c>
      <x:c r="H83" s="176" t="e">
        <x:f>HYPERLINK("schueler/de_k10_st79_lyrik_produkt_app.html","Lernmodul öffnen")</x:f>
      </x:c>
      <x:c r="I83" s="177" t="e">
        <x:f>HYPERLINK("lehrer/de_k10_st79_lyrik_produkt_orga.html","Vorbereitung öffnen")</x:f>
      </x:c>
    </x:row>
    <x:row r="84" ht="65" customHeight="1">
      <x:c r="A84" s="142" t="n">
        <x:v>10</x:v>
      </x:c>
      <x:c r="B84" s="115" t="str">
        <x:v>Sprechen und Zuhören</x:v>
      </x:c>
      <x:c r="C84" s="148" t="n">
        <x:v>80</x:v>
      </x:c>
      <x:c r="D84" s="115" t="str">
        <x:v>Liebeslyrik und politische Lyrik: Ergebnisse präsentieren und reflektieren</x:v>
      </x:c>
      <x:c r="E84" s="115" t="str">
        <x:v>Ergebnis kurz vorstellen; zwei vereinbarte Kriterien für Rückmeldung anwenden. Grundlegende Sicherung für Lernende mit HSA-Niveau beziehungsweise zusätzlichem Förderbedarf; kurze Materialien und feste Arbeitsschritte.</x:v>
      </x:c>
      <x:c r="F84" s="115" t="str">
        <x:v>Ergebnis adressatenbezogen präsentieren; Rückmeldungen begründen und die eigene Deutung oder Gestaltung überarbeiten. RSA-orientiert: vollständige Anforderungsbreite der Klassenstufe 10, selbstständige Planung, Analyse und reflektierte Bewertung.</x:v>
      </x:c>
      <x:c r="G84" s="115" t="str">
        <x:v>de_k10_st80_lyrik_praesentieren</x:v>
      </x:c>
      <x:c r="H84" s="176" t="e">
        <x:f>HYPERLINK("schueler/de_k10_st80_lyrik_praesentieren_app.html","Lernmodul öffnen")</x:f>
      </x:c>
      <x:c r="I84" s="177" t="e">
        <x:f>HYPERLINK("lehrer/de_k10_st80_lyrik_praesentieren_orga.html","Vorbereitung öffnen")</x:f>
      </x:c>
    </x:row>
    <x:row r="85" ht="65" customHeight="1">
      <x:c r="A85" s="142" t="n">
        <x:v>10</x:v>
      </x:c>
      <x:c r="B85" s="115" t="str">
        <x:v>Sprechen und Zuhören</x:v>
      </x:c>
      <x:c r="C85" s="148" t="n">
        <x:v>81</x:v>
      </x:c>
      <x:c r="D85" s="115" t="str">
        <x:v>Prüfungssimulation Deutsch: Vorwissen und Positionen klären</x:v>
      </x:c>
      <x:c r="E85" s="115" t="str">
        <x:v>Eigene Erfahrungen zu vollständige RSA-Prüfungsformate benennen; zentrale Begriffe mit Beispielen klären. Grundlegende Sicherung für Lernende mit HSA-Niveau beziehungsweise zusätzlichem Förderbedarf; kurze Materialien und feste Arbeitsschritte.</x:v>
      </x:c>
      <x:c r="F85" s="115" t="str">
        <x:v>Vorwissen zu vollständige RSA-Prüfungsformate strukturieren; erste Positionen formulieren und mögliche Konflikte benennen. RSA-orientiert: vollständige Anforderungsbreite der Klassenstufe 10, selbstständige Planung, Analyse und reflektierte Bewertung.</x:v>
      </x:c>
      <x:c r="G85" s="115" t="str">
        <x:v>de_k10_st81_simulation_einstieg</x:v>
      </x:c>
      <x:c r="H85" s="176" t="e">
        <x:f>HYPERLINK("schueler/de_k10_st81_simulation_einstieg_app.html","Lernmodul öffnen")</x:f>
      </x:c>
      <x:c r="I85" s="177" t="e">
        <x:f>HYPERLINK("lehrer/de_k10_st81_simulation_einstieg_orga.html","Vorbereitung öffnen")</x:f>
      </x:c>
    </x:row>
    <x:row r="86" ht="65" customHeight="1">
      <x:c r="A86" s="142" t="n">
        <x:v>10</x:v>
      </x:c>
      <x:c r="B86" s="115" t="str">
        <x:v>Lesen/Umgang mit Texten</x:v>
      </x:c>
      <x:c r="C86" s="148" t="n">
        <x:v>82</x:v>
      </x:c>
      <x:c r="D86" s="115" t="str">
        <x:v>Prüfungssimulation Deutsch: Quellen und Materialien erschließen</x:v>
      </x:c>
      <x:c r="E86" s="115" t="str">
        <x:v>Kurze Materialien lesen oder ansehen; Hauptaussagen mit Leitfragen festhalten. Grundlegende Sicherung für Lernende mit HSA-Niveau beziehungsweise zusätzlichem Förderbedarf; kurze Materialien und feste Arbeitsschritte.</x:v>
      </x:c>
      <x:c r="F86" s="115" t="str">
        <x:v>Unterschiedliche Materialien selbstständig erschließen; Aussage, Intention und Kontext bestimmen. RSA-orientiert: vollständige Anforderungsbreite der Klassenstufe 10, selbstständige Planung, Analyse und reflektierte Bewertung.</x:v>
      </x:c>
      <x:c r="G86" s="115" t="str">
        <x:v>de_k10_st82_simulation_quellen</x:v>
      </x:c>
      <x:c r="H86" s="176" t="e">
        <x:f>HYPERLINK("schueler/de_k10_st82_simulation_quellen_app.html","Lernmodul öffnen")</x:f>
      </x:c>
      <x:c r="I86" s="177" t="e">
        <x:f>HYPERLINK("lehrer/de_k10_st82_simulation_quellen_orga.html","Vorbereitung öffnen")</x:f>
      </x:c>
    </x:row>
    <x:row r="87" ht="65" customHeight="1">
      <x:c r="A87" s="142" t="n">
        <x:v>10</x:v>
      </x:c>
      <x:c r="B87" s="115" t="str">
        <x:v>Lesen/Umgang mit Texten</x:v>
      </x:c>
      <x:c r="C87" s="148" t="n">
        <x:v>83</x:v>
      </x:c>
      <x:c r="D87" s="115" t="str">
        <x:v>Prüfungssimulation Deutsch: Qualitätskriterien anwenden</x:v>
      </x:c>
      <x:c r="E87" s="115" t="str">
        <x:v>Aufgabenwahl, Planung, Textproduktion und Kontrolle in einer Checkliste anwenden und Auffälligkeiten markieren. Grundlegende Sicherung für Lernende mit HSA-Niveau beziehungsweise zusätzlichem Förderbedarf; kurze Materialien und feste Arbeitsschritte.</x:v>
      </x:c>
      <x:c r="F87" s="115" t="str">
        <x:v>Aufgabenwahl, Planung, Textproduktion und Kontrolle gewichten, auf Grenzfälle anwenden und begründete Qualitätsurteile formulieren. RSA-orientiert: vollständige Anforderungsbreite der Klassenstufe 10, selbstständige Planung, Analyse und reflektierte Bewertung.</x:v>
      </x:c>
      <x:c r="G87" s="115" t="str">
        <x:v>de_k10_st83_simulation_kriterien</x:v>
      </x:c>
      <x:c r="H87" s="176" t="e">
        <x:f>HYPERLINK("schueler/de_k10_st83_simulation_kriterien_app.html","Lernmodul öffnen")</x:f>
      </x:c>
      <x:c r="I87" s="177" t="e">
        <x:f>HYPERLINK("lehrer/de_k10_st83_simulation_kriterien_orga.html","Vorbereitung öffnen")</x:f>
      </x:c>
    </x:row>
    <x:row r="88" ht="65" customHeight="1">
      <x:c r="A88" s="142" t="n">
        <x:v>10</x:v>
      </x:c>
      <x:c r="B88" s="115" t="str">
        <x:v>Lesen/Umgang mit Texten</x:v>
      </x:c>
      <x:c r="C88" s="148" t="n">
        <x:v>84</x:v>
      </x:c>
      <x:c r="D88" s="115" t="str">
        <x:v>Prüfungssimulation Deutsch: Darstellungen vergleichen</x:v>
      </x:c>
      <x:c r="E88" s="115" t="str">
        <x:v>Verschiedene aufgabenprofile und bewertungskriterien nach vorgegebenen Merkmalen vergleichen. Grundlegende Sicherung für Lernende mit HSA-Niveau beziehungsweise zusätzlichem Förderbedarf; kurze Materialien und feste Arbeitsschritte.</x:v>
      </x:c>
      <x:c r="F88" s="115" t="str">
        <x:v>Verschiedene aufgabenprofile und bewertungskriterien hinsichtlich Informationsauswahl, Gestaltung, Wirkung und Interessen vergleichen. RSA-orientiert: vollständige Anforderungsbreite der Klassenstufe 10, selbstständige Planung, Analyse und reflektierte Bewertung.</x:v>
      </x:c>
      <x:c r="G88" s="115" t="str">
        <x:v>de_k10_st84_simulation_vergleichen</x:v>
      </x:c>
      <x:c r="H88" s="176" t="e">
        <x:f>HYPERLINK("schueler/de_k10_st84_simulation_vergleichen_app.html","Lernmodul öffnen")</x:f>
      </x:c>
      <x:c r="I88" s="177" t="e">
        <x:f>HYPERLINK("lehrer/de_k10_st84_simulation_vergleichen_orga.html","Vorbereitung öffnen")</x:f>
      </x:c>
    </x:row>
    <x:row r="89" ht="65" customHeight="1">
      <x:c r="A89" s="142" t="n">
        <x:v>10</x:v>
      </x:c>
      <x:c r="B89" s="115" t="str">
        <x:v>Schreiben</x:v>
      </x:c>
      <x:c r="C89" s="148" t="n">
        <x:v>85</x:v>
      </x:c>
      <x:c r="D89" s="115" t="str">
        <x:v>Prüfungssimulation Deutsch: Informationen prüfen und ordnen</x:v>
      </x:c>
      <x:c r="E89" s="115" t="str">
        <x:v>Informationen aus vorgegebenen Quellen auswählen; Fundstellen notieren und geordnet ablegen. Grundlegende Sicherung für Lernende mit HSA-Niveau beziehungsweise zusätzlichem Förderbedarf; kurze Materialien und feste Arbeitsschritte.</x:v>
      </x:c>
      <x:c r="F89" s="115" t="str">
        <x:v>Recherchefrage entwickeln; Quellen prüfen, Informationen abgleichen und korrekt dokumentieren. RSA-orientiert: vollständige Anforderungsbreite der Klassenstufe 10, selbstständige Planung, Analyse und reflektierte Bewertung.</x:v>
      </x:c>
      <x:c r="G89" s="115" t="str">
        <x:v>de_k10_st85_simulation_recherche</x:v>
      </x:c>
      <x:c r="H89" s="176" t="e">
        <x:f>HYPERLINK("schueler/de_k10_st85_simulation_recherche_app.html","Lernmodul öffnen")</x:f>
      </x:c>
      <x:c r="I89" s="177" t="e">
        <x:f>HYPERLINK("lehrer/de_k10_st85_simulation_recherche_orga.html","Vorbereitung öffnen")</x:f>
      </x:c>
    </x:row>
    <x:row r="90" ht="65" customHeight="1">
      <x:c r="A90" s="142" t="n">
        <x:v>10</x:v>
      </x:c>
      <x:c r="B90" s="115" t="str">
        <x:v>Schreiben</x:v>
      </x:c>
      <x:c r="C90" s="148" t="n">
        <x:v>86</x:v>
      </x:c>
      <x:c r="D90" s="115" t="str">
        <x:v>Prüfungssimulation Deutsch: Produkt planen</x:v>
      </x:c>
      <x:c r="E90" s="115" t="str">
        <x:v>Für Prüfung unter Zeitvorgabe einen vorgegebenen Arbeitsplan ergänzen; Aufgaben verteilen. Grundlegende Sicherung für Lernende mit HSA-Niveau beziehungsweise zusätzlichem Förderbedarf; kurze Materialien und feste Arbeitsschritte.</x:v>
      </x:c>
      <x:c r="F90" s="115" t="str">
        <x:v>Für Prüfung unter Zeitvorgabe Zielgruppe, Aufbau, Medienwahl, Zeitplan und Qualitätskontrolle selbstständig festlegen. RSA-orientiert: vollständige Anforderungsbreite der Klassenstufe 10, selbstständige Planung, Analyse und reflektierte Bewertung.</x:v>
      </x:c>
      <x:c r="G90" s="115" t="str">
        <x:v>de_k10_st86_simulation_planen</x:v>
      </x:c>
      <x:c r="H90" s="176" t="e">
        <x:f>HYPERLINK("schueler/de_k10_st86_simulation_planen_app.html","Lernmodul öffnen")</x:f>
      </x:c>
      <x:c r="I90" s="177" t="e">
        <x:f>HYPERLINK("lehrer/de_k10_st86_simulation_planen_orga.html","Vorbereitung öffnen")</x:f>
      </x:c>
    </x:row>
    <x:row r="91" ht="65" customHeight="1">
      <x:c r="A91" s="142" t="n">
        <x:v>10</x:v>
      </x:c>
      <x:c r="B91" s="115" t="str">
        <x:v>Schreiben</x:v>
      </x:c>
      <x:c r="C91" s="148" t="n">
        <x:v>87</x:v>
      </x:c>
      <x:c r="D91" s="115" t="str">
        <x:v>Prüfungssimulation Deutsch: Produkt erstellen</x:v>
      </x:c>
      <x:c r="E91" s="115" t="str">
        <x:v>Prüfung unter zeitvorgabe mit Vorlage und klaren Teilaufträgen erstellen. Grundlegende Sicherung für Lernende mit HSA-Niveau beziehungsweise zusätzlichem Förderbedarf; kurze Materialien und feste Arbeitsschritte.</x:v>
      </x:c>
      <x:c r="F91" s="115" t="str">
        <x:v>Prüfung unter zeitvorgabe selbstständig, adressatengerecht und quellenbewusst erstellen. RSA-orientiert: vollständige Anforderungsbreite der Klassenstufe 10, selbstständige Planung, Analyse und reflektierte Bewertung.</x:v>
      </x:c>
      <x:c r="G91" s="115" t="str">
        <x:v>de_k10_st87_simulation_erstellen</x:v>
      </x:c>
      <x:c r="H91" s="176" t="e">
        <x:f>HYPERLINK("schueler/de_k10_st87_simulation_erstellen_app.html","Lernmodul öffnen")</x:f>
      </x:c>
      <x:c r="I91" s="177" t="e">
        <x:f>HYPERLINK("lehrer/de_k10_st87_simulation_erstellen_orga.html","Vorbereitung öffnen")</x:f>
      </x:c>
    </x:row>
    <x:row r="92" ht="65" customHeight="1">
      <x:c r="A92" s="142" t="n">
        <x:v>10</x:v>
      </x:c>
      <x:c r="B92" s="115" t="str">
        <x:v>Sprechen und Zuhören</x:v>
      </x:c>
      <x:c r="C92" s="148" t="n">
        <x:v>88</x:v>
      </x:c>
      <x:c r="D92" s="115" t="str">
        <x:v>Prüfungssimulation Deutsch: präsentieren und reflektieren</x:v>
      </x:c>
      <x:c r="E92" s="115" t="str">
        <x:v>Produkt kurz vorstellen; Rückmeldung anhand weniger Kriterien geben und annehmen. Grundlegende Sicherung für Lernende mit HSA-Niveau beziehungsweise zusätzlichem Förderbedarf; kurze Materialien und feste Arbeitsschritte.</x:v>
      </x:c>
      <x:c r="F92" s="115" t="str">
        <x:v>Produkt überzeugend präsentieren; Arbeitsprozess, Quellenwahl und Wirkung kritisch reflektieren. RSA-orientiert: vollständige Anforderungsbreite der Klassenstufe 10, selbstständige Planung, Analyse und reflektierte Bewertung.</x:v>
      </x:c>
      <x:c r="G92" s="115" t="str">
        <x:v>de_k10_st88_simulation_reflexion</x:v>
      </x:c>
      <x:c r="H92" s="176" t="e">
        <x:f>HYPERLINK("schueler/de_k10_st88_simulation_reflexion_app.html","Lernmodul öffnen")</x:f>
      </x:c>
      <x:c r="I92" s="177" t="e">
        <x:f>HYPERLINK("lehrer/de_k10_st88_simulation_reflexion_orga.html","Vorbereitung öffnen")</x:f>
      </x:c>
    </x:row>
    <x:row r="93" ht="65" customHeight="1">
      <x:c r="A93" s="142" t="n">
        <x:v>10</x:v>
      </x:c>
      <x:c r="B93" s="115" t="str">
        <x:v>Sprechen und Zuhören</x:v>
      </x:c>
      <x:c r="C93" s="148" t="n">
        <x:v>89</x:v>
      </x:c>
      <x:c r="D93" s="115" t="str">
        <x:v>Abschlussportfolio und Präsentation: Vorwissen und Positionen klären</x:v>
      </x:c>
      <x:c r="E93" s="115" t="str">
        <x:v>Eigene Erfahrungen zu individueller Kompetenznachweis benennen; zentrale Begriffe mit Beispielen klären. Grundlegende Sicherung für Lernende mit HSA-Niveau beziehungsweise zusätzlichem Förderbedarf; kurze Materialien und feste Arbeitsschritte.</x:v>
      </x:c>
      <x:c r="F93" s="115" t="str">
        <x:v>Vorwissen zu individueller Kompetenznachweis strukturieren; erste Positionen formulieren und mögliche Konflikte benennen. RSA-orientiert: vollständige Anforderungsbreite der Klassenstufe 10, selbstständige Planung, Analyse und reflektierte Bewertung.</x:v>
      </x:c>
      <x:c r="G93" s="115" t="str">
        <x:v>de_k10_st89_abschluss_einstieg</x:v>
      </x:c>
      <x:c r="H93" s="176" t="e">
        <x:f>HYPERLINK("schueler/de_k10_st89_abschluss_einstieg_app.html","Lernmodul öffnen")</x:f>
      </x:c>
      <x:c r="I93" s="177" t="e">
        <x:f>HYPERLINK("lehrer/de_k10_st89_abschluss_einstieg_orga.html","Vorbereitung öffnen")</x:f>
      </x:c>
    </x:row>
    <x:row r="94" ht="65" customHeight="1">
      <x:c r="A94" s="142" t="n">
        <x:v>10</x:v>
      </x:c>
      <x:c r="B94" s="115" t="str">
        <x:v>Lesen/Umgang mit Texten</x:v>
      </x:c>
      <x:c r="C94" s="148" t="n">
        <x:v>90</x:v>
      </x:c>
      <x:c r="D94" s="115" t="str">
        <x:v>Abschlussportfolio und Präsentation: Quellen und Materialien erschließen</x:v>
      </x:c>
      <x:c r="E94" s="115" t="str">
        <x:v>Kurze Materialien lesen oder ansehen; Hauptaussagen mit Leitfragen festhalten. Grundlegende Sicherung für Lernende mit HSA-Niveau beziehungsweise zusätzlichem Förderbedarf; kurze Materialien und feste Arbeitsschritte.</x:v>
      </x:c>
      <x:c r="F94" s="115" t="str">
        <x:v>Unterschiedliche Materialien selbstständig erschließen; Aussage, Intention und Kontext bestimmen. RSA-orientiert: vollständige Anforderungsbreite der Klassenstufe 10, selbstständige Planung, Analyse und reflektierte Bewertung.</x:v>
      </x:c>
      <x:c r="G94" s="115" t="str">
        <x:v>de_k10_st90_abschluss_quellen</x:v>
      </x:c>
      <x:c r="H94" s="176" t="e">
        <x:f>HYPERLINK("schueler/de_k10_st90_abschluss_quellen_app.html","Lernmodul öffnen")</x:f>
      </x:c>
      <x:c r="I94" s="177" t="e">
        <x:f>HYPERLINK("lehrer/de_k10_st90_abschluss_quellen_orga.html","Vorbereitung öffnen")</x:f>
      </x:c>
    </x:row>
    <x:row r="95" ht="65" customHeight="1">
      <x:c r="A95" s="142" t="n">
        <x:v>10</x:v>
      </x:c>
      <x:c r="B95" s="115" t="str">
        <x:v>Lesen/Umgang mit Texten</x:v>
      </x:c>
      <x:c r="C95" s="148" t="n">
        <x:v>91</x:v>
      </x:c>
      <x:c r="D95" s="115" t="str">
        <x:v>Abschlussportfolio und Präsentation: Qualitätskriterien anwenden</x:v>
      </x:c>
      <x:c r="E95" s="115" t="str">
        <x:v>Auswahl, Reflexion, Quellen und Präsentationsregeln in einer Checkliste anwenden und Auffälligkeiten markieren. Grundlegende Sicherung für Lernende mit HSA-Niveau beziehungsweise zusätzlichem Förderbedarf; kurze Materialien und feste Arbeitsschritte.</x:v>
      </x:c>
      <x:c r="F95" s="115" t="str">
        <x:v>Auswahl, Reflexion, Quellen und Präsentationsregeln gewichten, auf Grenzfälle anwenden und begründete Qualitätsurteile formulieren. RSA-orientiert: vollständige Anforderungsbreite der Klassenstufe 10, selbstständige Planung, Analyse und reflektierte Bewertung.</x:v>
      </x:c>
      <x:c r="G95" s="115" t="str">
        <x:v>de_k10_st91_abschluss_kriterien</x:v>
      </x:c>
      <x:c r="H95" s="176" t="e">
        <x:f>HYPERLINK("schueler/de_k10_st91_abschluss_kriterien_app.html","Lernmodul öffnen")</x:f>
      </x:c>
      <x:c r="I95" s="177" t="e">
        <x:f>HYPERLINK("lehrer/de_k10_st91_abschluss_kriterien_orga.html","Vorbereitung öffnen")</x:f>
      </x:c>
    </x:row>
    <x:row r="96" ht="65" customHeight="1">
      <x:c r="A96" s="142" t="n">
        <x:v>10</x:v>
      </x:c>
      <x:c r="B96" s="115" t="str">
        <x:v>Lesen/Umgang mit Texten</x:v>
      </x:c>
      <x:c r="C96" s="148" t="n">
        <x:v>92</x:v>
      </x:c>
      <x:c r="D96" s="115" t="str">
        <x:v>Abschlussportfolio und Präsentation: Darstellungen vergleichen</x:v>
      </x:c>
      <x:c r="E96" s="115" t="str">
        <x:v>Lernentwicklung, produktqualität und anschlussziele nach vorgegebenen Merkmalen vergleichen. Grundlegende Sicherung für Lernende mit HSA-Niveau beziehungsweise zusätzlichem Förderbedarf; kurze Materialien und feste Arbeitsschritte.</x:v>
      </x:c>
      <x:c r="F96" s="115" t="str">
        <x:v>Lernentwicklung, produktqualität und anschlussziele hinsichtlich Informationsauswahl, Gestaltung, Wirkung und Interessen vergleichen. RSA-orientiert: vollständige Anforderungsbreite der Klassenstufe 10, selbstständige Planung, Analyse und reflektierte Bewertung.</x:v>
      </x:c>
      <x:c r="G96" s="115" t="str">
        <x:v>de_k10_st92_abschluss_vergleichen</x:v>
      </x:c>
      <x:c r="H96" s="176" t="e">
        <x:f>HYPERLINK("schueler/de_k10_st92_abschluss_vergleichen_app.html","Lernmodul öffnen")</x:f>
      </x:c>
      <x:c r="I96" s="177" t="e">
        <x:f>HYPERLINK("lehrer/de_k10_st92_abschluss_vergleichen_orga.html","Vorbereitung öffnen")</x:f>
      </x:c>
    </x:row>
    <x:row r="97" ht="65" customHeight="1">
      <x:c r="A97" s="142" t="n">
        <x:v>10</x:v>
      </x:c>
      <x:c r="B97" s="115" t="str">
        <x:v>Schreiben</x:v>
      </x:c>
      <x:c r="C97" s="148" t="n">
        <x:v>93</x:v>
      </x:c>
      <x:c r="D97" s="115" t="str">
        <x:v>Abschlussportfolio und Präsentation: Informationen prüfen und ordnen</x:v>
      </x:c>
      <x:c r="E97" s="115" t="str">
        <x:v>Informationen aus vorgegebenen Quellen auswählen; Fundstellen notieren und geordnet ablegen. Grundlegende Sicherung für Lernende mit HSA-Niveau beziehungsweise zusätzlichem Förderbedarf; kurze Materialien und feste Arbeitsschritte.</x:v>
      </x:c>
      <x:c r="F97" s="115" t="str">
        <x:v>Recherchefrage entwickeln; Quellen prüfen, Informationen abgleichen und korrekt dokumentieren. RSA-orientiert: vollständige Anforderungsbreite der Klassenstufe 10, selbstständige Planung, Analyse und reflektierte Bewertung.</x:v>
      </x:c>
      <x:c r="G97" s="115" t="str">
        <x:v>de_k10_st93_abschluss_recherche</x:v>
      </x:c>
      <x:c r="H97" s="176" t="e">
        <x:f>HYPERLINK("schueler/de_k10_st93_abschluss_recherche_app.html","Lernmodul öffnen")</x:f>
      </x:c>
      <x:c r="I97" s="177" t="e">
        <x:f>HYPERLINK("lehrer/de_k10_st93_abschluss_recherche_orga.html","Vorbereitung öffnen")</x:f>
      </x:c>
    </x:row>
    <x:row r="98" ht="65" customHeight="1">
      <x:c r="A98" s="142" t="n">
        <x:v>10</x:v>
      </x:c>
      <x:c r="B98" s="115" t="str">
        <x:v>Schreiben</x:v>
      </x:c>
      <x:c r="C98" s="148" t="n">
        <x:v>94</x:v>
      </x:c>
      <x:c r="D98" s="115" t="str">
        <x:v>Abschlussportfolio und Präsentation: Produkt planen</x:v>
      </x:c>
      <x:c r="E98" s="115" t="str">
        <x:v>Für Portfolio mit Abschlusspräsentation einen vorgegebenen Arbeitsplan ergänzen; Aufgaben verteilen. Grundlegende Sicherung für Lernende mit HSA-Niveau beziehungsweise zusätzlichem Förderbedarf; kurze Materialien und feste Arbeitsschritte.</x:v>
      </x:c>
      <x:c r="F98" s="115" t="str">
        <x:v>Für Portfolio mit Abschlusspräsentation Zielgruppe, Aufbau, Medienwahl, Zeitplan und Qualitätskontrolle selbstständig festlegen. RSA-orientiert: vollständige Anforderungsbreite der Klassenstufe 10, selbstständige Planung, Analyse und reflektierte Bewertung.</x:v>
      </x:c>
      <x:c r="G98" s="115" t="str">
        <x:v>de_k10_st94_abschluss_planen</x:v>
      </x:c>
      <x:c r="H98" s="176" t="e">
        <x:f>HYPERLINK("schueler/de_k10_st94_abschluss_planen_app.html","Lernmodul öffnen")</x:f>
      </x:c>
      <x:c r="I98" s="177" t="e">
        <x:f>HYPERLINK("lehrer/de_k10_st94_abschluss_planen_orga.html","Vorbereitung öffnen")</x:f>
      </x:c>
    </x:row>
    <x:row r="99" ht="65" customHeight="1">
      <x:c r="A99" s="142" t="n">
        <x:v>10</x:v>
      </x:c>
      <x:c r="B99" s="115" t="str">
        <x:v>Schreiben</x:v>
      </x:c>
      <x:c r="C99" s="148" t="n">
        <x:v>95</x:v>
      </x:c>
      <x:c r="D99" s="115" t="str">
        <x:v>Abschlussportfolio und Präsentation: Produkt erstellen</x:v>
      </x:c>
      <x:c r="E99" s="115" t="str">
        <x:v>Portfolio mit abschlusspräsentation mit Vorlage und klaren Teilaufträgen erstellen. Grundlegende Sicherung für Lernende mit HSA-Niveau beziehungsweise zusätzlichem Förderbedarf; kurze Materialien und feste Arbeitsschritte.</x:v>
      </x:c>
      <x:c r="F99" s="115" t="str">
        <x:v>Portfolio mit abschlusspräsentation selbstständig, adressatengerecht und quellenbewusst erstellen. RSA-orientiert: vollständige Anforderungsbreite der Klassenstufe 10, selbstständige Planung, Analyse und reflektierte Bewertung.</x:v>
      </x:c>
      <x:c r="G99" s="115" t="str">
        <x:v>de_k10_st95_abschluss_erstellen</x:v>
      </x:c>
      <x:c r="H99" s="176" t="e">
        <x:f>HYPERLINK("schueler/de_k10_st95_abschluss_erstellen_app.html","Lernmodul öffnen")</x:f>
      </x:c>
      <x:c r="I99" s="177" t="e">
        <x:f>HYPERLINK("lehrer/de_k10_st95_abschluss_erstellen_orga.html","Vorbereitung öffnen")</x:f>
      </x:c>
    </x:row>
    <x:row r="100" ht="65" customHeight="1">
      <x:c r="A100" s="143" t="n">
        <x:v>10</x:v>
      </x:c>
      <x:c r="B100" s="118" t="str">
        <x:v>Sprechen und Zuhören</x:v>
      </x:c>
      <x:c r="C100" s="149" t="n">
        <x:v>96</x:v>
      </x:c>
      <x:c r="D100" s="118" t="str">
        <x:v>Abschlussportfolio und Präsentation: präsentieren und reflektieren</x:v>
      </x:c>
      <x:c r="E100" s="118" t="str">
        <x:v>Produkt kurz vorstellen; Rückmeldung anhand weniger Kriterien geben und annehmen. Grundlegende Sicherung für Lernende mit HSA-Niveau beziehungsweise zusätzlichem Förderbedarf; kurze Materialien und feste Arbeitsschritte.</x:v>
      </x:c>
      <x:c r="F100" s="118" t="str">
        <x:v>Produkt überzeugend präsentieren; Arbeitsprozess, Quellenwahl und Wirkung kritisch reflektieren. RSA-orientiert: vollständige Anforderungsbreite der Klassenstufe 10, selbstständige Planung, Analyse und reflektierte Bewertung.</x:v>
      </x:c>
      <x:c r="G100" s="118" t="str">
        <x:v>de_k10_st96_abschluss_reflexion</x:v>
      </x:c>
      <x:c r="H100" s="178" t="e">
        <x:f>HYPERLINK("schueler/de_k10_st96_abschluss_reflexion_app.html","Lernmodul öffnen")</x:f>
      </x:c>
      <x:c r="I100" s="179" t="e">
        <x:f>HYPERLINK("lehrer/de_k10_st96_abschluss_reflexion_orga.html","Vorbereitung öffnen")</x:f>
      </x:c>
    </x:row>
  </x:sheetData>
  <x:mergeCells>
    <x:mergeCell ref="A1:I1"/>
    <x:mergeCell ref="A2:I2"/>
  </x:mergeCells>
  <x:conditionalFormatting sqref="B5:B100">
    <x:cfRule type="expression" dxfId="24" priority="1">
      <x:formula>B5="Sprechen und Zuhören"</x:formula>
    </x:cfRule>
    <x:cfRule type="expression" dxfId="25" priority="2">
      <x:formula>B5="Schreiben"</x:formula>
    </x:cfRule>
    <x:cfRule type="expression" dxfId="26" priority="3">
      <x:formula>B5="Lesen/Umgang mit Texten"</x:formula>
    </x:cfRule>
    <x:cfRule type="expression" dxfId="27" priority="4">
      <x:formula>B5="Sprache untersuchen"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9df7b997ab48d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4" hidden="0" customWidth="1"/>
    <x:col min="4" max="4" width="42" hidden="0" customWidth="1"/>
    <x:col min="5" max="5" width="42" hidden="0" customWidth="1"/>
    <x:col min="6" max="6" width="48" hidden="0" customWidth="1"/>
    <x:col min="7" max="7" width="48" hidden="0" customWidth="1"/>
    <x:col min="8" max="8" width="42" hidden="0" customWidth="1"/>
  </x:cols>
  <x:sheetData>
    <x:row r="1" ht="32" customHeight="1">
      <x:c r="A1" s="130" t="str">
        <x:v>Dateizuordnung des digitalen Frameworks</x:v>
      </x:c>
      <x:c r="B1" s="130"/>
      <x:c r="C1" s="130"/>
      <x:c r="D1" s="130"/>
      <x:c r="E1" s="130"/>
      <x:c r="F1" s="130"/>
      <x:c r="G1" s="130"/>
      <x:c r="H1" s="130"/>
    </x:row>
    <x:row r="3">
      <x:c r="A3" s="26" t="str">
        <x:v>Klasse</x:v>
      </x:c>
      <x:c r="B3" s="27" t="str">
        <x:v>Stunde</x:v>
      </x:c>
      <x:c r="C3" s="27" t="str">
        <x:v>Lernbereich</x:v>
      </x:c>
      <x:c r="D3" s="27" t="str">
        <x:v>Thema</x:v>
      </x:c>
      <x:c r="E3" s="27" t="str">
        <x:v>Modul-ID</x:v>
      </x:c>
      <x:c r="F3" s="27" t="str">
        <x:v>Schüler-Datei</x:v>
      </x:c>
      <x:c r="G3" s="27" t="str">
        <x:v>Lehrer-Datei</x:v>
      </x:c>
      <x:c r="H3" s="28" t="str">
        <x:v>Bisheriger Dateiname</x:v>
      </x:c>
    </x:row>
    <x:row r="4" ht="42" customHeight="1">
      <x:c r="A4" s="111" t="n">
        <x:v>5</x:v>
      </x:c>
      <x:c r="B4" s="112" t="n">
        <x:v>1</x:v>
      </x:c>
      <x:c r="C4" s="112" t="str">
        <x:v>Sprechen und Zuhören</x:v>
      </x:c>
      <x:c r="D4" s="112" t="str">
        <x:v>Ankommen im Deutschunterricht: Vorwissen und Positionen klären</x:v>
      </x:c>
      <x:c r="E4" s="112" t="str">
        <x:v>de_k5_st01_ankommen_einstieg</x:v>
      </x:c>
      <x:c r="F4" s="112" t="str">
        <x:v>schueler/de_k5_st01_ankommen_einstieg_app.html</x:v>
      </x:c>
      <x:c r="G4" s="112" t="str">
        <x:v>lehrer/de_k5_st01_ankommen_einstieg_orga.html</x:v>
      </x:c>
      <x:c r="H4" s="113" t="str">
        <x:v>de_05_ankommen_001_einstieg.html</x:v>
      </x:c>
    </x:row>
    <x:row r="5" ht="42" customHeight="1">
      <x:c r="A5" s="114" t="n">
        <x:v>5</x:v>
      </x:c>
      <x:c r="B5" s="115" t="n">
        <x:v>2</x:v>
      </x:c>
      <x:c r="C5" s="115" t="str">
        <x:v>Lesen/Umgang mit Texten</x:v>
      </x:c>
      <x:c r="D5" s="115" t="str">
        <x:v>Ankommen im Deutschunterricht: Quellen und Materialien erschließen</x:v>
      </x:c>
      <x:c r="E5" s="115" t="str">
        <x:v>de_k5_st02_ankommen_quellen</x:v>
      </x:c>
      <x:c r="F5" s="115" t="str">
        <x:v>schueler/de_k5_st02_ankommen_quellen_app.html</x:v>
      </x:c>
      <x:c r="G5" s="115" t="str">
        <x:v>lehrer/de_k5_st02_ankommen_quellen_orga.html</x:v>
      </x:c>
      <x:c r="H5" s="116" t="str">
        <x:v>de_05_ankommen_002_quellen.html</x:v>
      </x:c>
    </x:row>
    <x:row r="6" ht="42" customHeight="1">
      <x:c r="A6" s="114" t="n">
        <x:v>5</x:v>
      </x:c>
      <x:c r="B6" s="115" t="n">
        <x:v>3</x:v>
      </x:c>
      <x:c r="C6" s="115" t="str">
        <x:v>Lesen/Umgang mit Texten</x:v>
      </x:c>
      <x:c r="D6" s="115" t="str">
        <x:v>Ankommen im Deutschunterricht: Qualitätskriterien anwenden</x:v>
      </x:c>
      <x:c r="E6" s="115" t="str">
        <x:v>de_k5_st03_ankommen_kriterien</x:v>
      </x:c>
      <x:c r="F6" s="115" t="str">
        <x:v>schueler/de_k5_st03_ankommen_kriterien_app.html</x:v>
      </x:c>
      <x:c r="G6" s="115" t="str">
        <x:v>lehrer/de_k5_st03_ankommen_kriterien_orga.html</x:v>
      </x:c>
      <x:c r="H6" s="116" t="str">
        <x:v>de_05_ankommen_003_kriterien.html</x:v>
      </x:c>
    </x:row>
    <x:row r="7" ht="42" customHeight="1">
      <x:c r="A7" s="114" t="n">
        <x:v>5</x:v>
      </x:c>
      <x:c r="B7" s="115" t="n">
        <x:v>4</x:v>
      </x:c>
      <x:c r="C7" s="115" t="str">
        <x:v>Lesen/Umgang mit Texten</x:v>
      </x:c>
      <x:c r="D7" s="115" t="str">
        <x:v>Ankommen im Deutschunterricht: Darstellungen vergleichen</x:v>
      </x:c>
      <x:c r="E7" s="115" t="str">
        <x:v>de_k5_st04_ankommen_vergleichen</x:v>
      </x:c>
      <x:c r="F7" s="115" t="str">
        <x:v>schueler/de_k5_st04_ankommen_vergleichen_app.html</x:v>
      </x:c>
      <x:c r="G7" s="115" t="str">
        <x:v>lehrer/de_k5_st04_ankommen_vergleichen_orga.html</x:v>
      </x:c>
      <x:c r="H7" s="116" t="str">
        <x:v>de_05_ankommen_004_vergleichen.html</x:v>
      </x:c>
    </x:row>
    <x:row r="8" ht="42" customHeight="1">
      <x:c r="A8" s="114" t="n">
        <x:v>5</x:v>
      </x:c>
      <x:c r="B8" s="115" t="n">
        <x:v>5</x:v>
      </x:c>
      <x:c r="C8" s="115" t="str">
        <x:v>Schreiben</x:v>
      </x:c>
      <x:c r="D8" s="115" t="str">
        <x:v>Ankommen im Deutschunterricht: Informationen prüfen und ordnen</x:v>
      </x:c>
      <x:c r="E8" s="115" t="str">
        <x:v>de_k5_st05_ankommen_recherche</x:v>
      </x:c>
      <x:c r="F8" s="115" t="str">
        <x:v>schueler/de_k5_st05_ankommen_recherche_app.html</x:v>
      </x:c>
      <x:c r="G8" s="115" t="str">
        <x:v>lehrer/de_k5_st05_ankommen_recherche_orga.html</x:v>
      </x:c>
      <x:c r="H8" s="116" t="str">
        <x:v>de_05_ankommen_005_recherche.html</x:v>
      </x:c>
    </x:row>
    <x:row r="9" ht="42" customHeight="1">
      <x:c r="A9" s="114" t="n">
        <x:v>5</x:v>
      </x:c>
      <x:c r="B9" s="115" t="n">
        <x:v>6</x:v>
      </x:c>
      <x:c r="C9" s="115" t="str">
        <x:v>Schreiben</x:v>
      </x:c>
      <x:c r="D9" s="115" t="str">
        <x:v>Ankommen im Deutschunterricht: Produkt planen</x:v>
      </x:c>
      <x:c r="E9" s="115" t="str">
        <x:v>de_k5_st06_ankommen_planen</x:v>
      </x:c>
      <x:c r="F9" s="115" t="str">
        <x:v>schueler/de_k5_st06_ankommen_planen_app.html</x:v>
      </x:c>
      <x:c r="G9" s="115" t="str">
        <x:v>lehrer/de_k5_st06_ankommen_planen_orga.html</x:v>
      </x:c>
      <x:c r="H9" s="116" t="str">
        <x:v>de_05_ankommen_006_planen.html</x:v>
      </x:c>
    </x:row>
    <x:row r="10" ht="42" customHeight="1">
      <x:c r="A10" s="114" t="n">
        <x:v>5</x:v>
      </x:c>
      <x:c r="B10" s="115" t="n">
        <x:v>7</x:v>
      </x:c>
      <x:c r="C10" s="115" t="str">
        <x:v>Schreiben</x:v>
      </x:c>
      <x:c r="D10" s="115" t="str">
        <x:v>Ankommen im Deutschunterricht: Produkt erstellen</x:v>
      </x:c>
      <x:c r="E10" s="115" t="str">
        <x:v>de_k5_st07_ankommen_erstellen</x:v>
      </x:c>
      <x:c r="F10" s="115" t="str">
        <x:v>schueler/de_k5_st07_ankommen_erstellen_app.html</x:v>
      </x:c>
      <x:c r="G10" s="115" t="str">
        <x:v>lehrer/de_k5_st07_ankommen_erstellen_orga.html</x:v>
      </x:c>
      <x:c r="H10" s="116" t="str">
        <x:v>de_05_ankommen_007_erstellen.html</x:v>
      </x:c>
    </x:row>
    <x:row r="11" ht="42" customHeight="1">
      <x:c r="A11" s="114" t="n">
        <x:v>5</x:v>
      </x:c>
      <x:c r="B11" s="115" t="n">
        <x:v>8</x:v>
      </x:c>
      <x:c r="C11" s="115" t="str">
        <x:v>Sprechen und Zuhören</x:v>
      </x:c>
      <x:c r="D11" s="115" t="str">
        <x:v>Ankommen im Deutschunterricht: Präsentieren und reflektieren</x:v>
      </x:c>
      <x:c r="E11" s="115" t="str">
        <x:v>de_k5_st08_ankommen_reflexion</x:v>
      </x:c>
      <x:c r="F11" s="115" t="str">
        <x:v>schueler/de_k5_st08_ankommen_reflexion_app.html</x:v>
      </x:c>
      <x:c r="G11" s="115" t="str">
        <x:v>lehrer/de_k5_st08_ankommen_reflexion_orga.html</x:v>
      </x:c>
      <x:c r="H11" s="116" t="str">
        <x:v>de_05_ankommen_008_reflexion.html</x:v>
      </x:c>
    </x:row>
    <x:row r="12" ht="42" customHeight="1">
      <x:c r="A12" s="114" t="n">
        <x:v>5</x:v>
      </x:c>
      <x:c r="B12" s="115" t="n">
        <x:v>49</x:v>
      </x:c>
      <x:c r="C12" s="115" t="str">
        <x:v>Lesen/Umgang mit Texten</x:v>
      </x:c>
      <x:c r="D12" s="115" t="str">
        <x:v>Gegenstände, Tiere und Vorgänge beschreiben: Beispieltexte untersuchen</x:v>
      </x:c>
      <x:c r="E12" s="115" t="str">
        <x:v>de_k5_st49_beschreiben_beispiel</x:v>
      </x:c>
      <x:c r="F12" s="115" t="str">
        <x:v>schueler/de_k5_st49_beschreiben_beispiel_app.html</x:v>
      </x:c>
      <x:c r="G12" s="115" t="str">
        <x:v>lehrer/de_k5_st49_beschreiben_beispiel_orga.html</x:v>
      </x:c>
      <x:c r="H12" s="116" t="str">
        <x:v>de_05_beschreiben_049_beispiel.html</x:v>
      </x:c>
    </x:row>
    <x:row r="13" ht="42" customHeight="1">
      <x:c r="A13" s="114" t="n">
        <x:v>5</x:v>
      </x:c>
      <x:c r="B13" s="115" t="n">
        <x:v>50</x:v>
      </x:c>
      <x:c r="C13" s="115" t="str">
        <x:v>Schreiben</x:v>
      </x:c>
      <x:c r="D13" s="115" t="str">
        <x:v>Gegenstände, Tiere und Vorgänge beschreiben: Schreibziel und Kriterien klären</x:v>
      </x:c>
      <x:c r="E13" s="115" t="str">
        <x:v>de_k5_st50_beschreiben_kriterien</x:v>
      </x:c>
      <x:c r="F13" s="115" t="str">
        <x:v>schueler/de_k5_st50_beschreiben_kriterien_app.html</x:v>
      </x:c>
      <x:c r="G13" s="115" t="str">
        <x:v>lehrer/de_k5_st50_beschreiben_kriterien_orga.html</x:v>
      </x:c>
      <x:c r="H13" s="116" t="str">
        <x:v>de_05_beschreiben_050_kriterien.html</x:v>
      </x:c>
    </x:row>
    <x:row r="14" ht="42" customHeight="1">
      <x:c r="A14" s="114" t="n">
        <x:v>5</x:v>
      </x:c>
      <x:c r="B14" s="115" t="n">
        <x:v>51</x:v>
      </x:c>
      <x:c r="C14" s="115" t="str">
        <x:v>Lesen/Umgang mit Texten</x:v>
      </x:c>
      <x:c r="D14" s="115" t="str">
        <x:v>Gegenstände, Tiere und Vorgänge beschreiben: Inhalte auswählen und ordnen</x:v>
      </x:c>
      <x:c r="E14" s="115" t="str">
        <x:v>de_k5_st51_beschreiben_inhalte_ordnen</x:v>
      </x:c>
      <x:c r="F14" s="115" t="str">
        <x:v>schueler/de_k5_st51_beschreiben_inhalte_ordnen_app.html</x:v>
      </x:c>
      <x:c r="G14" s="115" t="str">
        <x:v>lehrer/de_k5_st51_beschreiben_inhalte_ordnen_orga.html</x:v>
      </x:c>
      <x:c r="H14" s="116" t="str">
        <x:v>de_05_beschreiben_051_inhalte_ordnen.html</x:v>
      </x:c>
    </x:row>
    <x:row r="15" ht="42" customHeight="1">
      <x:c r="A15" s="114" t="n">
        <x:v>5</x:v>
      </x:c>
      <x:c r="B15" s="115" t="n">
        <x:v>52</x:v>
      </x:c>
      <x:c r="C15" s="115" t="str">
        <x:v>Sprache untersuchen</x:v>
      </x:c>
      <x:c r="D15" s="115" t="str">
        <x:v>Gegenstände, Tiere und Vorgänge beschreiben: Passende sprachliche Mittel verwenden</x:v>
      </x:c>
      <x:c r="E15" s="115" t="str">
        <x:v>de_k5_st52_beschreiben_sprachmittel</x:v>
      </x:c>
      <x:c r="F15" s="115" t="str">
        <x:v>schueler/de_k5_st52_beschreiben_sprachmittel_app.html</x:v>
      </x:c>
      <x:c r="G15" s="115" t="str">
        <x:v>lehrer/de_k5_st52_beschreiben_sprachmittel_orga.html</x:v>
      </x:c>
      <x:c r="H15" s="116" t="str">
        <x:v>de_05_beschreiben_052_sprachmittel.html</x:v>
      </x:c>
    </x:row>
    <x:row r="16" ht="42" customHeight="1">
      <x:c r="A16" s="114" t="n">
        <x:v>5</x:v>
      </x:c>
      <x:c r="B16" s="115" t="n">
        <x:v>53</x:v>
      </x:c>
      <x:c r="C16" s="115" t="str">
        <x:v>Schreiben</x:v>
      </x:c>
      <x:c r="D16" s="115" t="str">
        <x:v>Gegenstände, Tiere und Vorgänge beschreiben: Einen Schreibplan erstellen</x:v>
      </x:c>
      <x:c r="E16" s="115" t="str">
        <x:v>de_k5_st53_beschreiben_schreibplan</x:v>
      </x:c>
      <x:c r="F16" s="115" t="str">
        <x:v>schueler/de_k5_st53_beschreiben_schreibplan_app.html</x:v>
      </x:c>
      <x:c r="G16" s="115" t="str">
        <x:v>lehrer/de_k5_st53_beschreiben_schreibplan_orga.html</x:v>
      </x:c>
      <x:c r="H16" s="116" t="str">
        <x:v>de_05_beschreiben_053_schreibplan.html</x:v>
      </x:c>
    </x:row>
    <x:row r="17" ht="42" customHeight="1">
      <x:c r="A17" s="114" t="n">
        <x:v>5</x:v>
      </x:c>
      <x:c r="B17" s="115" t="n">
        <x:v>54</x:v>
      </x:c>
      <x:c r="C17" s="115" t="str">
        <x:v>Schreiben</x:v>
      </x:c>
      <x:c r="D17" s="115" t="str">
        <x:v>Gegenstände, Tiere und Vorgänge beschreiben: Einen ersten Textentwurf verfassen</x:v>
      </x:c>
      <x:c r="E17" s="115" t="str">
        <x:v>de_k5_st54_beschreiben_entwurf</x:v>
      </x:c>
      <x:c r="F17" s="115" t="str">
        <x:v>schueler/de_k5_st54_beschreiben_entwurf_app.html</x:v>
      </x:c>
      <x:c r="G17" s="115" t="str">
        <x:v>lehrer/de_k5_st54_beschreiben_entwurf_orga.html</x:v>
      </x:c>
      <x:c r="H17" s="116" t="str">
        <x:v>de_05_beschreiben_054_entwurf.html</x:v>
      </x:c>
    </x:row>
    <x:row r="18" ht="42" customHeight="1">
      <x:c r="A18" s="114" t="n">
        <x:v>5</x:v>
      </x:c>
      <x:c r="B18" s="115" t="n">
        <x:v>55</x:v>
      </x:c>
      <x:c r="C18" s="115" t="str">
        <x:v>Schreiben</x:v>
      </x:c>
      <x:c r="D18" s="115" t="str">
        <x:v>Gegenstände, Tiere und Vorgänge beschreiben: Text kriteriengeleitet überarbeiten</x:v>
      </x:c>
      <x:c r="E18" s="115" t="str">
        <x:v>de_k5_st55_beschreiben_ueberarbeiten</x:v>
      </x:c>
      <x:c r="F18" s="115" t="str">
        <x:v>schueler/de_k5_st55_beschreiben_ueberarbeiten_app.html</x:v>
      </x:c>
      <x:c r="G18" s="115" t="str">
        <x:v>lehrer/de_k5_st55_beschreiben_ueberarbeiten_orga.html</x:v>
      </x:c>
      <x:c r="H18" s="116" t="str">
        <x:v>de_05_beschreiben_055_ueberarbeiten.html</x:v>
      </x:c>
    </x:row>
    <x:row r="19" ht="42" customHeight="1">
      <x:c r="A19" s="114" t="n">
        <x:v>5</x:v>
      </x:c>
      <x:c r="B19" s="115" t="n">
        <x:v>56</x:v>
      </x:c>
      <x:c r="C19" s="115" t="str">
        <x:v>Sprechen und Zuhören</x:v>
      </x:c>
      <x:c r="D19" s="115" t="str">
        <x:v>Gegenstände, Tiere und Vorgänge beschreiben: Texte vorstellen und bewerten</x:v>
      </x:c>
      <x:c r="E19" s="115" t="str">
        <x:v>de_k5_st56_beschreiben_vorstellen</x:v>
      </x:c>
      <x:c r="F19" s="115" t="str">
        <x:v>schueler/de_k5_st56_beschreiben_vorstellen_app.html</x:v>
      </x:c>
      <x:c r="G19" s="115" t="str">
        <x:v>lehrer/de_k5_st56_beschreiben_vorstellen_orga.html</x:v>
      </x:c>
      <x:c r="H19" s="116" t="str">
        <x:v>de_05_beschreiben_056_vorstellen.html</x:v>
      </x:c>
    </x:row>
    <x:row r="20" ht="42" customHeight="1">
      <x:c r="A20" s="114" t="n">
        <x:v>5</x:v>
      </x:c>
      <x:c r="B20" s="115" t="n">
        <x:v>81</x:v>
      </x:c>
      <x:c r="C20" s="115" t="str">
        <x:v>Lesen/Umgang mit Texten</x:v>
      </x:c>
      <x:c r="D20" s="115" t="str">
        <x:v>Briefe, E-Mails und Einladungen verfassen: Beispieltexte untersuchen</x:v>
      </x:c>
      <x:c r="E20" s="115" t="str">
        <x:v>de_k5_st81_briefe_beispiel</x:v>
      </x:c>
      <x:c r="F20" s="115" t="str">
        <x:v>schueler/de_k5_st81_briefe_beispiel_app.html</x:v>
      </x:c>
      <x:c r="G20" s="115" t="str">
        <x:v>lehrer/de_k5_st81_briefe_beispiel_orga.html</x:v>
      </x:c>
      <x:c r="H20" s="116" t="str">
        <x:v>de_05_briefe_081_beispiel.html</x:v>
      </x:c>
    </x:row>
    <x:row r="21" ht="42" customHeight="1">
      <x:c r="A21" s="114" t="n">
        <x:v>5</x:v>
      </x:c>
      <x:c r="B21" s="115" t="n">
        <x:v>82</x:v>
      </x:c>
      <x:c r="C21" s="115" t="str">
        <x:v>Schreiben</x:v>
      </x:c>
      <x:c r="D21" s="115" t="str">
        <x:v>Briefe, E-Mails und Einladungen verfassen: Schreibziel und Kriterien klären</x:v>
      </x:c>
      <x:c r="E21" s="115" t="str">
        <x:v>de_k5_st82_briefe_kriterien</x:v>
      </x:c>
      <x:c r="F21" s="115" t="str">
        <x:v>schueler/de_k5_st82_briefe_kriterien_app.html</x:v>
      </x:c>
      <x:c r="G21" s="115" t="str">
        <x:v>lehrer/de_k5_st82_briefe_kriterien_orga.html</x:v>
      </x:c>
      <x:c r="H21" s="116" t="str">
        <x:v>de_05_briefe_082_kriterien.html</x:v>
      </x:c>
    </x:row>
    <x:row r="22" ht="42" customHeight="1">
      <x:c r="A22" s="114" t="n">
        <x:v>5</x:v>
      </x:c>
      <x:c r="B22" s="115" t="n">
        <x:v>83</x:v>
      </x:c>
      <x:c r="C22" s="115" t="str">
        <x:v>Lesen/Umgang mit Texten</x:v>
      </x:c>
      <x:c r="D22" s="115" t="str">
        <x:v>Briefe, E-Mails und Einladungen verfassen: Inhalte auswählen und ordnen</x:v>
      </x:c>
      <x:c r="E22" s="115" t="str">
        <x:v>de_k5_st83_briefe_inhalte_ordnen</x:v>
      </x:c>
      <x:c r="F22" s="115" t="str">
        <x:v>schueler/de_k5_st83_briefe_inhalte_ordnen_app.html</x:v>
      </x:c>
      <x:c r="G22" s="115" t="str">
        <x:v>lehrer/de_k5_st83_briefe_inhalte_ordnen_orga.html</x:v>
      </x:c>
      <x:c r="H22" s="116" t="str">
        <x:v>de_05_briefe_083_inhalte_ordnen.html</x:v>
      </x:c>
    </x:row>
    <x:row r="23" ht="42" customHeight="1">
      <x:c r="A23" s="114" t="n">
        <x:v>5</x:v>
      </x:c>
      <x:c r="B23" s="115" t="n">
        <x:v>84</x:v>
      </x:c>
      <x:c r="C23" s="115" t="str">
        <x:v>Sprache untersuchen</x:v>
      </x:c>
      <x:c r="D23" s="115" t="str">
        <x:v>Briefe, E-Mails und Einladungen verfassen: Passende sprachliche Mittel verwenden</x:v>
      </x:c>
      <x:c r="E23" s="115" t="str">
        <x:v>de_k5_st84_briefe_sprachmittel</x:v>
      </x:c>
      <x:c r="F23" s="115" t="str">
        <x:v>schueler/de_k5_st84_briefe_sprachmittel_app.html</x:v>
      </x:c>
      <x:c r="G23" s="115" t="str">
        <x:v>lehrer/de_k5_st84_briefe_sprachmittel_orga.html</x:v>
      </x:c>
      <x:c r="H23" s="116" t="str">
        <x:v>de_05_briefe_084_sprachmittel.html</x:v>
      </x:c>
    </x:row>
    <x:row r="24" ht="42" customHeight="1">
      <x:c r="A24" s="114" t="n">
        <x:v>5</x:v>
      </x:c>
      <x:c r="B24" s="115" t="n">
        <x:v>85</x:v>
      </x:c>
      <x:c r="C24" s="115" t="str">
        <x:v>Schreiben</x:v>
      </x:c>
      <x:c r="D24" s="115" t="str">
        <x:v>Briefe, E-Mails und Einladungen verfassen: Einen Schreibplan erstellen</x:v>
      </x:c>
      <x:c r="E24" s="115" t="str">
        <x:v>de_k5_st85_briefe_schreibplan</x:v>
      </x:c>
      <x:c r="F24" s="115" t="str">
        <x:v>schueler/de_k5_st85_briefe_schreibplan_app.html</x:v>
      </x:c>
      <x:c r="G24" s="115" t="str">
        <x:v>lehrer/de_k5_st85_briefe_schreibplan_orga.html</x:v>
      </x:c>
      <x:c r="H24" s="116" t="str">
        <x:v>de_05_briefe_085_schreibplan.html</x:v>
      </x:c>
    </x:row>
    <x:row r="25" ht="42" customHeight="1">
      <x:c r="A25" s="114" t="n">
        <x:v>5</x:v>
      </x:c>
      <x:c r="B25" s="115" t="n">
        <x:v>86</x:v>
      </x:c>
      <x:c r="C25" s="115" t="str">
        <x:v>Schreiben</x:v>
      </x:c>
      <x:c r="D25" s="115" t="str">
        <x:v>Briefe, E-Mails und Einladungen verfassen: Einen ersten Textentwurf verfassen</x:v>
      </x:c>
      <x:c r="E25" s="115" t="str">
        <x:v>de_k5_st86_briefe_entwurf</x:v>
      </x:c>
      <x:c r="F25" s="115" t="str">
        <x:v>schueler/de_k5_st86_briefe_entwurf_app.html</x:v>
      </x:c>
      <x:c r="G25" s="115" t="str">
        <x:v>lehrer/de_k5_st86_briefe_entwurf_orga.html</x:v>
      </x:c>
      <x:c r="H25" s="116" t="str">
        <x:v>de_05_briefe_086_entwurf.html</x:v>
      </x:c>
    </x:row>
    <x:row r="26" ht="42" customHeight="1">
      <x:c r="A26" s="114" t="n">
        <x:v>5</x:v>
      </x:c>
      <x:c r="B26" s="115" t="n">
        <x:v>87</x:v>
      </x:c>
      <x:c r="C26" s="115" t="str">
        <x:v>Schreiben</x:v>
      </x:c>
      <x:c r="D26" s="115" t="str">
        <x:v>Briefe, E-Mails und Einladungen verfassen: Text kriteriengeleitet überarbeiten</x:v>
      </x:c>
      <x:c r="E26" s="115" t="str">
        <x:v>de_k5_st87_briefe_ueberarbeiten</x:v>
      </x:c>
      <x:c r="F26" s="115" t="str">
        <x:v>schueler/de_k5_st87_briefe_ueberarbeiten_app.html</x:v>
      </x:c>
      <x:c r="G26" s="115" t="str">
        <x:v>lehrer/de_k5_st87_briefe_ueberarbeiten_orga.html</x:v>
      </x:c>
      <x:c r="H26" s="116" t="str">
        <x:v>de_05_briefe_087_ueberarbeiten.html</x:v>
      </x:c>
    </x:row>
    <x:row r="27" ht="42" customHeight="1">
      <x:c r="A27" s="114" t="n">
        <x:v>5</x:v>
      </x:c>
      <x:c r="B27" s="115" t="n">
        <x:v>88</x:v>
      </x:c>
      <x:c r="C27" s="115" t="str">
        <x:v>Sprechen und Zuhören</x:v>
      </x:c>
      <x:c r="D27" s="115" t="str">
        <x:v>Briefe, E-Mails und Einladungen verfassen: Texte vorstellen und bewerten</x:v>
      </x:c>
      <x:c r="E27" s="115" t="str">
        <x:v>de_k5_st88_briefe_vorstellen</x:v>
      </x:c>
      <x:c r="F27" s="115" t="str">
        <x:v>schueler/de_k5_st88_briefe_vorstellen_app.html</x:v>
      </x:c>
      <x:c r="G27" s="115" t="str">
        <x:v>lehrer/de_k5_st88_briefe_vorstellen_orga.html</x:v>
      </x:c>
      <x:c r="H27" s="116" t="str">
        <x:v>de_05_briefe_088_vorstellen.html</x:v>
      </x:c>
    </x:row>
    <x:row r="28" ht="42" customHeight="1">
      <x:c r="A28" s="114" t="n">
        <x:v>5</x:v>
      </x:c>
      <x:c r="B28" s="115" t="n">
        <x:v>9</x:v>
      </x:c>
      <x:c r="C28" s="115" t="str">
        <x:v>Lesen/Umgang mit Texten</x:v>
      </x:c>
      <x:c r="D28" s="115" t="str">
        <x:v>Erlebnisse anschaulich erzählen: Beispieltexte untersuchen</x:v>
      </x:c>
      <x:c r="E28" s="115" t="str">
        <x:v>de_k5_st09_erzaehlen_beispiel</x:v>
      </x:c>
      <x:c r="F28" s="115" t="str">
        <x:v>schueler/de_k5_st09_erzaehlen_beispiel_app.html</x:v>
      </x:c>
      <x:c r="G28" s="115" t="str">
        <x:v>lehrer/de_k5_st09_erzaehlen_beispiel_orga.html</x:v>
      </x:c>
      <x:c r="H28" s="116" t="str">
        <x:v>de_05_erzaehlen_009_beispiel.html</x:v>
      </x:c>
    </x:row>
    <x:row r="29" ht="42" customHeight="1">
      <x:c r="A29" s="114" t="n">
        <x:v>5</x:v>
      </x:c>
      <x:c r="B29" s="115" t="n">
        <x:v>10</x:v>
      </x:c>
      <x:c r="C29" s="115" t="str">
        <x:v>Schreiben</x:v>
      </x:c>
      <x:c r="D29" s="115" t="str">
        <x:v>Erlebnisse anschaulich erzählen: Schreibziel und Kriterien klären</x:v>
      </x:c>
      <x:c r="E29" s="115" t="str">
        <x:v>de_k5_st10_erzaehlen_kriterien</x:v>
      </x:c>
      <x:c r="F29" s="115" t="str">
        <x:v>schueler/de_k5_st10_erzaehlen_kriterien_app.html</x:v>
      </x:c>
      <x:c r="G29" s="115" t="str">
        <x:v>lehrer/de_k5_st10_erzaehlen_kriterien_orga.html</x:v>
      </x:c>
      <x:c r="H29" s="116" t="str">
        <x:v>de_05_erzaehlen_010_kriterien.html</x:v>
      </x:c>
    </x:row>
    <x:row r="30" ht="42" customHeight="1">
      <x:c r="A30" s="114" t="n">
        <x:v>5</x:v>
      </x:c>
      <x:c r="B30" s="115" t="n">
        <x:v>11</x:v>
      </x:c>
      <x:c r="C30" s="115" t="str">
        <x:v>Lesen/Umgang mit Texten</x:v>
      </x:c>
      <x:c r="D30" s="115" t="str">
        <x:v>Erlebnisse anschaulich erzählen: Inhalte auswählen und ordnen</x:v>
      </x:c>
      <x:c r="E30" s="115" t="str">
        <x:v>de_k5_st11_erzaehlen_inhalte_ordnen</x:v>
      </x:c>
      <x:c r="F30" s="115" t="str">
        <x:v>schueler/de_k5_st11_erzaehlen_inhalte_ordnen_app.html</x:v>
      </x:c>
      <x:c r="G30" s="115" t="str">
        <x:v>lehrer/de_k5_st11_erzaehlen_inhalte_ordnen_orga.html</x:v>
      </x:c>
      <x:c r="H30" s="116" t="str">
        <x:v>de_05_erzaehlen_011_inhalte_ordnen.html</x:v>
      </x:c>
    </x:row>
    <x:row r="31" ht="42" customHeight="1">
      <x:c r="A31" s="114" t="n">
        <x:v>5</x:v>
      </x:c>
      <x:c r="B31" s="115" t="n">
        <x:v>12</x:v>
      </x:c>
      <x:c r="C31" s="115" t="str">
        <x:v>Sprache untersuchen</x:v>
      </x:c>
      <x:c r="D31" s="115" t="str">
        <x:v>Erlebnisse anschaulich erzählen: Passende sprachliche Mittel verwenden</x:v>
      </x:c>
      <x:c r="E31" s="115" t="str">
        <x:v>de_k5_st12_erzaehlen_sprachmittel</x:v>
      </x:c>
      <x:c r="F31" s="115" t="str">
        <x:v>schueler/de_k5_st12_erzaehlen_sprachmittel_app.html</x:v>
      </x:c>
      <x:c r="G31" s="115" t="str">
        <x:v>lehrer/de_k5_st12_erzaehlen_sprachmittel_orga.html</x:v>
      </x:c>
      <x:c r="H31" s="116" t="str">
        <x:v>de_05_erzaehlen_012_sprachmittel.html</x:v>
      </x:c>
    </x:row>
    <x:row r="32" ht="42" customHeight="1">
      <x:c r="A32" s="114" t="n">
        <x:v>5</x:v>
      </x:c>
      <x:c r="B32" s="115" t="n">
        <x:v>13</x:v>
      </x:c>
      <x:c r="C32" s="115" t="str">
        <x:v>Schreiben</x:v>
      </x:c>
      <x:c r="D32" s="115" t="str">
        <x:v>Erlebnisse anschaulich erzählen: Einen Schreibplan erstellen</x:v>
      </x:c>
      <x:c r="E32" s="115" t="str">
        <x:v>de_k5_st13_erzaehlen_schreibplan</x:v>
      </x:c>
      <x:c r="F32" s="115" t="str">
        <x:v>schueler/de_k5_st13_erzaehlen_schreibplan_app.html</x:v>
      </x:c>
      <x:c r="G32" s="115" t="str">
        <x:v>lehrer/de_k5_st13_erzaehlen_schreibplan_orga.html</x:v>
      </x:c>
      <x:c r="H32" s="116" t="str">
        <x:v>de_05_erzaehlen_013_schreibplan.html</x:v>
      </x:c>
    </x:row>
    <x:row r="33" ht="42" customHeight="1">
      <x:c r="A33" s="114" t="n">
        <x:v>5</x:v>
      </x:c>
      <x:c r="B33" s="115" t="n">
        <x:v>14</x:v>
      </x:c>
      <x:c r="C33" s="115" t="str">
        <x:v>Schreiben</x:v>
      </x:c>
      <x:c r="D33" s="115" t="str">
        <x:v>Erlebnisse anschaulich erzählen: Einen ersten Textentwurf verfassen</x:v>
      </x:c>
      <x:c r="E33" s="115" t="str">
        <x:v>de_k5_st14_erzaehlen_entwurf</x:v>
      </x:c>
      <x:c r="F33" s="115" t="str">
        <x:v>schueler/de_k5_st14_erzaehlen_entwurf_app.html</x:v>
      </x:c>
      <x:c r="G33" s="115" t="str">
        <x:v>lehrer/de_k5_st14_erzaehlen_entwurf_orga.html</x:v>
      </x:c>
      <x:c r="H33" s="116" t="str">
        <x:v>de_05_erzaehlen_014_entwurf.html</x:v>
      </x:c>
    </x:row>
    <x:row r="34" ht="42" customHeight="1">
      <x:c r="A34" s="114" t="n">
        <x:v>5</x:v>
      </x:c>
      <x:c r="B34" s="115" t="n">
        <x:v>15</x:v>
      </x:c>
      <x:c r="C34" s="115" t="str">
        <x:v>Schreiben</x:v>
      </x:c>
      <x:c r="D34" s="115" t="str">
        <x:v>Erlebnisse anschaulich erzählen: Text kriteriengeleitet überarbeiten</x:v>
      </x:c>
      <x:c r="E34" s="115" t="str">
        <x:v>de_k5_st15_erzaehlen_ueberarbeiten</x:v>
      </x:c>
      <x:c r="F34" s="115" t="str">
        <x:v>schueler/de_k5_st15_erzaehlen_ueberarbeiten_app.html</x:v>
      </x:c>
      <x:c r="G34" s="115" t="str">
        <x:v>lehrer/de_k5_st15_erzaehlen_ueberarbeiten_orga.html</x:v>
      </x:c>
      <x:c r="H34" s="116" t="str">
        <x:v>de_05_erzaehlen_015_ueberarbeiten.html</x:v>
      </x:c>
    </x:row>
    <x:row r="35" ht="42" customHeight="1">
      <x:c r="A35" s="114" t="n">
        <x:v>5</x:v>
      </x:c>
      <x:c r="B35" s="115" t="n">
        <x:v>16</x:v>
      </x:c>
      <x:c r="C35" s="115" t="str">
        <x:v>Sprechen und Zuhören</x:v>
      </x:c>
      <x:c r="D35" s="115" t="str">
        <x:v>Erlebnisse anschaulich erzählen: Texte vorstellen und bewerten</x:v>
      </x:c>
      <x:c r="E35" s="115" t="str">
        <x:v>de_k5_st16_erzaehlen_vorstellen</x:v>
      </x:c>
      <x:c r="F35" s="115" t="str">
        <x:v>schueler/de_k5_st16_erzaehlen_vorstellen_app.html</x:v>
      </x:c>
      <x:c r="G35" s="115" t="str">
        <x:v>lehrer/de_k5_st16_erzaehlen_vorstellen_orga.html</x:v>
      </x:c>
      <x:c r="H35" s="116" t="str">
        <x:v>de_05_erzaehlen_016_vorstellen.html</x:v>
      </x:c>
    </x:row>
    <x:row r="36" ht="42" customHeight="1">
      <x:c r="A36" s="114" t="n">
        <x:v>5</x:v>
      </x:c>
      <x:c r="B36" s="115" t="n">
        <x:v>89</x:v>
      </x:c>
      <x:c r="C36" s="115" t="str">
        <x:v>Sprechen und Zuhören</x:v>
      </x:c>
      <x:c r="D36" s="115" t="str">
        <x:v>Lesen, Vortragen und Medien nutzen: Vorwissen und Positionen klären</x:v>
      </x:c>
      <x:c r="E36" s="115" t="str">
        <x:v>de_k5_st89_jahresprojekt_einstieg</x:v>
      </x:c>
      <x:c r="F36" s="115" t="str">
        <x:v>schueler/de_k5_st89_jahresprojekt_einstieg_app.html</x:v>
      </x:c>
      <x:c r="G36" s="115" t="str">
        <x:v>lehrer/de_k5_st89_jahresprojekt_einstieg_orga.html</x:v>
      </x:c>
      <x:c r="H36" s="116" t="str">
        <x:v>de_05_jahresprojekt_089_einstieg.html</x:v>
      </x:c>
    </x:row>
    <x:row r="37" ht="42" customHeight="1">
      <x:c r="A37" s="114" t="n">
        <x:v>5</x:v>
      </x:c>
      <x:c r="B37" s="115" t="n">
        <x:v>90</x:v>
      </x:c>
      <x:c r="C37" s="115" t="str">
        <x:v>Lesen/Umgang mit Texten</x:v>
      </x:c>
      <x:c r="D37" s="115" t="str">
        <x:v>Lesen, Vortragen und Medien nutzen: Quellen und Materialien erschließen</x:v>
      </x:c>
      <x:c r="E37" s="115" t="str">
        <x:v>de_k5_st90_jahresprojekt_quellen</x:v>
      </x:c>
      <x:c r="F37" s="115" t="str">
        <x:v>schueler/de_k5_st90_jahresprojekt_quellen_app.html</x:v>
      </x:c>
      <x:c r="G37" s="115" t="str">
        <x:v>lehrer/de_k5_st90_jahresprojekt_quellen_orga.html</x:v>
      </x:c>
      <x:c r="H37" s="116" t="str">
        <x:v>de_05_jahresprojekt_090_quellen.html</x:v>
      </x:c>
    </x:row>
    <x:row r="38" ht="42" customHeight="1">
      <x:c r="A38" s="114" t="n">
        <x:v>5</x:v>
      </x:c>
      <x:c r="B38" s="115" t="n">
        <x:v>91</x:v>
      </x:c>
      <x:c r="C38" s="115" t="str">
        <x:v>Lesen/Umgang mit Texten</x:v>
      </x:c>
      <x:c r="D38" s="115" t="str">
        <x:v>Lesen, Vortragen und Medien nutzen: Qualitätskriterien anwenden</x:v>
      </x:c>
      <x:c r="E38" s="115" t="str">
        <x:v>de_k5_st91_jahresprojekt_kriterien</x:v>
      </x:c>
      <x:c r="F38" s="115" t="str">
        <x:v>schueler/de_k5_st91_jahresprojekt_kriterien_app.html</x:v>
      </x:c>
      <x:c r="G38" s="115" t="str">
        <x:v>lehrer/de_k5_st91_jahresprojekt_kriterien_orga.html</x:v>
      </x:c>
      <x:c r="H38" s="116" t="str">
        <x:v>de_05_jahresprojekt_091_kriterien.html</x:v>
      </x:c>
    </x:row>
    <x:row r="39" ht="42" customHeight="1">
      <x:c r="A39" s="114" t="n">
        <x:v>5</x:v>
      </x:c>
      <x:c r="B39" s="115" t="n">
        <x:v>92</x:v>
      </x:c>
      <x:c r="C39" s="115" t="str">
        <x:v>Lesen/Umgang mit Texten</x:v>
      </x:c>
      <x:c r="D39" s="115" t="str">
        <x:v>Lesen, Vortragen und Medien nutzen: Darstellungen vergleichen</x:v>
      </x:c>
      <x:c r="E39" s="115" t="str">
        <x:v>de_k5_st92_jahresprojekt_vergleichen</x:v>
      </x:c>
      <x:c r="F39" s="115" t="str">
        <x:v>schueler/de_k5_st92_jahresprojekt_vergleichen_app.html</x:v>
      </x:c>
      <x:c r="G39" s="115" t="str">
        <x:v>lehrer/de_k5_st92_jahresprojekt_vergleichen_orga.html</x:v>
      </x:c>
      <x:c r="H39" s="116" t="str">
        <x:v>de_05_jahresprojekt_092_vergleichen.html</x:v>
      </x:c>
    </x:row>
    <x:row r="40" ht="42" customHeight="1">
      <x:c r="A40" s="114" t="n">
        <x:v>5</x:v>
      </x:c>
      <x:c r="B40" s="115" t="n">
        <x:v>93</x:v>
      </x:c>
      <x:c r="C40" s="115" t="str">
        <x:v>Schreiben</x:v>
      </x:c>
      <x:c r="D40" s="115" t="str">
        <x:v>Lesen, Vortragen und Medien nutzen: Informationen prüfen und ordnen</x:v>
      </x:c>
      <x:c r="E40" s="115" t="str">
        <x:v>de_k5_st93_jahresprojekt_recherche</x:v>
      </x:c>
      <x:c r="F40" s="115" t="str">
        <x:v>schueler/de_k5_st93_jahresprojekt_recherche_app.html</x:v>
      </x:c>
      <x:c r="G40" s="115" t="str">
        <x:v>lehrer/de_k5_st93_jahresprojekt_recherche_orga.html</x:v>
      </x:c>
      <x:c r="H40" s="116" t="str">
        <x:v>de_05_jahresprojekt_093_recherche.html</x:v>
      </x:c>
    </x:row>
    <x:row r="41" ht="42" customHeight="1">
      <x:c r="A41" s="114" t="n">
        <x:v>5</x:v>
      </x:c>
      <x:c r="B41" s="115" t="n">
        <x:v>94</x:v>
      </x:c>
      <x:c r="C41" s="115" t="str">
        <x:v>Schreiben</x:v>
      </x:c>
      <x:c r="D41" s="115" t="str">
        <x:v>Lesen, Vortragen und Medien nutzen: Produkt planen</x:v>
      </x:c>
      <x:c r="E41" s="115" t="str">
        <x:v>de_k5_st94_jahresprojekt_planen</x:v>
      </x:c>
      <x:c r="F41" s="115" t="str">
        <x:v>schueler/de_k5_st94_jahresprojekt_planen_app.html</x:v>
      </x:c>
      <x:c r="G41" s="115" t="str">
        <x:v>lehrer/de_k5_st94_jahresprojekt_planen_orga.html</x:v>
      </x:c>
      <x:c r="H41" s="116" t="str">
        <x:v>de_05_jahresprojekt_094_planen.html</x:v>
      </x:c>
    </x:row>
    <x:row r="42" ht="42" customHeight="1">
      <x:c r="A42" s="114" t="n">
        <x:v>5</x:v>
      </x:c>
      <x:c r="B42" s="115" t="n">
        <x:v>95</x:v>
      </x:c>
      <x:c r="C42" s="115" t="str">
        <x:v>Schreiben</x:v>
      </x:c>
      <x:c r="D42" s="115" t="str">
        <x:v>Lesen, Vortragen und Medien nutzen: Produkt erstellen</x:v>
      </x:c>
      <x:c r="E42" s="115" t="str">
        <x:v>de_k5_st95_jahresprojekt_erstellen</x:v>
      </x:c>
      <x:c r="F42" s="115" t="str">
        <x:v>schueler/de_k5_st95_jahresprojekt_erstellen_app.html</x:v>
      </x:c>
      <x:c r="G42" s="115" t="str">
        <x:v>lehrer/de_k5_st95_jahresprojekt_erstellen_orga.html</x:v>
      </x:c>
      <x:c r="H42" s="116" t="str">
        <x:v>de_05_jahresprojekt_095_erstellen.html</x:v>
      </x:c>
    </x:row>
    <x:row r="43" ht="42" customHeight="1">
      <x:c r="A43" s="114" t="n">
        <x:v>5</x:v>
      </x:c>
      <x:c r="B43" s="115" t="n">
        <x:v>96</x:v>
      </x:c>
      <x:c r="C43" s="115" t="str">
        <x:v>Sprechen und Zuhören</x:v>
      </x:c>
      <x:c r="D43" s="115" t="str">
        <x:v>Lesen, Vortragen und Medien nutzen: Präsentieren und reflektieren</x:v>
      </x:c>
      <x:c r="E43" s="115" t="str">
        <x:v>de_k5_st96_jahresprojekt_reflexion</x:v>
      </x:c>
      <x:c r="F43" s="115" t="str">
        <x:v>schueler/de_k5_st96_jahresprojekt_reflexion_app.html</x:v>
      </x:c>
      <x:c r="G43" s="115" t="str">
        <x:v>lehrer/de_k5_st96_jahresprojekt_reflexion_orga.html</x:v>
      </x:c>
      <x:c r="H43" s="116" t="str">
        <x:v>de_05_jahresprojekt_096_reflexion.html</x:v>
      </x:c>
    </x:row>
    <x:row r="44" ht="42" customHeight="1">
      <x:c r="A44" s="114" t="n">
        <x:v>5</x:v>
      </x:c>
      <x:c r="B44" s="115" t="n">
        <x:v>65</x:v>
      </x:c>
      <x:c r="C44" s="115" t="str">
        <x:v>Sprechen und Zuhören</x:v>
      </x:c>
      <x:c r="D44" s="115" t="str">
        <x:v>Kinder- und Jugendbuch als Ganzschrift: Hör- oder Leseeinstieg gestalten</x:v>
      </x:c>
      <x:c r="E44" s="115" t="str">
        <x:v>de_k5_st65_jugendbuch_einstieg</x:v>
      </x:c>
      <x:c r="F44" s="115" t="str">
        <x:v>schueler/de_k5_st65_jugendbuch_einstieg_app.html</x:v>
      </x:c>
      <x:c r="G44" s="115" t="str">
        <x:v>lehrer/de_k5_st65_jugendbuch_einstieg_orga.html</x:v>
      </x:c>
      <x:c r="H44" s="116" t="str">
        <x:v>de_05_jugendbuch_065_einstieg.html</x:v>
      </x:c>
    </x:row>
    <x:row r="45" ht="42" customHeight="1">
      <x:c r="A45" s="114" t="n">
        <x:v>5</x:v>
      </x:c>
      <x:c r="B45" s="115" t="n">
        <x:v>66</x:v>
      </x:c>
      <x:c r="C45" s="115" t="str">
        <x:v>Lesen/Umgang mit Texten</x:v>
      </x:c>
      <x:c r="D45" s="115" t="str">
        <x:v>Kinder- und Jugendbuch als Ganzschrift: Den Text mit Lesestrategien erschließen</x:v>
      </x:c>
      <x:c r="E45" s="115" t="str">
        <x:v>de_k5_st66_jugendbuch_erschliessen</x:v>
      </x:c>
      <x:c r="F45" s="115" t="str">
        <x:v>schueler/de_k5_st66_jugendbuch_erschliessen_app.html</x:v>
      </x:c>
      <x:c r="G45" s="115" t="str">
        <x:v>lehrer/de_k5_st66_jugendbuch_erschliessen_orga.html</x:v>
      </x:c>
      <x:c r="H45" s="116" t="str">
        <x:v>de_05_jugendbuch_066_erschliessen.html</x:v>
      </x:c>
    </x:row>
    <x:row r="46" ht="42" customHeight="1">
      <x:c r="A46" s="114" t="n">
        <x:v>5</x:v>
      </x:c>
      <x:c r="B46" s="115" t="n">
        <x:v>67</x:v>
      </x:c>
      <x:c r="C46" s="115" t="str">
        <x:v>Lesen/Umgang mit Texten</x:v>
      </x:c>
      <x:c r="D46" s="115" t="str">
        <x:v>Kinder- und Jugendbuch als Ganzschrift: Gattungsmerkmale erkennen</x:v>
      </x:c>
      <x:c r="E46" s="115" t="str">
        <x:v>de_k5_st67_jugendbuch_merkmale</x:v>
      </x:c>
      <x:c r="F46" s="115" t="str">
        <x:v>schueler/de_k5_st67_jugendbuch_merkmale_app.html</x:v>
      </x:c>
      <x:c r="G46" s="115" t="str">
        <x:v>lehrer/de_k5_st67_jugendbuch_merkmale_orga.html</x:v>
      </x:c>
      <x:c r="H46" s="116" t="str">
        <x:v>de_05_jugendbuch_067_merkmale.html</x:v>
      </x:c>
    </x:row>
    <x:row r="47" ht="42" customHeight="1">
      <x:c r="A47" s="114" t="n">
        <x:v>5</x:v>
      </x:c>
      <x:c r="B47" s="115" t="n">
        <x:v>68</x:v>
      </x:c>
      <x:c r="C47" s="115" t="str">
        <x:v>Lesen/Umgang mit Texten</x:v>
      </x:c>
      <x:c r="D47" s="115" t="str">
        <x:v>Kinder- und Jugendbuch als Ganzschrift: Figuren, Handlung und Konflikt untersuchen</x:v>
      </x:c>
      <x:c r="E47" s="115" t="str">
        <x:v>de_k5_st68_jugendbuch_figuren_handlung</x:v>
      </x:c>
      <x:c r="F47" s="115" t="str">
        <x:v>schueler/de_k5_st68_jugendbuch_figuren_handlung_app.html</x:v>
      </x:c>
      <x:c r="G47" s="115" t="str">
        <x:v>lehrer/de_k5_st68_jugendbuch_figuren_handlung_orga.html</x:v>
      </x:c>
      <x:c r="H47" s="116" t="str">
        <x:v>de_05_jugendbuch_068_figuren_handlung.html</x:v>
      </x:c>
    </x:row>
    <x:row r="48" ht="42" customHeight="1">
      <x:c r="A48" s="114" t="n">
        <x:v>5</x:v>
      </x:c>
      <x:c r="B48" s="115" t="n">
        <x:v>69</x:v>
      </x:c>
      <x:c r="C48" s="115" t="str">
        <x:v>Sprache untersuchen</x:v>
      </x:c>
      <x:c r="D48" s="115" t="str">
        <x:v>Kinder- und Jugendbuch als Ganzschrift: Sprache und Wirkung untersuchen</x:v>
      </x:c>
      <x:c r="E48" s="115" t="str">
        <x:v>de_k5_st69_jugendbuch_sprache_wirkung</x:v>
      </x:c>
      <x:c r="F48" s="115" t="str">
        <x:v>schueler/de_k5_st69_jugendbuch_sprache_wirkung_app.html</x:v>
      </x:c>
      <x:c r="G48" s="115" t="str">
        <x:v>lehrer/de_k5_st69_jugendbuch_sprache_wirkung_orga.html</x:v>
      </x:c>
      <x:c r="H48" s="116" t="str">
        <x:v>de_05_jugendbuch_069_sprache_wirkung.html</x:v>
      </x:c>
    </x:row>
    <x:row r="49" ht="42" customHeight="1">
      <x:c r="A49" s="114" t="n">
        <x:v>5</x:v>
      </x:c>
      <x:c r="B49" s="115" t="n">
        <x:v>70</x:v>
      </x:c>
      <x:c r="C49" s="115" t="str">
        <x:v>Schreiben</x:v>
      </x:c>
      <x:c r="D49" s="115" t="str">
        <x:v>Kinder- und Jugendbuch als Ganzschrift: Eine Deutung oder Perspektive vorbereiten</x:v>
      </x:c>
      <x:c r="E49" s="115" t="str">
        <x:v>de_k5_st70_jugendbuch_deutung_planen</x:v>
      </x:c>
      <x:c r="F49" s="115" t="str">
        <x:v>schueler/de_k5_st70_jugendbuch_deutung_planen_app.html</x:v>
      </x:c>
      <x:c r="G49" s="115" t="str">
        <x:v>lehrer/de_k5_st70_jugendbuch_deutung_planen_orga.html</x:v>
      </x:c>
      <x:c r="H49" s="116" t="str">
        <x:v>de_05_jugendbuch_070_deutung_planen.html</x:v>
      </x:c>
    </x:row>
    <x:row r="50" ht="42" customHeight="1">
      <x:c r="A50" s="114" t="n">
        <x:v>5</x:v>
      </x:c>
      <x:c r="B50" s="115" t="n">
        <x:v>71</x:v>
      </x:c>
      <x:c r="C50" s="115" t="str">
        <x:v>Schreiben</x:v>
      </x:c>
      <x:c r="D50" s="115" t="str">
        <x:v>Kinder- und Jugendbuch als Ganzschrift: Lesetagebuch gestalten</x:v>
      </x:c>
      <x:c r="E50" s="115" t="str">
        <x:v>de_k5_st71_jugendbuch_produkt</x:v>
      </x:c>
      <x:c r="F50" s="115" t="str">
        <x:v>schueler/de_k5_st71_jugendbuch_produkt_app.html</x:v>
      </x:c>
      <x:c r="G50" s="115" t="str">
        <x:v>lehrer/de_k5_st71_jugendbuch_produkt_orga.html</x:v>
      </x:c>
      <x:c r="H50" s="116" t="str">
        <x:v>de_05_jugendbuch_071_produkt.html</x:v>
      </x:c>
    </x:row>
    <x:row r="51" ht="42" customHeight="1">
      <x:c r="A51" s="114" t="n">
        <x:v>5</x:v>
      </x:c>
      <x:c r="B51" s="115" t="n">
        <x:v>72</x:v>
      </x:c>
      <x:c r="C51" s="115" t="str">
        <x:v>Sprechen und Zuhören</x:v>
      </x:c>
      <x:c r="D51" s="115" t="str">
        <x:v>Kinder- und Jugendbuch als Ganzschrift: Ergebnisse präsentieren und reflektieren</x:v>
      </x:c>
      <x:c r="E51" s="115" t="str">
        <x:v>de_k5_st72_jugendbuch_praesentieren</x:v>
      </x:c>
      <x:c r="F51" s="115" t="str">
        <x:v>schueler/de_k5_st72_jugendbuch_praesentieren_app.html</x:v>
      </x:c>
      <x:c r="G51" s="115" t="str">
        <x:v>lehrer/de_k5_st72_jugendbuch_praesentieren_orga.html</x:v>
      </x:c>
      <x:c r="H51" s="116" t="str">
        <x:v>de_05_jugendbuch_072_praesentieren.html</x:v>
      </x:c>
    </x:row>
    <x:row r="52" ht="42" customHeight="1">
      <x:c r="A52" s="114" t="n">
        <x:v>5</x:v>
      </x:c>
      <x:c r="B52" s="115" t="n">
        <x:v>25</x:v>
      </x:c>
      <x:c r="C52" s="115" t="str">
        <x:v>Sprechen und Zuhören</x:v>
      </x:c>
      <x:c r="D52" s="115" t="str">
        <x:v>Märchen lesen und gestalten: Hör- oder Leseeinstieg gestalten</x:v>
      </x:c>
      <x:c r="E52" s="115" t="str">
        <x:v>de_k5_st25_maerchen_einstieg</x:v>
      </x:c>
      <x:c r="F52" s="115" t="str">
        <x:v>schueler/de_k5_st25_maerchen_einstieg_app.html</x:v>
      </x:c>
      <x:c r="G52" s="115" t="str">
        <x:v>lehrer/de_k5_st25_maerchen_einstieg_orga.html</x:v>
      </x:c>
      <x:c r="H52" s="116" t="str">
        <x:v>de_05_maerchen_025_einstieg.html</x:v>
      </x:c>
    </x:row>
    <x:row r="53" ht="42" customHeight="1">
      <x:c r="A53" s="114" t="n">
        <x:v>5</x:v>
      </x:c>
      <x:c r="B53" s="115" t="n">
        <x:v>26</x:v>
      </x:c>
      <x:c r="C53" s="115" t="str">
        <x:v>Lesen/Umgang mit Texten</x:v>
      </x:c>
      <x:c r="D53" s="115" t="str">
        <x:v>Märchen lesen und gestalten: Den Text mit Lesestrategien erschließen</x:v>
      </x:c>
      <x:c r="E53" s="115" t="str">
        <x:v>de_k5_st26_maerchen_erschliessen</x:v>
      </x:c>
      <x:c r="F53" s="115" t="str">
        <x:v>schueler/de_k5_st26_maerchen_erschliessen_app.html</x:v>
      </x:c>
      <x:c r="G53" s="115" t="str">
        <x:v>lehrer/de_k5_st26_maerchen_erschliessen_orga.html</x:v>
      </x:c>
      <x:c r="H53" s="116" t="str">
        <x:v>de_05_maerchen_026_erschliessen.html</x:v>
      </x:c>
    </x:row>
    <x:row r="54" ht="42" customHeight="1">
      <x:c r="A54" s="114" t="n">
        <x:v>5</x:v>
      </x:c>
      <x:c r="B54" s="115" t="n">
        <x:v>27</x:v>
      </x:c>
      <x:c r="C54" s="115" t="str">
        <x:v>Lesen/Umgang mit Texten</x:v>
      </x:c>
      <x:c r="D54" s="115" t="str">
        <x:v>Märchen lesen und gestalten: Gattungsmerkmale erkennen</x:v>
      </x:c>
      <x:c r="E54" s="115" t="str">
        <x:v>de_k5_st27_maerchen_merkmale</x:v>
      </x:c>
      <x:c r="F54" s="115" t="str">
        <x:v>schueler/de_k5_st27_maerchen_merkmale_app.html</x:v>
      </x:c>
      <x:c r="G54" s="115" t="str">
        <x:v>lehrer/de_k5_st27_maerchen_merkmale_orga.html</x:v>
      </x:c>
      <x:c r="H54" s="116" t="str">
        <x:v>de_05_maerchen_027_merkmale.html</x:v>
      </x:c>
    </x:row>
    <x:row r="55" ht="42" customHeight="1">
      <x:c r="A55" s="114" t="n">
        <x:v>5</x:v>
      </x:c>
      <x:c r="B55" s="115" t="n">
        <x:v>28</x:v>
      </x:c>
      <x:c r="C55" s="115" t="str">
        <x:v>Lesen/Umgang mit Texten</x:v>
      </x:c>
      <x:c r="D55" s="115" t="str">
        <x:v>Märchen lesen und gestalten: Figuren, Handlung und Konflikt untersuchen</x:v>
      </x:c>
      <x:c r="E55" s="115" t="str">
        <x:v>de_k5_st28_maerchen_figuren_handlung</x:v>
      </x:c>
      <x:c r="F55" s="115" t="str">
        <x:v>schueler/de_k5_st28_maerchen_figuren_handlung_app.html</x:v>
      </x:c>
      <x:c r="G55" s="115" t="str">
        <x:v>lehrer/de_k5_st28_maerchen_figuren_handlung_orga.html</x:v>
      </x:c>
      <x:c r="H55" s="116" t="str">
        <x:v>de_05_maerchen_028_figuren_handlung.html</x:v>
      </x:c>
    </x:row>
    <x:row r="56" ht="42" customHeight="1">
      <x:c r="A56" s="114" t="n">
        <x:v>5</x:v>
      </x:c>
      <x:c r="B56" s="115" t="n">
        <x:v>29</x:v>
      </x:c>
      <x:c r="C56" s="115" t="str">
        <x:v>Sprache untersuchen</x:v>
      </x:c>
      <x:c r="D56" s="115" t="str">
        <x:v>Märchen lesen und gestalten: Sprache und Wirkung untersuchen</x:v>
      </x:c>
      <x:c r="E56" s="115" t="str">
        <x:v>de_k5_st29_maerchen_sprache_wirkung</x:v>
      </x:c>
      <x:c r="F56" s="115" t="str">
        <x:v>schueler/de_k5_st29_maerchen_sprache_wirkung_app.html</x:v>
      </x:c>
      <x:c r="G56" s="115" t="str">
        <x:v>lehrer/de_k5_st29_maerchen_sprache_wirkung_orga.html</x:v>
      </x:c>
      <x:c r="H56" s="116" t="str">
        <x:v>de_05_maerchen_029_sprache_wirkung.html</x:v>
      </x:c>
    </x:row>
    <x:row r="57" ht="42" customHeight="1">
      <x:c r="A57" s="114" t="n">
        <x:v>5</x:v>
      </x:c>
      <x:c r="B57" s="115" t="n">
        <x:v>30</x:v>
      </x:c>
      <x:c r="C57" s="115" t="str">
        <x:v>Schreiben</x:v>
      </x:c>
      <x:c r="D57" s="115" t="str">
        <x:v>Märchen lesen und gestalten: Eine Deutung oder Perspektive vorbereiten</x:v>
      </x:c>
      <x:c r="E57" s="115" t="str">
        <x:v>de_k5_st30_maerchen_deutung_planen</x:v>
      </x:c>
      <x:c r="F57" s="115" t="str">
        <x:v>schueler/de_k5_st30_maerchen_deutung_planen_app.html</x:v>
      </x:c>
      <x:c r="G57" s="115" t="str">
        <x:v>lehrer/de_k5_st30_maerchen_deutung_planen_orga.html</x:v>
      </x:c>
      <x:c r="H57" s="116" t="str">
        <x:v>de_05_maerchen_030_deutung_planen.html</x:v>
      </x:c>
    </x:row>
    <x:row r="58" ht="42" customHeight="1">
      <x:c r="A58" s="114" t="n">
        <x:v>5</x:v>
      </x:c>
      <x:c r="B58" s="115" t="n">
        <x:v>31</x:v>
      </x:c>
      <x:c r="C58" s="115" t="str">
        <x:v>Schreiben</x:v>
      </x:c>
      <x:c r="D58" s="115" t="str">
        <x:v>Märchen lesen und gestalten: Eigenes Märchen gestalten</x:v>
      </x:c>
      <x:c r="E58" s="115" t="str">
        <x:v>de_k5_st31_maerchen_produkt</x:v>
      </x:c>
      <x:c r="F58" s="115" t="str">
        <x:v>schueler/de_k5_st31_maerchen_produkt_app.html</x:v>
      </x:c>
      <x:c r="G58" s="115" t="str">
        <x:v>lehrer/de_k5_st31_maerchen_produkt_orga.html</x:v>
      </x:c>
      <x:c r="H58" s="116" t="str">
        <x:v>de_05_maerchen_031_produkt.html</x:v>
      </x:c>
    </x:row>
    <x:row r="59" ht="42" customHeight="1">
      <x:c r="A59" s="114" t="n">
        <x:v>5</x:v>
      </x:c>
      <x:c r="B59" s="115" t="n">
        <x:v>32</x:v>
      </x:c>
      <x:c r="C59" s="115" t="str">
        <x:v>Sprechen und Zuhören</x:v>
      </x:c>
      <x:c r="D59" s="115" t="str">
        <x:v>Märchen lesen und gestalten: Ergebnisse präsentieren und reflektieren</x:v>
      </x:c>
      <x:c r="E59" s="115" t="str">
        <x:v>de_k5_st32_maerchen_praesentieren</x:v>
      </x:c>
      <x:c r="F59" s="115" t="str">
        <x:v>schueler/de_k5_st32_maerchen_praesentieren_app.html</x:v>
      </x:c>
      <x:c r="G59" s="115" t="str">
        <x:v>lehrer/de_k5_st32_maerchen_praesentieren_orga.html</x:v>
      </x:c>
      <x:c r="H59" s="116" t="str">
        <x:v>de_05_maerchen_032_praesentieren.html</x:v>
      </x:c>
    </x:row>
    <x:row r="60" ht="42" customHeight="1">
      <x:c r="A60" s="114" t="n">
        <x:v>5</x:v>
      </x:c>
      <x:c r="B60" s="115" t="n">
        <x:v>57</x:v>
      </x:c>
      <x:c r="C60" s="115" t="str">
        <x:v>Sprechen und Zuhören</x:v>
      </x:c>
      <x:c r="D60" s="115" t="str">
        <x:v>Naturgedichte entdecken: Hör- oder Leseeinstieg gestalten</x:v>
      </x:c>
      <x:c r="E60" s="115" t="str">
        <x:v>de_k5_st57_naturlyrik_einstieg</x:v>
      </x:c>
      <x:c r="F60" s="115" t="str">
        <x:v>schueler/de_k5_st57_naturlyrik_einstieg_app.html</x:v>
      </x:c>
      <x:c r="G60" s="115" t="str">
        <x:v>lehrer/de_k5_st57_naturlyrik_einstieg_orga.html</x:v>
      </x:c>
      <x:c r="H60" s="116" t="str">
        <x:v>de_05_naturlyrik_057_einstieg.html</x:v>
      </x:c>
    </x:row>
    <x:row r="61" ht="42" customHeight="1">
      <x:c r="A61" s="114" t="n">
        <x:v>5</x:v>
      </x:c>
      <x:c r="B61" s="115" t="n">
        <x:v>58</x:v>
      </x:c>
      <x:c r="C61" s="115" t="str">
        <x:v>Lesen/Umgang mit Texten</x:v>
      </x:c>
      <x:c r="D61" s="115" t="str">
        <x:v>Naturgedichte entdecken: Den Text mit Lesestrategien erschließen</x:v>
      </x:c>
      <x:c r="E61" s="115" t="str">
        <x:v>de_k5_st58_naturlyrik_erschliessen</x:v>
      </x:c>
      <x:c r="F61" s="115" t="str">
        <x:v>schueler/de_k5_st58_naturlyrik_erschliessen_app.html</x:v>
      </x:c>
      <x:c r="G61" s="115" t="str">
        <x:v>lehrer/de_k5_st58_naturlyrik_erschliessen_orga.html</x:v>
      </x:c>
      <x:c r="H61" s="116" t="str">
        <x:v>de_05_naturlyrik_058_erschliessen.html</x:v>
      </x:c>
    </x:row>
    <x:row r="62" ht="42" customHeight="1">
      <x:c r="A62" s="114" t="n">
        <x:v>5</x:v>
      </x:c>
      <x:c r="B62" s="115" t="n">
        <x:v>59</x:v>
      </x:c>
      <x:c r="C62" s="115" t="str">
        <x:v>Lesen/Umgang mit Texten</x:v>
      </x:c>
      <x:c r="D62" s="115" t="str">
        <x:v>Naturgedichte entdecken: Gattungsmerkmale erkennen</x:v>
      </x:c>
      <x:c r="E62" s="115" t="str">
        <x:v>de_k5_st59_naturlyrik_merkmale</x:v>
      </x:c>
      <x:c r="F62" s="115" t="str">
        <x:v>schueler/de_k5_st59_naturlyrik_merkmale_app.html</x:v>
      </x:c>
      <x:c r="G62" s="115" t="str">
        <x:v>lehrer/de_k5_st59_naturlyrik_merkmale_orga.html</x:v>
      </x:c>
      <x:c r="H62" s="116" t="str">
        <x:v>de_05_naturlyrik_059_merkmale.html</x:v>
      </x:c>
    </x:row>
    <x:row r="63" ht="42" customHeight="1">
      <x:c r="A63" s="114" t="n">
        <x:v>5</x:v>
      </x:c>
      <x:c r="B63" s="115" t="n">
        <x:v>60</x:v>
      </x:c>
      <x:c r="C63" s="115" t="str">
        <x:v>Lesen/Umgang mit Texten</x:v>
      </x:c>
      <x:c r="D63" s="115" t="str">
        <x:v>Naturgedichte entdecken: Figuren, Handlung und Konflikt untersuchen</x:v>
      </x:c>
      <x:c r="E63" s="115" t="str">
        <x:v>de_k5_st60_naturlyrik_figuren_handlung</x:v>
      </x:c>
      <x:c r="F63" s="115" t="str">
        <x:v>schueler/de_k5_st60_naturlyrik_figuren_handlung_app.html</x:v>
      </x:c>
      <x:c r="G63" s="115" t="str">
        <x:v>lehrer/de_k5_st60_naturlyrik_figuren_handlung_orga.html</x:v>
      </x:c>
      <x:c r="H63" s="116" t="str">
        <x:v>de_05_naturlyrik_060_figuren_handlung.html</x:v>
      </x:c>
    </x:row>
    <x:row r="64" ht="42" customHeight="1">
      <x:c r="A64" s="114" t="n">
        <x:v>5</x:v>
      </x:c>
      <x:c r="B64" s="115" t="n">
        <x:v>61</x:v>
      </x:c>
      <x:c r="C64" s="115" t="str">
        <x:v>Sprache untersuchen</x:v>
      </x:c>
      <x:c r="D64" s="115" t="str">
        <x:v>Naturgedichte entdecken: Sprache und Wirkung untersuchen</x:v>
      </x:c>
      <x:c r="E64" s="115" t="str">
        <x:v>de_k5_st61_naturlyrik_sprache_wirkung</x:v>
      </x:c>
      <x:c r="F64" s="115" t="str">
        <x:v>schueler/de_k5_st61_naturlyrik_sprache_wirkung_app.html</x:v>
      </x:c>
      <x:c r="G64" s="115" t="str">
        <x:v>lehrer/de_k5_st61_naturlyrik_sprache_wirkung_orga.html</x:v>
      </x:c>
      <x:c r="H64" s="116" t="str">
        <x:v>de_05_naturlyrik_061_sprache_wirkung.html</x:v>
      </x:c>
    </x:row>
    <x:row r="65" ht="42" customHeight="1">
      <x:c r="A65" s="114" t="n">
        <x:v>5</x:v>
      </x:c>
      <x:c r="B65" s="115" t="n">
        <x:v>62</x:v>
      </x:c>
      <x:c r="C65" s="115" t="str">
        <x:v>Schreiben</x:v>
      </x:c>
      <x:c r="D65" s="115" t="str">
        <x:v>Naturgedichte entdecken: Eine Deutung oder Perspektive vorbereiten</x:v>
      </x:c>
      <x:c r="E65" s="115" t="str">
        <x:v>de_k5_st62_naturlyrik_deutung_planen</x:v>
      </x:c>
      <x:c r="F65" s="115" t="str">
        <x:v>schueler/de_k5_st62_naturlyrik_deutung_planen_app.html</x:v>
      </x:c>
      <x:c r="G65" s="115" t="str">
        <x:v>lehrer/de_k5_st62_naturlyrik_deutung_planen_orga.html</x:v>
      </x:c>
      <x:c r="H65" s="116" t="str">
        <x:v>de_05_naturlyrik_062_deutung_planen.html</x:v>
      </x:c>
    </x:row>
    <x:row r="66" ht="42" customHeight="1">
      <x:c r="A66" s="114" t="n">
        <x:v>5</x:v>
      </x:c>
      <x:c r="B66" s="115" t="n">
        <x:v>63</x:v>
      </x:c>
      <x:c r="C66" s="115" t="str">
        <x:v>Schreiben</x:v>
      </x:c>
      <x:c r="D66" s="115" t="str">
        <x:v>Naturgedichte entdecken: Gedichtvortrag und eigenes Gedicht gestalten</x:v>
      </x:c>
      <x:c r="E66" s="115" t="str">
        <x:v>de_k5_st63_naturlyrik_produkt</x:v>
      </x:c>
      <x:c r="F66" s="115" t="str">
        <x:v>schueler/de_k5_st63_naturlyrik_produkt_app.html</x:v>
      </x:c>
      <x:c r="G66" s="115" t="str">
        <x:v>lehrer/de_k5_st63_naturlyrik_produkt_orga.html</x:v>
      </x:c>
      <x:c r="H66" s="116" t="str">
        <x:v>de_05_naturlyrik_063_produkt.html</x:v>
      </x:c>
    </x:row>
    <x:row r="67" ht="42" customHeight="1">
      <x:c r="A67" s="114" t="n">
        <x:v>5</x:v>
      </x:c>
      <x:c r="B67" s="115" t="n">
        <x:v>64</x:v>
      </x:c>
      <x:c r="C67" s="115" t="str">
        <x:v>Sprechen und Zuhören</x:v>
      </x:c>
      <x:c r="D67" s="115" t="str">
        <x:v>Naturgedichte entdecken: Ergebnisse präsentieren und reflektieren</x:v>
      </x:c>
      <x:c r="E67" s="115" t="str">
        <x:v>de_k5_st64_naturlyrik_praesentieren</x:v>
      </x:c>
      <x:c r="F67" s="115" t="str">
        <x:v>schueler/de_k5_st64_naturlyrik_praesentieren_app.html</x:v>
      </x:c>
      <x:c r="G67" s="115" t="str">
        <x:v>lehrer/de_k5_st64_naturlyrik_praesentieren_orga.html</x:v>
      </x:c>
      <x:c r="H67" s="116" t="str">
        <x:v>de_05_naturlyrik_064_praesentieren.html</x:v>
      </x:c>
    </x:row>
    <x:row r="68" ht="42" customHeight="1">
      <x:c r="A68" s="114" t="n">
        <x:v>5</x:v>
      </x:c>
      <x:c r="B68" s="115" t="n">
        <x:v>33</x:v>
      </x:c>
      <x:c r="C68" s="115" t="str">
        <x:v>Sprache untersuchen</x:v>
      </x:c>
      <x:c r="D68" s="115" t="str">
        <x:v>Rechtschreibstrategien anwenden: Lernstand feststellen</x:v>
      </x:c>
      <x:c r="E68" s="115" t="str">
        <x:v>de_k5_st33_rechtschreibung_diagnose</x:v>
      </x:c>
      <x:c r="F68" s="115" t="str">
        <x:v>schueler/de_k5_st33_rechtschreibung_diagnose_app.html</x:v>
      </x:c>
      <x:c r="G68" s="115" t="str">
        <x:v>lehrer/de_k5_st33_rechtschreibung_diagnose_orga.html</x:v>
      </x:c>
      <x:c r="H68" s="116" t="str">
        <x:v>de_05_rechtschreibung_033_diagnose.html</x:v>
      </x:c>
    </x:row>
    <x:row r="69" ht="42" customHeight="1">
      <x:c r="A69" s="114" t="n">
        <x:v>5</x:v>
      </x:c>
      <x:c r="B69" s="115" t="n">
        <x:v>34</x:v>
      </x:c>
      <x:c r="C69" s="115" t="str">
        <x:v>Sprache untersuchen</x:v>
      </x:c>
      <x:c r="D69" s="115" t="str">
        <x:v>Rechtschreibstrategien anwenden: Grundbegriffe sichern</x:v>
      </x:c>
      <x:c r="E69" s="115" t="str">
        <x:v>de_k5_st34_rechtschreibung_grundbegriffe</x:v>
      </x:c>
      <x:c r="F69" s="115" t="str">
        <x:v>schueler/de_k5_st34_rechtschreibung_grundbegriffe_app.html</x:v>
      </x:c>
      <x:c r="G69" s="115" t="str">
        <x:v>lehrer/de_k5_st34_rechtschreibung_grundbegriffe_orga.html</x:v>
      </x:c>
      <x:c r="H69" s="116" t="str">
        <x:v>de_05_rechtschreibung_034_grundbegriffe.html</x:v>
      </x:c>
    </x:row>
    <x:row r="70" ht="42" customHeight="1">
      <x:c r="A70" s="114" t="n">
        <x:v>5</x:v>
      </x:c>
      <x:c r="B70" s="115" t="n">
        <x:v>35</x:v>
      </x:c>
      <x:c r="C70" s="115" t="str">
        <x:v>Sprache untersuchen</x:v>
      </x:c>
      <x:c r="D70" s="115" t="str">
        <x:v>Rechtschreibstrategien anwenden: Verfahren anwenden</x:v>
      </x:c>
      <x:c r="E70" s="115" t="str">
        <x:v>de_k5_st35_rechtschreibung_verfahren</x:v>
      </x:c>
      <x:c r="F70" s="115" t="str">
        <x:v>schueler/de_k5_st35_rechtschreibung_verfahren_app.html</x:v>
      </x:c>
      <x:c r="G70" s="115" t="str">
        <x:v>lehrer/de_k5_st35_rechtschreibung_verfahren_orga.html</x:v>
      </x:c>
      <x:c r="H70" s="116" t="str">
        <x:v>de_05_rechtschreibung_035_verfahren.html</x:v>
      </x:c>
    </x:row>
    <x:row r="71" ht="42" customHeight="1">
      <x:c r="A71" s="114" t="n">
        <x:v>5</x:v>
      </x:c>
      <x:c r="B71" s="115" t="n">
        <x:v>36</x:v>
      </x:c>
      <x:c r="C71" s="115" t="str">
        <x:v>Sprache untersuchen</x:v>
      </x:c>
      <x:c r="D71" s="115" t="str">
        <x:v>Rechtschreibstrategien anwenden: Formen und Funktionen untersuchen</x:v>
      </x:c>
      <x:c r="E71" s="115" t="str">
        <x:v>de_k5_st36_rechtschreibung_funktion</x:v>
      </x:c>
      <x:c r="F71" s="115" t="str">
        <x:v>schueler/de_k5_st36_rechtschreibung_funktion_app.html</x:v>
      </x:c>
      <x:c r="G71" s="115" t="str">
        <x:v>lehrer/de_k5_st36_rechtschreibung_funktion_orga.html</x:v>
      </x:c>
      <x:c r="H71" s="116" t="str">
        <x:v>de_05_rechtschreibung_036_funktion.html</x:v>
      </x:c>
    </x:row>
    <x:row r="72" ht="42" customHeight="1">
      <x:c r="A72" s="114" t="n">
        <x:v>5</x:v>
      </x:c>
      <x:c r="B72" s="115" t="n">
        <x:v>37</x:v>
      </x:c>
      <x:c r="C72" s="115" t="str">
        <x:v>Schreiben</x:v>
      </x:c>
      <x:c r="D72" s="115" t="str">
        <x:v>Rechtschreibstrategien anwenden: Wissen im eigenen Text nutzen</x:v>
      </x:c>
      <x:c r="E72" s="115" t="str">
        <x:v>de_k5_st37_rechtschreibung_anwenden</x:v>
      </x:c>
      <x:c r="F72" s="115" t="str">
        <x:v>schueler/de_k5_st37_rechtschreibung_anwenden_app.html</x:v>
      </x:c>
      <x:c r="G72" s="115" t="str">
        <x:v>lehrer/de_k5_st37_rechtschreibung_anwenden_orga.html</x:v>
      </x:c>
      <x:c r="H72" s="116" t="str">
        <x:v>de_05_rechtschreibung_037_anwenden.html</x:v>
      </x:c>
    </x:row>
    <x:row r="73" ht="42" customHeight="1">
      <x:c r="A73" s="114" t="n">
        <x:v>5</x:v>
      </x:c>
      <x:c r="B73" s="115" t="n">
        <x:v>38</x:v>
      </x:c>
      <x:c r="C73" s="115" t="str">
        <x:v>Sprache untersuchen</x:v>
      </x:c>
      <x:c r="D73" s="115" t="str">
        <x:v>Rechtschreibstrategien anwenden: Fehler finden und korrigieren</x:v>
      </x:c>
      <x:c r="E73" s="115" t="str">
        <x:v>de_k5_st38_rechtschreibung_fehler</x:v>
      </x:c>
      <x:c r="F73" s="115" t="str">
        <x:v>schueler/de_k5_st38_rechtschreibung_fehler_app.html</x:v>
      </x:c>
      <x:c r="G73" s="115" t="str">
        <x:v>lehrer/de_k5_st38_rechtschreibung_fehler_orga.html</x:v>
      </x:c>
      <x:c r="H73" s="116" t="str">
        <x:v>de_05_rechtschreibung_038_fehler.html</x:v>
      </x:c>
    </x:row>
    <x:row r="74" ht="42" customHeight="1">
      <x:c r="A74" s="114" t="n">
        <x:v>5</x:v>
      </x:c>
      <x:c r="B74" s="115" t="n">
        <x:v>39</x:v>
      </x:c>
      <x:c r="C74" s="115" t="str">
        <x:v>Sprache untersuchen</x:v>
      </x:c>
      <x:c r="D74" s="115" t="str">
        <x:v>Rechtschreibstrategien anwenden: Transfer auf unbekannte Beispiele</x:v>
      </x:c>
      <x:c r="E74" s="115" t="str">
        <x:v>de_k5_st39_rechtschreibung_transfer</x:v>
      </x:c>
      <x:c r="F74" s="115" t="str">
        <x:v>schueler/de_k5_st39_rechtschreibung_transfer_app.html</x:v>
      </x:c>
      <x:c r="G74" s="115" t="str">
        <x:v>lehrer/de_k5_st39_rechtschreibung_transfer_orga.html</x:v>
      </x:c>
      <x:c r="H74" s="116" t="str">
        <x:v>de_05_rechtschreibung_039_transfer.html</x:v>
      </x:c>
    </x:row>
    <x:row r="75" ht="42" customHeight="1">
      <x:c r="A75" s="114" t="n">
        <x:v>5</x:v>
      </x:c>
      <x:c r="B75" s="115" t="n">
        <x:v>40</x:v>
      </x:c>
      <x:c r="C75" s="115" t="str">
        <x:v>Schreiben</x:v>
      </x:c>
      <x:c r="D75" s="115" t="str">
        <x:v>Rechtschreibstrategien anwenden: Lernprodukt und Kompetenzcheck</x:v>
      </x:c>
      <x:c r="E75" s="115" t="str">
        <x:v>de_k5_st40_rechtschreibung_kompetenzcheck</x:v>
      </x:c>
      <x:c r="F75" s="115" t="str">
        <x:v>schueler/de_k5_st40_rechtschreibung_kompetenzcheck_app.html</x:v>
      </x:c>
      <x:c r="G75" s="115" t="str">
        <x:v>lehrer/de_k5_st40_rechtschreibung_kompetenzcheck_orga.html</x:v>
      </x:c>
      <x:c r="H75" s="116" t="str">
        <x:v>de_05_rechtschreibung_040_kompetenzcheck.html</x:v>
      </x:c>
    </x:row>
    <x:row r="76" ht="42" customHeight="1">
      <x:c r="A76" s="114" t="n">
        <x:v>5</x:v>
      </x:c>
      <x:c r="B76" s="115" t="n">
        <x:v>73</x:v>
      </x:c>
      <x:c r="C76" s="115" t="str">
        <x:v>Sprechen und Zuhören</x:v>
      </x:c>
      <x:c r="D76" s="115" t="str">
        <x:v>Sachtexte und Schaubilder erschließen: Vorwissen und Positionen klären</x:v>
      </x:c>
      <x:c r="E76" s="115" t="str">
        <x:v>de_k5_st73_sachtexte_einstieg</x:v>
      </x:c>
      <x:c r="F76" s="115" t="str">
        <x:v>schueler/de_k5_st73_sachtexte_einstieg_app.html</x:v>
      </x:c>
      <x:c r="G76" s="115" t="str">
        <x:v>lehrer/de_k5_st73_sachtexte_einstieg_orga.html</x:v>
      </x:c>
      <x:c r="H76" s="116" t="str">
        <x:v>de_05_sachtexte_073_einstieg.html</x:v>
      </x:c>
    </x:row>
    <x:row r="77" ht="42" customHeight="1">
      <x:c r="A77" s="114" t="n">
        <x:v>5</x:v>
      </x:c>
      <x:c r="B77" s="115" t="n">
        <x:v>74</x:v>
      </x:c>
      <x:c r="C77" s="115" t="str">
        <x:v>Lesen/Umgang mit Texten</x:v>
      </x:c>
      <x:c r="D77" s="115" t="str">
        <x:v>Sachtexte und Schaubilder erschließen: Quellen und Materialien erschließen</x:v>
      </x:c>
      <x:c r="E77" s="115" t="str">
        <x:v>de_k5_st74_sachtexte_quellen</x:v>
      </x:c>
      <x:c r="F77" s="115" t="str">
        <x:v>schueler/de_k5_st74_sachtexte_quellen_app.html</x:v>
      </x:c>
      <x:c r="G77" s="115" t="str">
        <x:v>lehrer/de_k5_st74_sachtexte_quellen_orga.html</x:v>
      </x:c>
      <x:c r="H77" s="116" t="str">
        <x:v>de_05_sachtexte_074_quellen.html</x:v>
      </x:c>
    </x:row>
    <x:row r="78" ht="42" customHeight="1">
      <x:c r="A78" s="114" t="n">
        <x:v>5</x:v>
      </x:c>
      <x:c r="B78" s="115" t="n">
        <x:v>75</x:v>
      </x:c>
      <x:c r="C78" s="115" t="str">
        <x:v>Lesen/Umgang mit Texten</x:v>
      </x:c>
      <x:c r="D78" s="115" t="str">
        <x:v>Sachtexte und Schaubilder erschließen: Qualitätskriterien anwenden</x:v>
      </x:c>
      <x:c r="E78" s="115" t="str">
        <x:v>de_k5_st75_sachtexte_kriterien</x:v>
      </x:c>
      <x:c r="F78" s="115" t="str">
        <x:v>schueler/de_k5_st75_sachtexte_kriterien_app.html</x:v>
      </x:c>
      <x:c r="G78" s="115" t="str">
        <x:v>lehrer/de_k5_st75_sachtexte_kriterien_orga.html</x:v>
      </x:c>
      <x:c r="H78" s="116" t="str">
        <x:v>de_05_sachtexte_075_kriterien.html</x:v>
      </x:c>
    </x:row>
    <x:row r="79" ht="42" customHeight="1">
      <x:c r="A79" s="114" t="n">
        <x:v>5</x:v>
      </x:c>
      <x:c r="B79" s="115" t="n">
        <x:v>76</x:v>
      </x:c>
      <x:c r="C79" s="115" t="str">
        <x:v>Lesen/Umgang mit Texten</x:v>
      </x:c>
      <x:c r="D79" s="115" t="str">
        <x:v>Sachtexte und Schaubilder erschließen: Darstellungen vergleichen</x:v>
      </x:c>
      <x:c r="E79" s="115" t="str">
        <x:v>de_k5_st76_sachtexte_vergleichen</x:v>
      </x:c>
      <x:c r="F79" s="115" t="str">
        <x:v>schueler/de_k5_st76_sachtexte_vergleichen_app.html</x:v>
      </x:c>
      <x:c r="G79" s="115" t="str">
        <x:v>lehrer/de_k5_st76_sachtexte_vergleichen_orga.html</x:v>
      </x:c>
      <x:c r="H79" s="116" t="str">
        <x:v>de_05_sachtexte_076_vergleichen.html</x:v>
      </x:c>
    </x:row>
    <x:row r="80" ht="42" customHeight="1">
      <x:c r="A80" s="114" t="n">
        <x:v>5</x:v>
      </x:c>
      <x:c r="B80" s="115" t="n">
        <x:v>77</x:v>
      </x:c>
      <x:c r="C80" s="115" t="str">
        <x:v>Schreiben</x:v>
      </x:c>
      <x:c r="D80" s="115" t="str">
        <x:v>Sachtexte und Schaubilder erschließen: Informationen prüfen und ordnen</x:v>
      </x:c>
      <x:c r="E80" s="115" t="str">
        <x:v>de_k5_st77_sachtexte_recherche</x:v>
      </x:c>
      <x:c r="F80" s="115" t="str">
        <x:v>schueler/de_k5_st77_sachtexte_recherche_app.html</x:v>
      </x:c>
      <x:c r="G80" s="115" t="str">
        <x:v>lehrer/de_k5_st77_sachtexte_recherche_orga.html</x:v>
      </x:c>
      <x:c r="H80" s="116" t="str">
        <x:v>de_05_sachtexte_077_recherche.html</x:v>
      </x:c>
    </x:row>
    <x:row r="81" ht="42" customHeight="1">
      <x:c r="A81" s="114" t="n">
        <x:v>5</x:v>
      </x:c>
      <x:c r="B81" s="115" t="n">
        <x:v>78</x:v>
      </x:c>
      <x:c r="C81" s="115" t="str">
        <x:v>Schreiben</x:v>
      </x:c>
      <x:c r="D81" s="115" t="str">
        <x:v>Sachtexte und Schaubilder erschließen: Produkt planen</x:v>
      </x:c>
      <x:c r="E81" s="115" t="str">
        <x:v>de_k5_st78_sachtexte_planen</x:v>
      </x:c>
      <x:c r="F81" s="115" t="str">
        <x:v>schueler/de_k5_st78_sachtexte_planen_app.html</x:v>
      </x:c>
      <x:c r="G81" s="115" t="str">
        <x:v>lehrer/de_k5_st78_sachtexte_planen_orga.html</x:v>
      </x:c>
      <x:c r="H81" s="116" t="str">
        <x:v>de_05_sachtexte_078_planen.html</x:v>
      </x:c>
    </x:row>
    <x:row r="82" ht="42" customHeight="1">
      <x:c r="A82" s="114" t="n">
        <x:v>5</x:v>
      </x:c>
      <x:c r="B82" s="115" t="n">
        <x:v>79</x:v>
      </x:c>
      <x:c r="C82" s="115" t="str">
        <x:v>Schreiben</x:v>
      </x:c>
      <x:c r="D82" s="115" t="str">
        <x:v>Sachtexte und Schaubilder erschließen: Produkt erstellen</x:v>
      </x:c>
      <x:c r="E82" s="115" t="str">
        <x:v>de_k5_st79_sachtexte_erstellen</x:v>
      </x:c>
      <x:c r="F82" s="115" t="str">
        <x:v>schueler/de_k5_st79_sachtexte_erstellen_app.html</x:v>
      </x:c>
      <x:c r="G82" s="115" t="str">
        <x:v>lehrer/de_k5_st79_sachtexte_erstellen_orga.html</x:v>
      </x:c>
      <x:c r="H82" s="116" t="str">
        <x:v>de_05_sachtexte_079_erstellen.html</x:v>
      </x:c>
    </x:row>
    <x:row r="83" ht="42" customHeight="1">
      <x:c r="A83" s="114" t="n">
        <x:v>5</x:v>
      </x:c>
      <x:c r="B83" s="115" t="n">
        <x:v>80</x:v>
      </x:c>
      <x:c r="C83" s="115" t="str">
        <x:v>Sprechen und Zuhören</x:v>
      </x:c>
      <x:c r="D83" s="115" t="str">
        <x:v>Sachtexte und Schaubilder erschließen: Präsentieren und reflektieren</x:v>
      </x:c>
      <x:c r="E83" s="115" t="str">
        <x:v>de_k5_st80_sachtexte_reflexion</x:v>
      </x:c>
      <x:c r="F83" s="115" t="str">
        <x:v>schueler/de_k5_st80_sachtexte_reflexion_app.html</x:v>
      </x:c>
      <x:c r="G83" s="115" t="str">
        <x:v>lehrer/de_k5_st80_sachtexte_reflexion_orga.html</x:v>
      </x:c>
      <x:c r="H83" s="116" t="str">
        <x:v>de_05_sachtexte_080_reflexion.html</x:v>
      </x:c>
    </x:row>
    <x:row r="84" ht="42" customHeight="1">
      <x:c r="A84" s="114" t="n">
        <x:v>5</x:v>
      </x:c>
      <x:c r="B84" s="115" t="n">
        <x:v>41</x:v>
      </x:c>
      <x:c r="C84" s="115" t="str">
        <x:v>Sprechen und Zuhören</x:v>
      </x:c>
      <x:c r="D84" s="115" t="str">
        <x:v>Sagen aus Thüringen und der Antike: Hör- oder Leseeinstieg gestalten</x:v>
      </x:c>
      <x:c r="E84" s="115" t="str">
        <x:v>de_k5_st41_sagen_einstieg</x:v>
      </x:c>
      <x:c r="F84" s="115" t="str">
        <x:v>schueler/de_k5_st41_sagen_einstieg_app.html</x:v>
      </x:c>
      <x:c r="G84" s="115" t="str">
        <x:v>lehrer/de_k5_st41_sagen_einstieg_orga.html</x:v>
      </x:c>
      <x:c r="H84" s="116" t="str">
        <x:v>de_05_sagen_041_einstieg.html</x:v>
      </x:c>
    </x:row>
    <x:row r="85" ht="42" customHeight="1">
      <x:c r="A85" s="114" t="n">
        <x:v>5</x:v>
      </x:c>
      <x:c r="B85" s="115" t="n">
        <x:v>42</x:v>
      </x:c>
      <x:c r="C85" s="115" t="str">
        <x:v>Lesen/Umgang mit Texten</x:v>
      </x:c>
      <x:c r="D85" s="115" t="str">
        <x:v>Sagen aus Thüringen und der Antike: Den Text mit Lesestrategien erschließen</x:v>
      </x:c>
      <x:c r="E85" s="115" t="str">
        <x:v>de_k5_st42_sagen_erschliessen</x:v>
      </x:c>
      <x:c r="F85" s="115" t="str">
        <x:v>schueler/de_k5_st42_sagen_erschliessen_app.html</x:v>
      </x:c>
      <x:c r="G85" s="115" t="str">
        <x:v>lehrer/de_k5_st42_sagen_erschliessen_orga.html</x:v>
      </x:c>
      <x:c r="H85" s="116" t="str">
        <x:v>de_05_sagen_042_erschliessen.html</x:v>
      </x:c>
    </x:row>
    <x:row r="86" ht="42" customHeight="1">
      <x:c r="A86" s="114" t="n">
        <x:v>5</x:v>
      </x:c>
      <x:c r="B86" s="115" t="n">
        <x:v>43</x:v>
      </x:c>
      <x:c r="C86" s="115" t="str">
        <x:v>Lesen/Umgang mit Texten</x:v>
      </x:c>
      <x:c r="D86" s="115" t="str">
        <x:v>Sagen aus Thüringen und der Antike: Gattungsmerkmale erkennen</x:v>
      </x:c>
      <x:c r="E86" s="115" t="str">
        <x:v>de_k5_st43_sagen_merkmale</x:v>
      </x:c>
      <x:c r="F86" s="115" t="str">
        <x:v>schueler/de_k5_st43_sagen_merkmale_app.html</x:v>
      </x:c>
      <x:c r="G86" s="115" t="str">
        <x:v>lehrer/de_k5_st43_sagen_merkmale_orga.html</x:v>
      </x:c>
      <x:c r="H86" s="116" t="str">
        <x:v>de_05_sagen_043_merkmale.html</x:v>
      </x:c>
    </x:row>
    <x:row r="87" ht="42" customHeight="1">
      <x:c r="A87" s="114" t="n">
        <x:v>5</x:v>
      </x:c>
      <x:c r="B87" s="115" t="n">
        <x:v>44</x:v>
      </x:c>
      <x:c r="C87" s="115" t="str">
        <x:v>Lesen/Umgang mit Texten</x:v>
      </x:c>
      <x:c r="D87" s="115" t="str">
        <x:v>Sagen aus Thüringen und der Antike: Figuren, Handlung und Konflikt untersuchen</x:v>
      </x:c>
      <x:c r="E87" s="115" t="str">
        <x:v>de_k5_st44_sagen_figuren_handlung</x:v>
      </x:c>
      <x:c r="F87" s="115" t="str">
        <x:v>schueler/de_k5_st44_sagen_figuren_handlung_app.html</x:v>
      </x:c>
      <x:c r="G87" s="115" t="str">
        <x:v>lehrer/de_k5_st44_sagen_figuren_handlung_orga.html</x:v>
      </x:c>
      <x:c r="H87" s="116" t="str">
        <x:v>de_05_sagen_044_figuren_handlung.html</x:v>
      </x:c>
    </x:row>
    <x:row r="88" ht="42" customHeight="1">
      <x:c r="A88" s="114" t="n">
        <x:v>5</x:v>
      </x:c>
      <x:c r="B88" s="115" t="n">
        <x:v>45</x:v>
      </x:c>
      <x:c r="C88" s="115" t="str">
        <x:v>Sprache untersuchen</x:v>
      </x:c>
      <x:c r="D88" s="115" t="str">
        <x:v>Sagen aus Thüringen und der Antike: Sprache und Wirkung untersuchen</x:v>
      </x:c>
      <x:c r="E88" s="115" t="str">
        <x:v>de_k5_st45_sagen_sprache_wirkung</x:v>
      </x:c>
      <x:c r="F88" s="115" t="str">
        <x:v>schueler/de_k5_st45_sagen_sprache_wirkung_app.html</x:v>
      </x:c>
      <x:c r="G88" s="115" t="str">
        <x:v>lehrer/de_k5_st45_sagen_sprache_wirkung_orga.html</x:v>
      </x:c>
      <x:c r="H88" s="116" t="str">
        <x:v>de_05_sagen_045_sprache_wirkung.html</x:v>
      </x:c>
    </x:row>
    <x:row r="89" ht="42" customHeight="1">
      <x:c r="A89" s="114" t="n">
        <x:v>5</x:v>
      </x:c>
      <x:c r="B89" s="115" t="n">
        <x:v>46</x:v>
      </x:c>
      <x:c r="C89" s="115" t="str">
        <x:v>Schreiben</x:v>
      </x:c>
      <x:c r="D89" s="115" t="str">
        <x:v>Sagen aus Thüringen und der Antike: Eine Deutung oder Perspektive vorbereiten</x:v>
      </x:c>
      <x:c r="E89" s="115" t="str">
        <x:v>de_k5_st46_sagen_deutung_planen</x:v>
      </x:c>
      <x:c r="F89" s="115" t="str">
        <x:v>schueler/de_k5_st46_sagen_deutung_planen_app.html</x:v>
      </x:c>
      <x:c r="G89" s="115" t="str">
        <x:v>lehrer/de_k5_st46_sagen_deutung_planen_orga.html</x:v>
      </x:c>
      <x:c r="H89" s="116" t="str">
        <x:v>de_05_sagen_046_deutung_planen.html</x:v>
      </x:c>
    </x:row>
    <x:row r="90" ht="42" customHeight="1">
      <x:c r="A90" s="114" t="n">
        <x:v>5</x:v>
      </x:c>
      <x:c r="B90" s="115" t="n">
        <x:v>47</x:v>
      </x:c>
      <x:c r="C90" s="115" t="str">
        <x:v>Schreiben</x:v>
      </x:c>
      <x:c r="D90" s="115" t="str">
        <x:v>Sagen aus Thüringen und der Antike: Sagenkarte oder Nacherzählung gestalten</x:v>
      </x:c>
      <x:c r="E90" s="115" t="str">
        <x:v>de_k5_st47_sagen_produkt</x:v>
      </x:c>
      <x:c r="F90" s="115" t="str">
        <x:v>schueler/de_k5_st47_sagen_produkt_app.html</x:v>
      </x:c>
      <x:c r="G90" s="115" t="str">
        <x:v>lehrer/de_k5_st47_sagen_produkt_orga.html</x:v>
      </x:c>
      <x:c r="H90" s="116" t="str">
        <x:v>de_05_sagen_047_produkt.html</x:v>
      </x:c>
    </x:row>
    <x:row r="91" ht="42" customHeight="1">
      <x:c r="A91" s="114" t="n">
        <x:v>5</x:v>
      </x:c>
      <x:c r="B91" s="115" t="n">
        <x:v>48</x:v>
      </x:c>
      <x:c r="C91" s="115" t="str">
        <x:v>Sprechen und Zuhören</x:v>
      </x:c>
      <x:c r="D91" s="115" t="str">
        <x:v>Sagen aus Thüringen und der Antike: Ergebnisse präsentieren und reflektieren</x:v>
      </x:c>
      <x:c r="E91" s="115" t="str">
        <x:v>de_k5_st48_sagen_praesentieren</x:v>
      </x:c>
      <x:c r="F91" s="115" t="str">
        <x:v>schueler/de_k5_st48_sagen_praesentieren_app.html</x:v>
      </x:c>
      <x:c r="G91" s="115" t="str">
        <x:v>lehrer/de_k5_st48_sagen_praesentieren_orga.html</x:v>
      </x:c>
      <x:c r="H91" s="116" t="str">
        <x:v>de_05_sagen_048_praesentieren.html</x:v>
      </x:c>
    </x:row>
    <x:row r="92" ht="42" customHeight="1">
      <x:c r="A92" s="114" t="n">
        <x:v>5</x:v>
      </x:c>
      <x:c r="B92" s="115" t="n">
        <x:v>17</x:v>
      </x:c>
      <x:c r="C92" s="115" t="str">
        <x:v>Sprache untersuchen</x:v>
      </x:c>
      <x:c r="D92" s="115" t="str">
        <x:v>Wortarten als Bausteine des Satzes: Lernstand feststellen</x:v>
      </x:c>
      <x:c r="E92" s="115" t="str">
        <x:v>de_k5_st17_wortarten_diagnose</x:v>
      </x:c>
      <x:c r="F92" s="115" t="str">
        <x:v>schueler/de_k5_st17_wortarten_diagnose_app.html</x:v>
      </x:c>
      <x:c r="G92" s="115" t="str">
        <x:v>lehrer/de_k5_st17_wortarten_diagnose_orga.html</x:v>
      </x:c>
      <x:c r="H92" s="116" t="str">
        <x:v>de_05_wortarten_017_diagnose.html</x:v>
      </x:c>
    </x:row>
    <x:row r="93" ht="42" customHeight="1">
      <x:c r="A93" s="114" t="n">
        <x:v>5</x:v>
      </x:c>
      <x:c r="B93" s="115" t="n">
        <x:v>18</x:v>
      </x:c>
      <x:c r="C93" s="115" t="str">
        <x:v>Sprache untersuchen</x:v>
      </x:c>
      <x:c r="D93" s="115" t="str">
        <x:v>Wortarten als Bausteine des Satzes: Grundbegriffe sichern</x:v>
      </x:c>
      <x:c r="E93" s="115" t="str">
        <x:v>de_k5_st18_wortarten_grundbegriffe</x:v>
      </x:c>
      <x:c r="F93" s="115" t="str">
        <x:v>schueler/de_k5_st18_wortarten_grundbegriffe_app.html</x:v>
      </x:c>
      <x:c r="G93" s="115" t="str">
        <x:v>lehrer/de_k5_st18_wortarten_grundbegriffe_orga.html</x:v>
      </x:c>
      <x:c r="H93" s="116" t="str">
        <x:v>de_05_wortarten_018_grundbegriffe.html</x:v>
      </x:c>
    </x:row>
    <x:row r="94" ht="42" customHeight="1">
      <x:c r="A94" s="114" t="n">
        <x:v>5</x:v>
      </x:c>
      <x:c r="B94" s="115" t="n">
        <x:v>19</x:v>
      </x:c>
      <x:c r="C94" s="115" t="str">
        <x:v>Sprache untersuchen</x:v>
      </x:c>
      <x:c r="D94" s="115" t="str">
        <x:v>Wortarten als Bausteine des Satzes: Verfahren anwenden</x:v>
      </x:c>
      <x:c r="E94" s="115" t="str">
        <x:v>de_k5_st19_wortarten_verfahren</x:v>
      </x:c>
      <x:c r="F94" s="115" t="str">
        <x:v>schueler/de_k5_st19_wortarten_verfahren_app.html</x:v>
      </x:c>
      <x:c r="G94" s="115" t="str">
        <x:v>lehrer/de_k5_st19_wortarten_verfahren_orga.html</x:v>
      </x:c>
      <x:c r="H94" s="116" t="str">
        <x:v>de_05_wortarten_019_verfahren.html</x:v>
      </x:c>
    </x:row>
    <x:row r="95" ht="42" customHeight="1">
      <x:c r="A95" s="114" t="n">
        <x:v>5</x:v>
      </x:c>
      <x:c r="B95" s="115" t="n">
        <x:v>20</x:v>
      </x:c>
      <x:c r="C95" s="115" t="str">
        <x:v>Sprache untersuchen</x:v>
      </x:c>
      <x:c r="D95" s="115" t="str">
        <x:v>Wortarten als Bausteine des Satzes: Formen und Funktionen untersuchen</x:v>
      </x:c>
      <x:c r="E95" s="115" t="str">
        <x:v>de_k5_st20_wortarten_funktion</x:v>
      </x:c>
      <x:c r="F95" s="115" t="str">
        <x:v>schueler/de_k5_st20_wortarten_funktion_app.html</x:v>
      </x:c>
      <x:c r="G95" s="115" t="str">
        <x:v>lehrer/de_k5_st20_wortarten_funktion_orga.html</x:v>
      </x:c>
      <x:c r="H95" s="116" t="str">
        <x:v>de_05_wortarten_020_funktion.html</x:v>
      </x:c>
    </x:row>
    <x:row r="96" ht="42" customHeight="1">
      <x:c r="A96" s="114" t="n">
        <x:v>5</x:v>
      </x:c>
      <x:c r="B96" s="115" t="n">
        <x:v>21</x:v>
      </x:c>
      <x:c r="C96" s="115" t="str">
        <x:v>Schreiben</x:v>
      </x:c>
      <x:c r="D96" s="115" t="str">
        <x:v>Wortarten als Bausteine des Satzes: Wissen im eigenen Text nutzen</x:v>
      </x:c>
      <x:c r="E96" s="115" t="str">
        <x:v>de_k5_st21_wortarten_anwenden</x:v>
      </x:c>
      <x:c r="F96" s="115" t="str">
        <x:v>schueler/de_k5_st21_wortarten_anwenden_app.html</x:v>
      </x:c>
      <x:c r="G96" s="115" t="str">
        <x:v>lehrer/de_k5_st21_wortarten_anwenden_orga.html</x:v>
      </x:c>
      <x:c r="H96" s="116" t="str">
        <x:v>de_05_wortarten_021_anwenden.html</x:v>
      </x:c>
    </x:row>
    <x:row r="97" ht="42" customHeight="1">
      <x:c r="A97" s="114" t="n">
        <x:v>5</x:v>
      </x:c>
      <x:c r="B97" s="115" t="n">
        <x:v>22</x:v>
      </x:c>
      <x:c r="C97" s="115" t="str">
        <x:v>Sprache untersuchen</x:v>
      </x:c>
      <x:c r="D97" s="115" t="str">
        <x:v>Wortarten als Bausteine des Satzes: Fehler finden und korrigieren</x:v>
      </x:c>
      <x:c r="E97" s="115" t="str">
        <x:v>de_k5_st22_wortarten_fehler</x:v>
      </x:c>
      <x:c r="F97" s="115" t="str">
        <x:v>schueler/de_k5_st22_wortarten_fehler_app.html</x:v>
      </x:c>
      <x:c r="G97" s="115" t="str">
        <x:v>lehrer/de_k5_st22_wortarten_fehler_orga.html</x:v>
      </x:c>
      <x:c r="H97" s="116" t="str">
        <x:v>de_05_wortarten_022_fehler.html</x:v>
      </x:c>
    </x:row>
    <x:row r="98" ht="42" customHeight="1">
      <x:c r="A98" s="114" t="n">
        <x:v>5</x:v>
      </x:c>
      <x:c r="B98" s="115" t="n">
        <x:v>23</x:v>
      </x:c>
      <x:c r="C98" s="115" t="str">
        <x:v>Sprache untersuchen</x:v>
      </x:c>
      <x:c r="D98" s="115" t="str">
        <x:v>Wortarten als Bausteine des Satzes: Transfer auf unbekannte Beispiele</x:v>
      </x:c>
      <x:c r="E98" s="115" t="str">
        <x:v>de_k5_st23_wortarten_transfer</x:v>
      </x:c>
      <x:c r="F98" s="115" t="str">
        <x:v>schueler/de_k5_st23_wortarten_transfer_app.html</x:v>
      </x:c>
      <x:c r="G98" s="115" t="str">
        <x:v>lehrer/de_k5_st23_wortarten_transfer_orga.html</x:v>
      </x:c>
      <x:c r="H98" s="116" t="str">
        <x:v>de_05_wortarten_023_transfer.html</x:v>
      </x:c>
    </x:row>
    <x:row r="99" ht="42" customHeight="1">
      <x:c r="A99" s="114" t="n">
        <x:v>5</x:v>
      </x:c>
      <x:c r="B99" s="115" t="n">
        <x:v>24</x:v>
      </x:c>
      <x:c r="C99" s="115" t="str">
        <x:v>Schreiben</x:v>
      </x:c>
      <x:c r="D99" s="115" t="str">
        <x:v>Wortarten als Bausteine des Satzes: Lernprodukt und Kompetenzcheck</x:v>
      </x:c>
      <x:c r="E99" s="115" t="str">
        <x:v>de_k5_st24_wortarten_kompetenzcheck</x:v>
      </x:c>
      <x:c r="F99" s="115" t="str">
        <x:v>schueler/de_k5_st24_wortarten_kompetenzcheck_app.html</x:v>
      </x:c>
      <x:c r="G99" s="115" t="str">
        <x:v>lehrer/de_k5_st24_wortarten_kompetenzcheck_orga.html</x:v>
      </x:c>
      <x:c r="H99" s="116" t="str">
        <x:v>de_05_wortarten_024_kompetenzcheck.html</x:v>
      </x:c>
    </x:row>
    <x:row r="100" ht="42" customHeight="1">
      <x:c r="A100" s="114" t="n">
        <x:v>6</x:v>
      </x:c>
      <x:c r="B100" s="115" t="n">
        <x:v>17</x:v>
      </x:c>
      <x:c r="C100" s="115" t="str">
        <x:v>Lesen/Umgang mit Texten</x:v>
      </x:c>
      <x:c r="D100" s="115" t="str">
        <x:v>Sachlich berichten: Beispieltexte untersuchen</x:v>
      </x:c>
      <x:c r="E100" s="115" t="str">
        <x:v>de_k6_st17_bericht_beispiel</x:v>
      </x:c>
      <x:c r="F100" s="115" t="str">
        <x:v>schueler/de_k6_st17_bericht_beispiel_app.html</x:v>
      </x:c>
      <x:c r="G100" s="115" t="str">
        <x:v>lehrer/de_k6_st17_bericht_beispiel_orga.html</x:v>
      </x:c>
      <x:c r="H100" s="116" t="str">
        <x:v>de_06_bericht_017_beispiel.html</x:v>
      </x:c>
    </x:row>
    <x:row r="101" ht="42" customHeight="1">
      <x:c r="A101" s="114" t="n">
        <x:v>6</x:v>
      </x:c>
      <x:c r="B101" s="115" t="n">
        <x:v>18</x:v>
      </x:c>
      <x:c r="C101" s="115" t="str">
        <x:v>Schreiben</x:v>
      </x:c>
      <x:c r="D101" s="115" t="str">
        <x:v>Sachlich berichten: Schreibziel und Kriterien klären</x:v>
      </x:c>
      <x:c r="E101" s="115" t="str">
        <x:v>de_k6_st18_bericht_kriterien</x:v>
      </x:c>
      <x:c r="F101" s="115" t="str">
        <x:v>schueler/de_k6_st18_bericht_kriterien_app.html</x:v>
      </x:c>
      <x:c r="G101" s="115" t="str">
        <x:v>lehrer/de_k6_st18_bericht_kriterien_orga.html</x:v>
      </x:c>
      <x:c r="H101" s="116" t="str">
        <x:v>de_06_bericht_018_kriterien.html</x:v>
      </x:c>
    </x:row>
    <x:row r="102" ht="42" customHeight="1">
      <x:c r="A102" s="114" t="n">
        <x:v>6</x:v>
      </x:c>
      <x:c r="B102" s="115" t="n">
        <x:v>19</x:v>
      </x:c>
      <x:c r="C102" s="115" t="str">
        <x:v>Lesen/Umgang mit Texten</x:v>
      </x:c>
      <x:c r="D102" s="115" t="str">
        <x:v>Sachlich berichten: Inhalte auswählen und ordnen</x:v>
      </x:c>
      <x:c r="E102" s="115" t="str">
        <x:v>de_k6_st19_bericht_inhalte_ordnen</x:v>
      </x:c>
      <x:c r="F102" s="115" t="str">
        <x:v>schueler/de_k6_st19_bericht_inhalte_ordnen_app.html</x:v>
      </x:c>
      <x:c r="G102" s="115" t="str">
        <x:v>lehrer/de_k6_st19_bericht_inhalte_ordnen_orga.html</x:v>
      </x:c>
      <x:c r="H102" s="116" t="str">
        <x:v>de_06_bericht_019_inhalte_ordnen.html</x:v>
      </x:c>
    </x:row>
    <x:row r="103" ht="42" customHeight="1">
      <x:c r="A103" s="114" t="n">
        <x:v>6</x:v>
      </x:c>
      <x:c r="B103" s="115" t="n">
        <x:v>20</x:v>
      </x:c>
      <x:c r="C103" s="115" t="str">
        <x:v>Sprache untersuchen</x:v>
      </x:c>
      <x:c r="D103" s="115" t="str">
        <x:v>Sachlich berichten: Passende sprachliche Mittel verwenden</x:v>
      </x:c>
      <x:c r="E103" s="115" t="str">
        <x:v>de_k6_st20_bericht_sprachmittel</x:v>
      </x:c>
      <x:c r="F103" s="115" t="str">
        <x:v>schueler/de_k6_st20_bericht_sprachmittel_app.html</x:v>
      </x:c>
      <x:c r="G103" s="115" t="str">
        <x:v>lehrer/de_k6_st20_bericht_sprachmittel_orga.html</x:v>
      </x:c>
      <x:c r="H103" s="116" t="str">
        <x:v>de_06_bericht_020_sprachmittel.html</x:v>
      </x:c>
    </x:row>
    <x:row r="104" ht="42" customHeight="1">
      <x:c r="A104" s="114" t="n">
        <x:v>6</x:v>
      </x:c>
      <x:c r="B104" s="115" t="n">
        <x:v>21</x:v>
      </x:c>
      <x:c r="C104" s="115" t="str">
        <x:v>Schreiben</x:v>
      </x:c>
      <x:c r="D104" s="115" t="str">
        <x:v>Sachlich berichten: Einen Schreibplan erstellen</x:v>
      </x:c>
      <x:c r="E104" s="115" t="str">
        <x:v>de_k6_st21_bericht_schreibplan</x:v>
      </x:c>
      <x:c r="F104" s="115" t="str">
        <x:v>schueler/de_k6_st21_bericht_schreibplan_app.html</x:v>
      </x:c>
      <x:c r="G104" s="115" t="str">
        <x:v>lehrer/de_k6_st21_bericht_schreibplan_orga.html</x:v>
      </x:c>
      <x:c r="H104" s="116" t="str">
        <x:v>de_06_bericht_021_schreibplan.html</x:v>
      </x:c>
    </x:row>
    <x:row r="105" ht="42" customHeight="1">
      <x:c r="A105" s="114" t="n">
        <x:v>6</x:v>
      </x:c>
      <x:c r="B105" s="115" t="n">
        <x:v>22</x:v>
      </x:c>
      <x:c r="C105" s="115" t="str">
        <x:v>Schreiben</x:v>
      </x:c>
      <x:c r="D105" s="115" t="str">
        <x:v>Sachlich berichten: Einen ersten Textentwurf verfassen</x:v>
      </x:c>
      <x:c r="E105" s="115" t="str">
        <x:v>de_k6_st22_bericht_entwurf</x:v>
      </x:c>
      <x:c r="F105" s="115" t="str">
        <x:v>schueler/de_k6_st22_bericht_entwurf_app.html</x:v>
      </x:c>
      <x:c r="G105" s="115" t="str">
        <x:v>lehrer/de_k6_st22_bericht_entwurf_orga.html</x:v>
      </x:c>
      <x:c r="H105" s="116" t="str">
        <x:v>de_06_bericht_022_entwurf.html</x:v>
      </x:c>
    </x:row>
    <x:row r="106" ht="42" customHeight="1">
      <x:c r="A106" s="114" t="n">
        <x:v>6</x:v>
      </x:c>
      <x:c r="B106" s="115" t="n">
        <x:v>23</x:v>
      </x:c>
      <x:c r="C106" s="115" t="str">
        <x:v>Schreiben</x:v>
      </x:c>
      <x:c r="D106" s="115" t="str">
        <x:v>Sachlich berichten: Text kriteriengeleitet überarbeiten</x:v>
      </x:c>
      <x:c r="E106" s="115" t="str">
        <x:v>de_k6_st23_bericht_ueberarbeiten</x:v>
      </x:c>
      <x:c r="F106" s="115" t="str">
        <x:v>schueler/de_k6_st23_bericht_ueberarbeiten_app.html</x:v>
      </x:c>
      <x:c r="G106" s="115" t="str">
        <x:v>lehrer/de_k6_st23_bericht_ueberarbeiten_orga.html</x:v>
      </x:c>
      <x:c r="H106" s="116" t="str">
        <x:v>de_06_bericht_023_ueberarbeiten.html</x:v>
      </x:c>
    </x:row>
    <x:row r="107" ht="42" customHeight="1">
      <x:c r="A107" s="114" t="n">
        <x:v>6</x:v>
      </x:c>
      <x:c r="B107" s="115" t="n">
        <x:v>24</x:v>
      </x:c>
      <x:c r="C107" s="115" t="str">
        <x:v>Sprechen und Zuhören</x:v>
      </x:c>
      <x:c r="D107" s="115" t="str">
        <x:v>Sachlich berichten: Texte vorstellen und bewerten</x:v>
      </x:c>
      <x:c r="E107" s="115" t="str">
        <x:v>de_k6_st24_bericht_vorstellen</x:v>
      </x:c>
      <x:c r="F107" s="115" t="str">
        <x:v>schueler/de_k6_st24_bericht_vorstellen_app.html</x:v>
      </x:c>
      <x:c r="G107" s="115" t="str">
        <x:v>lehrer/de_k6_st24_bericht_vorstellen_orga.html</x:v>
      </x:c>
      <x:c r="H107" s="116" t="str">
        <x:v>de_06_bericht_024_vorstellen.html</x:v>
      </x:c>
    </x:row>
    <x:row r="108" ht="42" customHeight="1">
      <x:c r="A108" s="114" t="n">
        <x:v>6</x:v>
      </x:c>
      <x:c r="B108" s="115" t="n">
        <x:v>9</x:v>
      </x:c>
      <x:c r="C108" s="115" t="str">
        <x:v>Sprechen und Zuhören</x:v>
      </x:c>
      <x:c r="D108" s="115" t="str">
        <x:v>Fabeln verstehen und schreiben: Hör- oder Leseeinstieg gestalten</x:v>
      </x:c>
      <x:c r="E108" s="115" t="str">
        <x:v>de_k6_st09_fabeln_einstieg</x:v>
      </x:c>
      <x:c r="F108" s="115" t="str">
        <x:v>schueler/de_k6_st09_fabeln_einstieg_app.html</x:v>
      </x:c>
      <x:c r="G108" s="115" t="str">
        <x:v>lehrer/de_k6_st09_fabeln_einstieg_orga.html</x:v>
      </x:c>
      <x:c r="H108" s="116" t="str">
        <x:v>de_06_fabeln_009_einstieg.html</x:v>
      </x:c>
    </x:row>
    <x:row r="109" ht="42" customHeight="1">
      <x:c r="A109" s="114" t="n">
        <x:v>6</x:v>
      </x:c>
      <x:c r="B109" s="115" t="n">
        <x:v>10</x:v>
      </x:c>
      <x:c r="C109" s="115" t="str">
        <x:v>Lesen/Umgang mit Texten</x:v>
      </x:c>
      <x:c r="D109" s="115" t="str">
        <x:v>Fabeln verstehen und schreiben: Den Text mit Lesestrategien erschließen</x:v>
      </x:c>
      <x:c r="E109" s="115" t="str">
        <x:v>de_k6_st10_fabeln_erschliessen</x:v>
      </x:c>
      <x:c r="F109" s="115" t="str">
        <x:v>schueler/de_k6_st10_fabeln_erschliessen_app.html</x:v>
      </x:c>
      <x:c r="G109" s="115" t="str">
        <x:v>lehrer/de_k6_st10_fabeln_erschliessen_orga.html</x:v>
      </x:c>
      <x:c r="H109" s="116" t="str">
        <x:v>de_06_fabeln_010_erschliessen.html</x:v>
      </x:c>
    </x:row>
    <x:row r="110" ht="42" customHeight="1">
      <x:c r="A110" s="114" t="n">
        <x:v>6</x:v>
      </x:c>
      <x:c r="B110" s="115" t="n">
        <x:v>11</x:v>
      </x:c>
      <x:c r="C110" s="115" t="str">
        <x:v>Lesen/Umgang mit Texten</x:v>
      </x:c>
      <x:c r="D110" s="115" t="str">
        <x:v>Fabeln verstehen und schreiben: Gattungsmerkmale erkennen</x:v>
      </x:c>
      <x:c r="E110" s="115" t="str">
        <x:v>de_k6_st11_fabeln_merkmale</x:v>
      </x:c>
      <x:c r="F110" s="115" t="str">
        <x:v>schueler/de_k6_st11_fabeln_merkmale_app.html</x:v>
      </x:c>
      <x:c r="G110" s="115" t="str">
        <x:v>lehrer/de_k6_st11_fabeln_merkmale_orga.html</x:v>
      </x:c>
      <x:c r="H110" s="116" t="str">
        <x:v>de_06_fabeln_011_merkmale.html</x:v>
      </x:c>
    </x:row>
    <x:row r="111" ht="42" customHeight="1">
      <x:c r="A111" s="114" t="n">
        <x:v>6</x:v>
      </x:c>
      <x:c r="B111" s="115" t="n">
        <x:v>12</x:v>
      </x:c>
      <x:c r="C111" s="115" t="str">
        <x:v>Lesen/Umgang mit Texten</x:v>
      </x:c>
      <x:c r="D111" s="115" t="str">
        <x:v>Fabeln verstehen und schreiben: Figuren, Handlung und Konflikt untersuchen</x:v>
      </x:c>
      <x:c r="E111" s="115" t="str">
        <x:v>de_k6_st12_fabeln_figuren_handlung</x:v>
      </x:c>
      <x:c r="F111" s="115" t="str">
        <x:v>schueler/de_k6_st12_fabeln_figuren_handlung_app.html</x:v>
      </x:c>
      <x:c r="G111" s="115" t="str">
        <x:v>lehrer/de_k6_st12_fabeln_figuren_handlung_orga.html</x:v>
      </x:c>
      <x:c r="H111" s="116" t="str">
        <x:v>de_06_fabeln_012_figuren_handlung.html</x:v>
      </x:c>
    </x:row>
    <x:row r="112" ht="42" customHeight="1">
      <x:c r="A112" s="114" t="n">
        <x:v>6</x:v>
      </x:c>
      <x:c r="B112" s="115" t="n">
        <x:v>13</x:v>
      </x:c>
      <x:c r="C112" s="115" t="str">
        <x:v>Sprache untersuchen</x:v>
      </x:c>
      <x:c r="D112" s="115" t="str">
        <x:v>Fabeln verstehen und schreiben: Sprache und Wirkung untersuchen</x:v>
      </x:c>
      <x:c r="E112" s="115" t="str">
        <x:v>de_k6_st13_fabeln_sprache_wirkung</x:v>
      </x:c>
      <x:c r="F112" s="115" t="str">
        <x:v>schueler/de_k6_st13_fabeln_sprache_wirkung_app.html</x:v>
      </x:c>
      <x:c r="G112" s="115" t="str">
        <x:v>lehrer/de_k6_st13_fabeln_sprache_wirkung_orga.html</x:v>
      </x:c>
      <x:c r="H112" s="116" t="str">
        <x:v>de_06_fabeln_013_sprache_wirkung.html</x:v>
      </x:c>
    </x:row>
    <x:row r="113" ht="42" customHeight="1">
      <x:c r="A113" s="114" t="n">
        <x:v>6</x:v>
      </x:c>
      <x:c r="B113" s="115" t="n">
        <x:v>14</x:v>
      </x:c>
      <x:c r="C113" s="115" t="str">
        <x:v>Schreiben</x:v>
      </x:c>
      <x:c r="D113" s="115" t="str">
        <x:v>Fabeln verstehen und schreiben: Eine Deutung oder Perspektive vorbereiten</x:v>
      </x:c>
      <x:c r="E113" s="115" t="str">
        <x:v>de_k6_st14_fabeln_deutung_planen</x:v>
      </x:c>
      <x:c r="F113" s="115" t="str">
        <x:v>schueler/de_k6_st14_fabeln_deutung_planen_app.html</x:v>
      </x:c>
      <x:c r="G113" s="115" t="str">
        <x:v>lehrer/de_k6_st14_fabeln_deutung_planen_orga.html</x:v>
      </x:c>
      <x:c r="H113" s="116" t="str">
        <x:v>de_06_fabeln_014_deutung_planen.html</x:v>
      </x:c>
    </x:row>
    <x:row r="114" ht="42" customHeight="1">
      <x:c r="A114" s="114" t="n">
        <x:v>6</x:v>
      </x:c>
      <x:c r="B114" s="115" t="n">
        <x:v>15</x:v>
      </x:c>
      <x:c r="C114" s="115" t="str">
        <x:v>Schreiben</x:v>
      </x:c>
      <x:c r="D114" s="115" t="str">
        <x:v>Fabeln verstehen und schreiben: Eigene Fabel gestalten</x:v>
      </x:c>
      <x:c r="E114" s="115" t="str">
        <x:v>de_k6_st15_fabeln_produkt</x:v>
      </x:c>
      <x:c r="F114" s="115" t="str">
        <x:v>schueler/de_k6_st15_fabeln_produkt_app.html</x:v>
      </x:c>
      <x:c r="G114" s="115" t="str">
        <x:v>lehrer/de_k6_st15_fabeln_produkt_orga.html</x:v>
      </x:c>
      <x:c r="H114" s="116" t="str">
        <x:v>de_06_fabeln_015_produkt.html</x:v>
      </x:c>
    </x:row>
    <x:row r="115" ht="42" customHeight="1">
      <x:c r="A115" s="114" t="n">
        <x:v>6</x:v>
      </x:c>
      <x:c r="B115" s="115" t="n">
        <x:v>16</x:v>
      </x:c>
      <x:c r="C115" s="115" t="str">
        <x:v>Sprechen und Zuhören</x:v>
      </x:c>
      <x:c r="D115" s="115" t="str">
        <x:v>Fabeln verstehen und schreiben: Ergebnisse präsentieren und reflektieren</x:v>
      </x:c>
      <x:c r="E115" s="115" t="str">
        <x:v>de_k6_st16_fabeln_praesentieren</x:v>
      </x:c>
      <x:c r="F115" s="115" t="str">
        <x:v>schueler/de_k6_st16_fabeln_praesentieren_app.html</x:v>
      </x:c>
      <x:c r="G115" s="115" t="str">
        <x:v>lehrer/de_k6_st16_fabeln_praesentieren_orga.html</x:v>
      </x:c>
      <x:c r="H115" s="116" t="str">
        <x:v>de_06_fabeln_016_praesentieren.html</x:v>
      </x:c>
    </x:row>
    <x:row r="116" ht="42" customHeight="1">
      <x:c r="A116" s="114" t="n">
        <x:v>6</x:v>
      </x:c>
      <x:c r="B116" s="115" t="n">
        <x:v>57</x:v>
      </x:c>
      <x:c r="C116" s="115" t="str">
        <x:v>Sprechen und Zuhören</x:v>
      </x:c>
      <x:c r="D116" s="115" t="str">
        <x:v>Gedichte, Moritaten und Balladenvorstufen: Hör- oder Leseeinstieg gestalten</x:v>
      </x:c>
      <x:c r="E116" s="115" t="str">
        <x:v>de_k6_st57_gedichte_einstieg</x:v>
      </x:c>
      <x:c r="F116" s="115" t="str">
        <x:v>schueler/de_k6_st57_gedichte_einstieg_app.html</x:v>
      </x:c>
      <x:c r="G116" s="115" t="str">
        <x:v>lehrer/de_k6_st57_gedichte_einstieg_orga.html</x:v>
      </x:c>
      <x:c r="H116" s="116" t="str">
        <x:v>de_06_gedichte_057_einstieg.html</x:v>
      </x:c>
    </x:row>
    <x:row r="117" ht="42" customHeight="1">
      <x:c r="A117" s="114" t="n">
        <x:v>6</x:v>
      </x:c>
      <x:c r="B117" s="115" t="n">
        <x:v>58</x:v>
      </x:c>
      <x:c r="C117" s="115" t="str">
        <x:v>Lesen/Umgang mit Texten</x:v>
      </x:c>
      <x:c r="D117" s="115" t="str">
        <x:v>Gedichte, Moritaten und Balladenvorstufen: Den Text mit Lesestrategien erschließen</x:v>
      </x:c>
      <x:c r="E117" s="115" t="str">
        <x:v>de_k6_st58_gedichte_erschliessen</x:v>
      </x:c>
      <x:c r="F117" s="115" t="str">
        <x:v>schueler/de_k6_st58_gedichte_erschliessen_app.html</x:v>
      </x:c>
      <x:c r="G117" s="115" t="str">
        <x:v>lehrer/de_k6_st58_gedichte_erschliessen_orga.html</x:v>
      </x:c>
      <x:c r="H117" s="116" t="str">
        <x:v>de_06_gedichte_058_erschliessen.html</x:v>
      </x:c>
    </x:row>
    <x:row r="118" ht="42" customHeight="1">
      <x:c r="A118" s="114" t="n">
        <x:v>6</x:v>
      </x:c>
      <x:c r="B118" s="115" t="n">
        <x:v>59</x:v>
      </x:c>
      <x:c r="C118" s="115" t="str">
        <x:v>Lesen/Umgang mit Texten</x:v>
      </x:c>
      <x:c r="D118" s="115" t="str">
        <x:v>Gedichte, Moritaten und Balladenvorstufen: Gattungsmerkmale erkennen</x:v>
      </x:c>
      <x:c r="E118" s="115" t="str">
        <x:v>de_k6_st59_gedichte_merkmale</x:v>
      </x:c>
      <x:c r="F118" s="115" t="str">
        <x:v>schueler/de_k6_st59_gedichte_merkmale_app.html</x:v>
      </x:c>
      <x:c r="G118" s="115" t="str">
        <x:v>lehrer/de_k6_st59_gedichte_merkmale_orga.html</x:v>
      </x:c>
      <x:c r="H118" s="116" t="str">
        <x:v>de_06_gedichte_059_merkmale.html</x:v>
      </x:c>
    </x:row>
    <x:row r="119" ht="42" customHeight="1">
      <x:c r="A119" s="114" t="n">
        <x:v>6</x:v>
      </x:c>
      <x:c r="B119" s="115" t="n">
        <x:v>60</x:v>
      </x:c>
      <x:c r="C119" s="115" t="str">
        <x:v>Lesen/Umgang mit Texten</x:v>
      </x:c>
      <x:c r="D119" s="115" t="str">
        <x:v>Gedichte, Moritaten und Balladenvorstufen: Figuren, Handlung und Konflikt untersuchen</x:v>
      </x:c>
      <x:c r="E119" s="115" t="str">
        <x:v>de_k6_st60_gedichte_figuren_handlung</x:v>
      </x:c>
      <x:c r="F119" s="115" t="str">
        <x:v>schueler/de_k6_st60_gedichte_figuren_handlung_app.html</x:v>
      </x:c>
      <x:c r="G119" s="115" t="str">
        <x:v>lehrer/de_k6_st60_gedichte_figuren_handlung_orga.html</x:v>
      </x:c>
      <x:c r="H119" s="116" t="str">
        <x:v>de_06_gedichte_060_figuren_handlung.html</x:v>
      </x:c>
    </x:row>
    <x:row r="120" ht="42" customHeight="1">
      <x:c r="A120" s="114" t="n">
        <x:v>6</x:v>
      </x:c>
      <x:c r="B120" s="115" t="n">
        <x:v>61</x:v>
      </x:c>
      <x:c r="C120" s="115" t="str">
        <x:v>Sprache untersuchen</x:v>
      </x:c>
      <x:c r="D120" s="115" t="str">
        <x:v>Gedichte, Moritaten und Balladenvorstufen: Sprache und Wirkung untersuchen</x:v>
      </x:c>
      <x:c r="E120" s="115" t="str">
        <x:v>de_k6_st61_gedichte_sprache_wirkung</x:v>
      </x:c>
      <x:c r="F120" s="115" t="str">
        <x:v>schueler/de_k6_st61_gedichte_sprache_wirkung_app.html</x:v>
      </x:c>
      <x:c r="G120" s="115" t="str">
        <x:v>lehrer/de_k6_st61_gedichte_sprache_wirkung_orga.html</x:v>
      </x:c>
      <x:c r="H120" s="116" t="str">
        <x:v>de_06_gedichte_061_sprache_wirkung.html</x:v>
      </x:c>
    </x:row>
    <x:row r="121" ht="42" customHeight="1">
      <x:c r="A121" s="114" t="n">
        <x:v>6</x:v>
      </x:c>
      <x:c r="B121" s="115" t="n">
        <x:v>62</x:v>
      </x:c>
      <x:c r="C121" s="115" t="str">
        <x:v>Schreiben</x:v>
      </x:c>
      <x:c r="D121" s="115" t="str">
        <x:v>Gedichte, Moritaten und Balladenvorstufen: Eine Deutung oder Perspektive vorbereiten</x:v>
      </x:c>
      <x:c r="E121" s="115" t="str">
        <x:v>de_k6_st62_gedichte_deutung_planen</x:v>
      </x:c>
      <x:c r="F121" s="115" t="str">
        <x:v>schueler/de_k6_st62_gedichte_deutung_planen_app.html</x:v>
      </x:c>
      <x:c r="G121" s="115" t="str">
        <x:v>lehrer/de_k6_st62_gedichte_deutung_planen_orga.html</x:v>
      </x:c>
      <x:c r="H121" s="116" t="str">
        <x:v>de_06_gedichte_062_deutung_planen.html</x:v>
      </x:c>
    </x:row>
    <x:row r="122" ht="42" customHeight="1">
      <x:c r="A122" s="114" t="n">
        <x:v>6</x:v>
      </x:c>
      <x:c r="B122" s="115" t="n">
        <x:v>63</x:v>
      </x:c>
      <x:c r="C122" s="115" t="str">
        <x:v>Schreiben</x:v>
      </x:c>
      <x:c r="D122" s="115" t="str">
        <x:v>Gedichte, Moritaten und Balladenvorstufen: Vortrag oder Hörfassung gestalten</x:v>
      </x:c>
      <x:c r="E122" s="115" t="str">
        <x:v>de_k6_st63_gedichte_produkt</x:v>
      </x:c>
      <x:c r="F122" s="115" t="str">
        <x:v>schueler/de_k6_st63_gedichte_produkt_app.html</x:v>
      </x:c>
      <x:c r="G122" s="115" t="str">
        <x:v>lehrer/de_k6_st63_gedichte_produkt_orga.html</x:v>
      </x:c>
      <x:c r="H122" s="116" t="str">
        <x:v>de_06_gedichte_063_produkt.html</x:v>
      </x:c>
    </x:row>
    <x:row r="123" ht="42" customHeight="1">
      <x:c r="A123" s="114" t="n">
        <x:v>6</x:v>
      </x:c>
      <x:c r="B123" s="115" t="n">
        <x:v>64</x:v>
      </x:c>
      <x:c r="C123" s="115" t="str">
        <x:v>Sprechen und Zuhören</x:v>
      </x:c>
      <x:c r="D123" s="115" t="str">
        <x:v>Gedichte, Moritaten und Balladenvorstufen: Ergebnisse präsentieren und reflektieren</x:v>
      </x:c>
      <x:c r="E123" s="115" t="str">
        <x:v>de_k6_st64_gedichte_praesentieren</x:v>
      </x:c>
      <x:c r="F123" s="115" t="str">
        <x:v>schueler/de_k6_st64_gedichte_praesentieren_app.html</x:v>
      </x:c>
      <x:c r="G123" s="115" t="str">
        <x:v>lehrer/de_k6_st64_gedichte_praesentieren_orga.html</x:v>
      </x:c>
      <x:c r="H123" s="116" t="str">
        <x:v>de_06_gedichte_064_praesentieren.html</x:v>
      </x:c>
    </x:row>
    <x:row r="124" ht="42" customHeight="1">
      <x:c r="A124" s="114" t="n">
        <x:v>6</x:v>
      </x:c>
      <x:c r="B124" s="115" t="n">
        <x:v>33</x:v>
      </x:c>
      <x:c r="C124" s="115" t="str">
        <x:v>Sprechen und Zuhören</x:v>
      </x:c>
      <x:c r="D124" s="115" t="str">
        <x:v>Jugendroman: Konflikte und Entscheidungen: Hör- oder Leseeinstieg gestalten</x:v>
      </x:c>
      <x:c r="E124" s="115" t="str">
        <x:v>de_k6_st33_jugendroman_einstieg</x:v>
      </x:c>
      <x:c r="F124" s="115" t="str">
        <x:v>schueler/de_k6_st33_jugendroman_einstieg_app.html</x:v>
      </x:c>
      <x:c r="G124" s="115" t="str">
        <x:v>lehrer/de_k6_st33_jugendroman_einstieg_orga.html</x:v>
      </x:c>
      <x:c r="H124" s="116" t="str">
        <x:v>de_06_jugendroman_033_einstieg.html</x:v>
      </x:c>
    </x:row>
    <x:row r="125" ht="42" customHeight="1">
      <x:c r="A125" s="114" t="n">
        <x:v>6</x:v>
      </x:c>
      <x:c r="B125" s="115" t="n">
        <x:v>34</x:v>
      </x:c>
      <x:c r="C125" s="115" t="str">
        <x:v>Lesen/Umgang mit Texten</x:v>
      </x:c>
      <x:c r="D125" s="115" t="str">
        <x:v>Jugendroman: Konflikte und Entscheidungen: den Text mit Lesestrategien erschließen</x:v>
      </x:c>
      <x:c r="E125" s="115" t="str">
        <x:v>de_k6_st34_jugendroman_erschliessen</x:v>
      </x:c>
      <x:c r="F125" s="115" t="str">
        <x:v>schueler/de_k6_st34_jugendroman_erschliessen_app.html</x:v>
      </x:c>
      <x:c r="G125" s="115" t="str">
        <x:v>lehrer/de_k6_st34_jugendroman_erschliessen_orga.html</x:v>
      </x:c>
      <x:c r="H125" s="116" t="str">
        <x:v>de_06_jugendroman_034_erschliessen.html</x:v>
      </x:c>
    </x:row>
    <x:row r="126" ht="42" customHeight="1">
      <x:c r="A126" s="114" t="n">
        <x:v>6</x:v>
      </x:c>
      <x:c r="B126" s="115" t="n">
        <x:v>35</x:v>
      </x:c>
      <x:c r="C126" s="115" t="str">
        <x:v>Lesen/Umgang mit Texten</x:v>
      </x:c>
      <x:c r="D126" s="115" t="str">
        <x:v>Jugendroman: Konflikte und Entscheidungen: Gattungsmerkmale erkennen</x:v>
      </x:c>
      <x:c r="E126" s="115" t="str">
        <x:v>de_k6_st35_jugendroman_merkmale</x:v>
      </x:c>
      <x:c r="F126" s="115" t="str">
        <x:v>schueler/de_k6_st35_jugendroman_merkmale_app.html</x:v>
      </x:c>
      <x:c r="G126" s="115" t="str">
        <x:v>lehrer/de_k6_st35_jugendroman_merkmale_orga.html</x:v>
      </x:c>
      <x:c r="H126" s="116" t="str">
        <x:v>de_06_jugendroman_035_merkmale.html</x:v>
      </x:c>
    </x:row>
    <x:row r="127" ht="42" customHeight="1">
      <x:c r="A127" s="114" t="n">
        <x:v>6</x:v>
      </x:c>
      <x:c r="B127" s="115" t="n">
        <x:v>36</x:v>
      </x:c>
      <x:c r="C127" s="115" t="str">
        <x:v>Lesen/Umgang mit Texten</x:v>
      </x:c>
      <x:c r="D127" s="115" t="str">
        <x:v>Jugendroman: Konflikte und Entscheidungen: Figuren, Handlung und Konflikt untersuchen</x:v>
      </x:c>
      <x:c r="E127" s="115" t="str">
        <x:v>de_k6_st36_jugendroman_figuren_handlung</x:v>
      </x:c>
      <x:c r="F127" s="115" t="str">
        <x:v>schueler/de_k6_st36_jugendroman_figuren_handlung_app.html</x:v>
      </x:c>
      <x:c r="G127" s="115" t="str">
        <x:v>lehrer/de_k6_st36_jugendroman_figuren_handlung_orga.html</x:v>
      </x:c>
      <x:c r="H127" s="116" t="str">
        <x:v>de_06_jugendroman_036_figuren_handlung.html</x:v>
      </x:c>
    </x:row>
    <x:row r="128" ht="42" customHeight="1">
      <x:c r="A128" s="114" t="n">
        <x:v>6</x:v>
      </x:c>
      <x:c r="B128" s="115" t="n">
        <x:v>37</x:v>
      </x:c>
      <x:c r="C128" s="115" t="str">
        <x:v>Sprache untersuchen</x:v>
      </x:c>
      <x:c r="D128" s="115" t="str">
        <x:v>Jugendroman: Konflikte und Entscheidungen: Sprache und Wirkung untersuchen</x:v>
      </x:c>
      <x:c r="E128" s="115" t="str">
        <x:v>de_k6_st37_jugendroman_sprache_wirkung</x:v>
      </x:c>
      <x:c r="F128" s="115" t="str">
        <x:v>schueler/de_k6_st37_jugendroman_sprache_wirkung_app.html</x:v>
      </x:c>
      <x:c r="G128" s="115" t="str">
        <x:v>lehrer/de_k6_st37_jugendroman_sprache_wirkung_orga.html</x:v>
      </x:c>
      <x:c r="H128" s="116" t="str">
        <x:v>de_06_jugendroman_037_sprache_wirkung.html</x:v>
      </x:c>
    </x:row>
    <x:row r="129" ht="42" customHeight="1">
      <x:c r="A129" s="114" t="n">
        <x:v>6</x:v>
      </x:c>
      <x:c r="B129" s="115" t="n">
        <x:v>38</x:v>
      </x:c>
      <x:c r="C129" s="115" t="str">
        <x:v>Schreiben</x:v>
      </x:c>
      <x:c r="D129" s="115" t="str">
        <x:v>Jugendroman: Konflikte und Entscheidungen: eine Deutung oder Perspektive vorbereiten</x:v>
      </x:c>
      <x:c r="E129" s="115" t="str">
        <x:v>de_k6_st38_jugendroman_deutung_planen</x:v>
      </x:c>
      <x:c r="F129" s="115" t="str">
        <x:v>schueler/de_k6_st38_jugendroman_deutung_planen_app.html</x:v>
      </x:c>
      <x:c r="G129" s="115" t="str">
        <x:v>lehrer/de_k6_st38_jugendroman_deutung_planen_orga.html</x:v>
      </x:c>
      <x:c r="H129" s="116" t="str">
        <x:v>de_06_jugendroman_038_deutung_planen.html</x:v>
      </x:c>
    </x:row>
    <x:row r="130" ht="42" customHeight="1">
      <x:c r="A130" s="114" t="n">
        <x:v>6</x:v>
      </x:c>
      <x:c r="B130" s="115" t="n">
        <x:v>39</x:v>
      </x:c>
      <x:c r="C130" s="115" t="str">
        <x:v>Schreiben</x:v>
      </x:c>
      <x:c r="D130" s="115" t="str">
        <x:v>Jugendroman: Konflikte und Entscheidungen: Lesetagebuch und Figurengespräch gestalten</x:v>
      </x:c>
      <x:c r="E130" s="115" t="str">
        <x:v>de_k6_st39_jugendroman_produkt</x:v>
      </x:c>
      <x:c r="F130" s="115" t="str">
        <x:v>schueler/de_k6_st39_jugendroman_produkt_app.html</x:v>
      </x:c>
      <x:c r="G130" s="115" t="str">
        <x:v>lehrer/de_k6_st39_jugendroman_produkt_orga.html</x:v>
      </x:c>
      <x:c r="H130" s="116" t="str">
        <x:v>de_06_jugendroman_039_produkt.html</x:v>
      </x:c>
    </x:row>
    <x:row r="131" ht="42" customHeight="1">
      <x:c r="A131" s="114" t="n">
        <x:v>6</x:v>
      </x:c>
      <x:c r="B131" s="115" t="n">
        <x:v>40</x:v>
      </x:c>
      <x:c r="C131" s="115" t="str">
        <x:v>Sprechen und Zuhören</x:v>
      </x:c>
      <x:c r="D131" s="115" t="str">
        <x:v>Jugendroman: Konflikte und Entscheidungen: Ergebnisse präsentieren und reflektieren</x:v>
      </x:c>
      <x:c r="E131" s="115" t="str">
        <x:v>de_k6_st40_jugendroman_praesentieren</x:v>
      </x:c>
      <x:c r="F131" s="115" t="str">
        <x:v>schueler/de_k6_st40_jugendroman_praesentieren_app.html</x:v>
      </x:c>
      <x:c r="G131" s="115" t="str">
        <x:v>lehrer/de_k6_st40_jugendroman_praesentieren_orga.html</x:v>
      </x:c>
      <x:c r="H131" s="116" t="str">
        <x:v>de_06_jugendroman_040_praesentieren.html</x:v>
      </x:c>
    </x:row>
    <x:row r="132" ht="42" customHeight="1">
      <x:c r="A132" s="114" t="n">
        <x:v>6</x:v>
      </x:c>
      <x:c r="B132" s="115" t="n">
        <x:v>1</x:v>
      </x:c>
      <x:c r="C132" s="115" t="str">
        <x:v>Sprechen und Zuhören</x:v>
      </x:c>
      <x:c r="D132" s="115" t="str">
        <x:v>Lesestrategien und Lernorganisation: Vorwissen und Positionen klären</x:v>
      </x:c>
      <x:c r="E132" s="115" t="str">
        <x:v>de_k6_st01_lesestrategien_einstieg</x:v>
      </x:c>
      <x:c r="F132" s="115" t="str">
        <x:v>schueler/de_k6_st01_lesestrategien_einstieg_app.html</x:v>
      </x:c>
      <x:c r="G132" s="115" t="str">
        <x:v>lehrer/de_k6_st01_lesestrategien_einstieg_orga.html</x:v>
      </x:c>
      <x:c r="H132" s="116" t="str">
        <x:v>de_06_lesestrategien_001_einstieg.html</x:v>
      </x:c>
    </x:row>
    <x:row r="133" ht="42" customHeight="1">
      <x:c r="A133" s="114" t="n">
        <x:v>6</x:v>
      </x:c>
      <x:c r="B133" s="115" t="n">
        <x:v>2</x:v>
      </x:c>
      <x:c r="C133" s="115" t="str">
        <x:v>Lesen/Umgang mit Texten</x:v>
      </x:c>
      <x:c r="D133" s="115" t="str">
        <x:v>Lesestrategien und Lernorganisation: Quellen und Materialien erschließen</x:v>
      </x:c>
      <x:c r="E133" s="115" t="str">
        <x:v>de_k6_st02_lesestrategien_quellen</x:v>
      </x:c>
      <x:c r="F133" s="115" t="str">
        <x:v>schueler/de_k6_st02_lesestrategien_quellen_app.html</x:v>
      </x:c>
      <x:c r="G133" s="115" t="str">
        <x:v>lehrer/de_k6_st02_lesestrategien_quellen_orga.html</x:v>
      </x:c>
      <x:c r="H133" s="116" t="str">
        <x:v>de_06_lesestrategien_002_quellen.html</x:v>
      </x:c>
    </x:row>
    <x:row r="134" ht="42" customHeight="1">
      <x:c r="A134" s="114" t="n">
        <x:v>6</x:v>
      </x:c>
      <x:c r="B134" s="115" t="n">
        <x:v>3</x:v>
      </x:c>
      <x:c r="C134" s="115" t="str">
        <x:v>Lesen/Umgang mit Texten</x:v>
      </x:c>
      <x:c r="D134" s="115" t="str">
        <x:v>Lesestrategien und Lernorganisation: Qualitätskriterien anwenden</x:v>
      </x:c>
      <x:c r="E134" s="115" t="str">
        <x:v>de_k6_st03_lesestrategien_kriterien</x:v>
      </x:c>
      <x:c r="F134" s="115" t="str">
        <x:v>schueler/de_k6_st03_lesestrategien_kriterien_app.html</x:v>
      </x:c>
      <x:c r="G134" s="115" t="str">
        <x:v>lehrer/de_k6_st03_lesestrategien_kriterien_orga.html</x:v>
      </x:c>
      <x:c r="H134" s="116" t="str">
        <x:v>de_06_lesestrategien_003_kriterien.html</x:v>
      </x:c>
    </x:row>
    <x:row r="135" ht="42" customHeight="1">
      <x:c r="A135" s="114" t="n">
        <x:v>6</x:v>
      </x:c>
      <x:c r="B135" s="115" t="n">
        <x:v>4</x:v>
      </x:c>
      <x:c r="C135" s="115" t="str">
        <x:v>Lesen/Umgang mit Texten</x:v>
      </x:c>
      <x:c r="D135" s="115" t="str">
        <x:v>Lesestrategien und Lernorganisation: Darstellungen vergleichen</x:v>
      </x:c>
      <x:c r="E135" s="115" t="str">
        <x:v>de_k6_st04_lesestrategien_vergleichen</x:v>
      </x:c>
      <x:c r="F135" s="115" t="str">
        <x:v>schueler/de_k6_st04_lesestrategien_vergleichen_app.html</x:v>
      </x:c>
      <x:c r="G135" s="115" t="str">
        <x:v>lehrer/de_k6_st04_lesestrategien_vergleichen_orga.html</x:v>
      </x:c>
      <x:c r="H135" s="116" t="str">
        <x:v>de_06_lesestrategien_004_vergleichen.html</x:v>
      </x:c>
    </x:row>
    <x:row r="136" ht="42" customHeight="1">
      <x:c r="A136" s="114" t="n">
        <x:v>6</x:v>
      </x:c>
      <x:c r="B136" s="115" t="n">
        <x:v>5</x:v>
      </x:c>
      <x:c r="C136" s="115" t="str">
        <x:v>Schreiben</x:v>
      </x:c>
      <x:c r="D136" s="115" t="str">
        <x:v>Lesestrategien und Lernorganisation: Informationen prüfen und ordnen</x:v>
      </x:c>
      <x:c r="E136" s="115" t="str">
        <x:v>de_k6_st05_lesestrategien_recherche</x:v>
      </x:c>
      <x:c r="F136" s="115" t="str">
        <x:v>schueler/de_k6_st05_lesestrategien_recherche_app.html</x:v>
      </x:c>
      <x:c r="G136" s="115" t="str">
        <x:v>lehrer/de_k6_st05_lesestrategien_recherche_orga.html</x:v>
      </x:c>
      <x:c r="H136" s="116" t="str">
        <x:v>de_06_lesestrategien_005_recherche.html</x:v>
      </x:c>
    </x:row>
    <x:row r="137" ht="42" customHeight="1">
      <x:c r="A137" s="114" t="n">
        <x:v>6</x:v>
      </x:c>
      <x:c r="B137" s="115" t="n">
        <x:v>6</x:v>
      </x:c>
      <x:c r="C137" s="115" t="str">
        <x:v>Schreiben</x:v>
      </x:c>
      <x:c r="D137" s="115" t="str">
        <x:v>Lesestrategien und Lernorganisation: Produkt planen</x:v>
      </x:c>
      <x:c r="E137" s="115" t="str">
        <x:v>de_k6_st06_lesestrategien_planen</x:v>
      </x:c>
      <x:c r="F137" s="115" t="str">
        <x:v>schueler/de_k6_st06_lesestrategien_planen_app.html</x:v>
      </x:c>
      <x:c r="G137" s="115" t="str">
        <x:v>lehrer/de_k6_st06_lesestrategien_planen_orga.html</x:v>
      </x:c>
      <x:c r="H137" s="116" t="str">
        <x:v>de_06_lesestrategien_006_planen.html</x:v>
      </x:c>
    </x:row>
    <x:row r="138" ht="42" customHeight="1">
      <x:c r="A138" s="114" t="n">
        <x:v>6</x:v>
      </x:c>
      <x:c r="B138" s="115" t="n">
        <x:v>7</x:v>
      </x:c>
      <x:c r="C138" s="115" t="str">
        <x:v>Schreiben</x:v>
      </x:c>
      <x:c r="D138" s="115" t="str">
        <x:v>Lesestrategien und Lernorganisation: Produkt erstellen</x:v>
      </x:c>
      <x:c r="E138" s="115" t="str">
        <x:v>de_k6_st07_lesestrategien_erstellen</x:v>
      </x:c>
      <x:c r="F138" s="115" t="str">
        <x:v>schueler/de_k6_st07_lesestrategien_erstellen_app.html</x:v>
      </x:c>
      <x:c r="G138" s="115" t="str">
        <x:v>lehrer/de_k6_st07_lesestrategien_erstellen_orga.html</x:v>
      </x:c>
      <x:c r="H138" s="116" t="str">
        <x:v>de_06_lesestrategien_007_erstellen.html</x:v>
      </x:c>
    </x:row>
    <x:row r="139" ht="42" customHeight="1">
      <x:c r="A139" s="114" t="n">
        <x:v>6</x:v>
      </x:c>
      <x:c r="B139" s="115" t="n">
        <x:v>8</x:v>
      </x:c>
      <x:c r="C139" s="115" t="str">
        <x:v>Sprechen und Zuhören</x:v>
      </x:c>
      <x:c r="D139" s="115" t="str">
        <x:v>Lesestrategien und Lernorganisation: Präsentieren und reflektieren</x:v>
      </x:c>
      <x:c r="E139" s="115" t="str">
        <x:v>de_k6_st08_lesestrategien_reflexion</x:v>
      </x:c>
      <x:c r="F139" s="115" t="str">
        <x:v>schueler/de_k6_st08_lesestrategien_reflexion_app.html</x:v>
      </x:c>
      <x:c r="G139" s="115" t="str">
        <x:v>lehrer/de_k6_st08_lesestrategien_reflexion_orga.html</x:v>
      </x:c>
      <x:c r="H139" s="116" t="str">
        <x:v>de_06_lesestrategien_008_reflexion.html</x:v>
      </x:c>
    </x:row>
    <x:row r="140" ht="42" customHeight="1">
      <x:c r="A140" s="114" t="n">
        <x:v>6</x:v>
      </x:c>
      <x:c r="B140" s="115" t="n">
        <x:v>73</x:v>
      </x:c>
      <x:c r="C140" s="115" t="str">
        <x:v>Sprechen und Zuhören</x:v>
      </x:c>
      <x:c r="D140" s="115" t="str">
        <x:v>Recherchieren und einen Kurzvortrag halten: Vorwissen und Positionen klären</x:v>
      </x:c>
      <x:c r="E140" s="115" t="str">
        <x:v>de_k6_st73_referat_einstieg</x:v>
      </x:c>
      <x:c r="F140" s="115" t="str">
        <x:v>schueler/de_k6_st73_referat_einstieg_app.html</x:v>
      </x:c>
      <x:c r="G140" s="115" t="str">
        <x:v>lehrer/de_k6_st73_referat_einstieg_orga.html</x:v>
      </x:c>
      <x:c r="H140" s="116" t="str">
        <x:v>de_06_referat_073_einstieg.html</x:v>
      </x:c>
    </x:row>
    <x:row r="141" ht="42" customHeight="1">
      <x:c r="A141" s="114" t="n">
        <x:v>6</x:v>
      </x:c>
      <x:c r="B141" s="115" t="n">
        <x:v>74</x:v>
      </x:c>
      <x:c r="C141" s="115" t="str">
        <x:v>Lesen/Umgang mit Texten</x:v>
      </x:c>
      <x:c r="D141" s="115" t="str">
        <x:v>Recherchieren und einen Kurzvortrag halten: Quellen und Materialien erschließen</x:v>
      </x:c>
      <x:c r="E141" s="115" t="str">
        <x:v>de_k6_st74_referat_quellen</x:v>
      </x:c>
      <x:c r="F141" s="115" t="str">
        <x:v>schueler/de_k6_st74_referat_quellen_app.html</x:v>
      </x:c>
      <x:c r="G141" s="115" t="str">
        <x:v>lehrer/de_k6_st74_referat_quellen_orga.html</x:v>
      </x:c>
      <x:c r="H141" s="116" t="str">
        <x:v>de_06_referat_074_quellen.html</x:v>
      </x:c>
    </x:row>
    <x:row r="142" ht="42" customHeight="1">
      <x:c r="A142" s="114" t="n">
        <x:v>6</x:v>
      </x:c>
      <x:c r="B142" s="115" t="n">
        <x:v>75</x:v>
      </x:c>
      <x:c r="C142" s="115" t="str">
        <x:v>Lesen/Umgang mit Texten</x:v>
      </x:c>
      <x:c r="D142" s="115" t="str">
        <x:v>Recherchieren und einen Kurzvortrag halten: Qualitätskriterien anwenden</x:v>
      </x:c>
      <x:c r="E142" s="115" t="str">
        <x:v>de_k6_st75_referat_kriterien</x:v>
      </x:c>
      <x:c r="F142" s="115" t="str">
        <x:v>schueler/de_k6_st75_referat_kriterien_app.html</x:v>
      </x:c>
      <x:c r="G142" s="115" t="str">
        <x:v>lehrer/de_k6_st75_referat_kriterien_orga.html</x:v>
      </x:c>
      <x:c r="H142" s="116" t="str">
        <x:v>de_06_referat_075_kriterien.html</x:v>
      </x:c>
    </x:row>
    <x:row r="143" ht="42" customHeight="1">
      <x:c r="A143" s="114" t="n">
        <x:v>6</x:v>
      </x:c>
      <x:c r="B143" s="115" t="n">
        <x:v>76</x:v>
      </x:c>
      <x:c r="C143" s="115" t="str">
        <x:v>Lesen/Umgang mit Texten</x:v>
      </x:c>
      <x:c r="D143" s="115" t="str">
        <x:v>Recherchieren und einen Kurzvortrag halten: Darstellungen vergleichen</x:v>
      </x:c>
      <x:c r="E143" s="115" t="str">
        <x:v>de_k6_st76_referat_vergleichen</x:v>
      </x:c>
      <x:c r="F143" s="115" t="str">
        <x:v>schueler/de_k6_st76_referat_vergleichen_app.html</x:v>
      </x:c>
      <x:c r="G143" s="115" t="str">
        <x:v>lehrer/de_k6_st76_referat_vergleichen_orga.html</x:v>
      </x:c>
      <x:c r="H143" s="116" t="str">
        <x:v>de_06_referat_076_vergleichen.html</x:v>
      </x:c>
    </x:row>
    <x:row r="144" ht="42" customHeight="1">
      <x:c r="A144" s="114" t="n">
        <x:v>6</x:v>
      </x:c>
      <x:c r="B144" s="115" t="n">
        <x:v>77</x:v>
      </x:c>
      <x:c r="C144" s="115" t="str">
        <x:v>Schreiben</x:v>
      </x:c>
      <x:c r="D144" s="115" t="str">
        <x:v>Recherchieren und einen Kurzvortrag halten: Informationen prüfen und ordnen</x:v>
      </x:c>
      <x:c r="E144" s="115" t="str">
        <x:v>de_k6_st77_referat_recherche</x:v>
      </x:c>
      <x:c r="F144" s="115" t="str">
        <x:v>schueler/de_k6_st77_referat_recherche_app.html</x:v>
      </x:c>
      <x:c r="G144" s="115" t="str">
        <x:v>lehrer/de_k6_st77_referat_recherche_orga.html</x:v>
      </x:c>
      <x:c r="H144" s="116" t="str">
        <x:v>de_06_referat_077_recherche.html</x:v>
      </x:c>
    </x:row>
    <x:row r="145" ht="42" customHeight="1">
      <x:c r="A145" s="114" t="n">
        <x:v>6</x:v>
      </x:c>
      <x:c r="B145" s="115" t="n">
        <x:v>78</x:v>
      </x:c>
      <x:c r="C145" s="115" t="str">
        <x:v>Schreiben</x:v>
      </x:c>
      <x:c r="D145" s="115" t="str">
        <x:v>Recherchieren und einen Kurzvortrag halten: Produkt planen</x:v>
      </x:c>
      <x:c r="E145" s="115" t="str">
        <x:v>de_k6_st78_referat_planen</x:v>
      </x:c>
      <x:c r="F145" s="115" t="str">
        <x:v>schueler/de_k6_st78_referat_planen_app.html</x:v>
      </x:c>
      <x:c r="G145" s="115" t="str">
        <x:v>lehrer/de_k6_st78_referat_planen_orga.html</x:v>
      </x:c>
      <x:c r="H145" s="116" t="str">
        <x:v>de_06_referat_078_planen.html</x:v>
      </x:c>
    </x:row>
    <x:row r="146" ht="42" customHeight="1">
      <x:c r="A146" s="114" t="n">
        <x:v>6</x:v>
      </x:c>
      <x:c r="B146" s="115" t="n">
        <x:v>79</x:v>
      </x:c>
      <x:c r="C146" s="115" t="str">
        <x:v>Schreiben</x:v>
      </x:c>
      <x:c r="D146" s="115" t="str">
        <x:v>Recherchieren und einen Kurzvortrag halten: Produkt erstellen</x:v>
      </x:c>
      <x:c r="E146" s="115" t="str">
        <x:v>de_k6_st79_referat_erstellen</x:v>
      </x:c>
      <x:c r="F146" s="115" t="str">
        <x:v>schueler/de_k6_st79_referat_erstellen_app.html</x:v>
      </x:c>
      <x:c r="G146" s="115" t="str">
        <x:v>lehrer/de_k6_st79_referat_erstellen_orga.html</x:v>
      </x:c>
      <x:c r="H146" s="116" t="str">
        <x:v>de_06_referat_079_erstellen.html</x:v>
      </x:c>
    </x:row>
    <x:row r="147" ht="42" customHeight="1">
      <x:c r="A147" s="114" t="n">
        <x:v>6</x:v>
      </x:c>
      <x:c r="B147" s="115" t="n">
        <x:v>80</x:v>
      </x:c>
      <x:c r="C147" s="115" t="str">
        <x:v>Sprechen und Zuhören</x:v>
      </x:c>
      <x:c r="D147" s="115" t="str">
        <x:v>Recherchieren und einen Kurzvortrag halten: Präsentieren und reflektieren</x:v>
      </x:c>
      <x:c r="E147" s="115" t="str">
        <x:v>de_k6_st80_referat_reflexion</x:v>
      </x:c>
      <x:c r="F147" s="115" t="str">
        <x:v>schueler/de_k6_st80_referat_reflexion_app.html</x:v>
      </x:c>
      <x:c r="G147" s="115" t="str">
        <x:v>lehrer/de_k6_st80_referat_reflexion_orga.html</x:v>
      </x:c>
      <x:c r="H147" s="116" t="str">
        <x:v>de_06_referat_080_reflexion.html</x:v>
      </x:c>
    </x:row>
    <x:row r="148" ht="42" customHeight="1">
      <x:c r="A148" s="114" t="n">
        <x:v>6</x:v>
      </x:c>
      <x:c r="B148" s="115" t="n">
        <x:v>25</x:v>
      </x:c>
      <x:c r="C148" s="115" t="str">
        <x:v>Sprache untersuchen</x:v>
      </x:c>
      <x:c r="D148" s="115" t="str">
        <x:v>Satzglieder und Zeitformen sichern: Lernstand feststellen</x:v>
      </x:c>
      <x:c r="E148" s="115" t="str">
        <x:v>de_k6_st25_satzglieder_diagnose</x:v>
      </x:c>
      <x:c r="F148" s="115" t="str">
        <x:v>schueler/de_k6_st25_satzglieder_diagnose_app.html</x:v>
      </x:c>
      <x:c r="G148" s="115" t="str">
        <x:v>lehrer/de_k6_st25_satzglieder_diagnose_orga.html</x:v>
      </x:c>
      <x:c r="H148" s="116" t="str">
        <x:v>de_06_satzglieder_025_diagnose.html</x:v>
      </x:c>
    </x:row>
    <x:row r="149" ht="42" customHeight="1">
      <x:c r="A149" s="114" t="n">
        <x:v>6</x:v>
      </x:c>
      <x:c r="B149" s="115" t="n">
        <x:v>26</x:v>
      </x:c>
      <x:c r="C149" s="115" t="str">
        <x:v>Sprache untersuchen</x:v>
      </x:c>
      <x:c r="D149" s="115" t="str">
        <x:v>Satzglieder und Zeitformen sichern: Grundbegriffe sichern</x:v>
      </x:c>
      <x:c r="E149" s="115" t="str">
        <x:v>de_k6_st26_satzglieder_grundbegriffe</x:v>
      </x:c>
      <x:c r="F149" s="115" t="str">
        <x:v>schueler/de_k6_st26_satzglieder_grundbegriffe_app.html</x:v>
      </x:c>
      <x:c r="G149" s="115" t="str">
        <x:v>lehrer/de_k6_st26_satzglieder_grundbegriffe_orga.html</x:v>
      </x:c>
      <x:c r="H149" s="116" t="str">
        <x:v>de_06_satzglieder_026_grundbegriffe.html</x:v>
      </x:c>
    </x:row>
    <x:row r="150" ht="42" customHeight="1">
      <x:c r="A150" s="114" t="n">
        <x:v>6</x:v>
      </x:c>
      <x:c r="B150" s="115" t="n">
        <x:v>27</x:v>
      </x:c>
      <x:c r="C150" s="115" t="str">
        <x:v>Sprache untersuchen</x:v>
      </x:c>
      <x:c r="D150" s="115" t="str">
        <x:v>Satzglieder und Zeitformen sichern: Verfahren anwenden</x:v>
      </x:c>
      <x:c r="E150" s="115" t="str">
        <x:v>de_k6_st27_satzglieder_verfahren</x:v>
      </x:c>
      <x:c r="F150" s="115" t="str">
        <x:v>schueler/de_k6_st27_satzglieder_verfahren_app.html</x:v>
      </x:c>
      <x:c r="G150" s="115" t="str">
        <x:v>lehrer/de_k6_st27_satzglieder_verfahren_orga.html</x:v>
      </x:c>
      <x:c r="H150" s="116" t="str">
        <x:v>de_06_satzglieder_027_verfahren.html</x:v>
      </x:c>
    </x:row>
    <x:row r="151" ht="42" customHeight="1">
      <x:c r="A151" s="114" t="n">
        <x:v>6</x:v>
      </x:c>
      <x:c r="B151" s="115" t="n">
        <x:v>28</x:v>
      </x:c>
      <x:c r="C151" s="115" t="str">
        <x:v>Sprache untersuchen</x:v>
      </x:c>
      <x:c r="D151" s="115" t="str">
        <x:v>Satzglieder und Zeitformen sichern: Formen und Funktionen untersuchen</x:v>
      </x:c>
      <x:c r="E151" s="115" t="str">
        <x:v>de_k6_st28_satzglieder_funktion</x:v>
      </x:c>
      <x:c r="F151" s="115" t="str">
        <x:v>schueler/de_k6_st28_satzglieder_funktion_app.html</x:v>
      </x:c>
      <x:c r="G151" s="115" t="str">
        <x:v>lehrer/de_k6_st28_satzglieder_funktion_orga.html</x:v>
      </x:c>
      <x:c r="H151" s="116" t="str">
        <x:v>de_06_satzglieder_028_funktion.html</x:v>
      </x:c>
    </x:row>
    <x:row r="152" ht="42" customHeight="1">
      <x:c r="A152" s="114" t="n">
        <x:v>6</x:v>
      </x:c>
      <x:c r="B152" s="115" t="n">
        <x:v>29</x:v>
      </x:c>
      <x:c r="C152" s="115" t="str">
        <x:v>Schreiben</x:v>
      </x:c>
      <x:c r="D152" s="115" t="str">
        <x:v>Satzglieder und Zeitformen sichern: Wissen im eigenen Text nutzen</x:v>
      </x:c>
      <x:c r="E152" s="115" t="str">
        <x:v>de_k6_st29_satzglieder_anwenden</x:v>
      </x:c>
      <x:c r="F152" s="115" t="str">
        <x:v>schueler/de_k6_st29_satzglieder_anwenden_app.html</x:v>
      </x:c>
      <x:c r="G152" s="115" t="str">
        <x:v>lehrer/de_k6_st29_satzglieder_anwenden_orga.html</x:v>
      </x:c>
      <x:c r="H152" s="116" t="str">
        <x:v>de_06_satzglieder_029_anwenden.html</x:v>
      </x:c>
    </x:row>
    <x:row r="153" ht="42" customHeight="1">
      <x:c r="A153" s="114" t="n">
        <x:v>6</x:v>
      </x:c>
      <x:c r="B153" s="115" t="n">
        <x:v>30</x:v>
      </x:c>
      <x:c r="C153" s="115" t="str">
        <x:v>Sprache untersuchen</x:v>
      </x:c>
      <x:c r="D153" s="115" t="str">
        <x:v>Satzglieder und Zeitformen sichern: Fehler finden und korrigieren</x:v>
      </x:c>
      <x:c r="E153" s="115" t="str">
        <x:v>de_k6_st30_satzglieder_fehler</x:v>
      </x:c>
      <x:c r="F153" s="115" t="str">
        <x:v>schueler/de_k6_st30_satzglieder_fehler_app.html</x:v>
      </x:c>
      <x:c r="G153" s="115" t="str">
        <x:v>lehrer/de_k6_st30_satzglieder_fehler_orga.html</x:v>
      </x:c>
      <x:c r="H153" s="116" t="str">
        <x:v>de_06_satzglieder_030_fehler.html</x:v>
      </x:c>
    </x:row>
    <x:row r="154" ht="42" customHeight="1">
      <x:c r="A154" s="114" t="n">
        <x:v>6</x:v>
      </x:c>
      <x:c r="B154" s="115" t="n">
        <x:v>31</x:v>
      </x:c>
      <x:c r="C154" s="115" t="str">
        <x:v>Sprache untersuchen</x:v>
      </x:c>
      <x:c r="D154" s="115" t="str">
        <x:v>Satzglieder und Zeitformen sichern: Transfer auf unbekannte Beispiele</x:v>
      </x:c>
      <x:c r="E154" s="115" t="str">
        <x:v>de_k6_st31_satzglieder_transfer</x:v>
      </x:c>
      <x:c r="F154" s="115" t="str">
        <x:v>schueler/de_k6_st31_satzglieder_transfer_app.html</x:v>
      </x:c>
      <x:c r="G154" s="115" t="str">
        <x:v>lehrer/de_k6_st31_satzglieder_transfer_orga.html</x:v>
      </x:c>
      <x:c r="H154" s="116" t="str">
        <x:v>de_06_satzglieder_031_transfer.html</x:v>
      </x:c>
    </x:row>
    <x:row r="155" ht="42" customHeight="1">
      <x:c r="A155" s="114" t="n">
        <x:v>6</x:v>
      </x:c>
      <x:c r="B155" s="115" t="n">
        <x:v>32</x:v>
      </x:c>
      <x:c r="C155" s="115" t="str">
        <x:v>Schreiben</x:v>
      </x:c>
      <x:c r="D155" s="115" t="str">
        <x:v>Satzglieder und Zeitformen sichern: Lernprodukt und Kompetenzcheck</x:v>
      </x:c>
      <x:c r="E155" s="115" t="str">
        <x:v>de_k6_st32_satzglieder_kompetenzcheck</x:v>
      </x:c>
      <x:c r="F155" s="115" t="str">
        <x:v>schueler/de_k6_st32_satzglieder_kompetenzcheck_app.html</x:v>
      </x:c>
      <x:c r="G155" s="115" t="str">
        <x:v>lehrer/de_k6_st32_satzglieder_kompetenzcheck_orga.html</x:v>
      </x:c>
      <x:c r="H155" s="116" t="str">
        <x:v>de_06_satzglieder_032_kompetenzcheck.html</x:v>
      </x:c>
    </x:row>
    <x:row r="156" ht="42" customHeight="1">
      <x:c r="A156" s="114" t="n">
        <x:v>6</x:v>
      </x:c>
      <x:c r="B156" s="115" t="n">
        <x:v>41</x:v>
      </x:c>
      <x:c r="C156" s="115" t="str">
        <x:v>Sprechen und Zuhören</x:v>
      </x:c>
      <x:c r="D156" s="115" t="str">
        <x:v>Schwänke, Sagen und komische Geschichten: Hör- oder Leseeinstieg gestalten</x:v>
      </x:c>
      <x:c r="E156" s="115" t="str">
        <x:v>de_k6_st41_schwaenke_einstieg</x:v>
      </x:c>
      <x:c r="F156" s="115" t="str">
        <x:v>schueler/de_k6_st41_schwaenke_einstieg_app.html</x:v>
      </x:c>
      <x:c r="G156" s="115" t="str">
        <x:v>lehrer/de_k6_st41_schwaenke_einstieg_orga.html</x:v>
      </x:c>
      <x:c r="H156" s="116" t="str">
        <x:v>de_06_schwaenke_041_einstieg.html</x:v>
      </x:c>
    </x:row>
    <x:row r="157" ht="42" customHeight="1">
      <x:c r="A157" s="114" t="n">
        <x:v>6</x:v>
      </x:c>
      <x:c r="B157" s="115" t="n">
        <x:v>42</x:v>
      </x:c>
      <x:c r="C157" s="115" t="str">
        <x:v>Lesen/Umgang mit Texten</x:v>
      </x:c>
      <x:c r="D157" s="115" t="str">
        <x:v>Schwänke, Sagen und komische Geschichten: Den Text mit Lesestrategien erschließen</x:v>
      </x:c>
      <x:c r="E157" s="115" t="str">
        <x:v>de_k6_st42_schwaenke_erschliessen</x:v>
      </x:c>
      <x:c r="F157" s="115" t="str">
        <x:v>schueler/de_k6_st42_schwaenke_erschliessen_app.html</x:v>
      </x:c>
      <x:c r="G157" s="115" t="str">
        <x:v>lehrer/de_k6_st42_schwaenke_erschliessen_orga.html</x:v>
      </x:c>
      <x:c r="H157" s="116" t="str">
        <x:v>de_06_schwaenke_042_erschliessen.html</x:v>
      </x:c>
    </x:row>
    <x:row r="158" ht="42" customHeight="1">
      <x:c r="A158" s="114" t="n">
        <x:v>6</x:v>
      </x:c>
      <x:c r="B158" s="115" t="n">
        <x:v>43</x:v>
      </x:c>
      <x:c r="C158" s="115" t="str">
        <x:v>Lesen/Umgang mit Texten</x:v>
      </x:c>
      <x:c r="D158" s="115" t="str">
        <x:v>Schwänke, Sagen und komische Geschichten: Gattungsmerkmale erkennen</x:v>
      </x:c>
      <x:c r="E158" s="115" t="str">
        <x:v>de_k6_st43_schwaenke_merkmale</x:v>
      </x:c>
      <x:c r="F158" s="115" t="str">
        <x:v>schueler/de_k6_st43_schwaenke_merkmale_app.html</x:v>
      </x:c>
      <x:c r="G158" s="115" t="str">
        <x:v>lehrer/de_k6_st43_schwaenke_merkmale_orga.html</x:v>
      </x:c>
      <x:c r="H158" s="116" t="str">
        <x:v>de_06_schwaenke_043_merkmale.html</x:v>
      </x:c>
    </x:row>
    <x:row r="159" ht="42" customHeight="1">
      <x:c r="A159" s="114" t="n">
        <x:v>6</x:v>
      </x:c>
      <x:c r="B159" s="115" t="n">
        <x:v>44</x:v>
      </x:c>
      <x:c r="C159" s="115" t="str">
        <x:v>Lesen/Umgang mit Texten</x:v>
      </x:c>
      <x:c r="D159" s="115" t="str">
        <x:v>Schwänke, Sagen und komische Geschichten: Figuren, Handlung und Konflikt untersuchen</x:v>
      </x:c>
      <x:c r="E159" s="115" t="str">
        <x:v>de_k6_st44_schwaenke_figuren_handlung</x:v>
      </x:c>
      <x:c r="F159" s="115" t="str">
        <x:v>schueler/de_k6_st44_schwaenke_figuren_handlung_app.html</x:v>
      </x:c>
      <x:c r="G159" s="115" t="str">
        <x:v>lehrer/de_k6_st44_schwaenke_figuren_handlung_orga.html</x:v>
      </x:c>
      <x:c r="H159" s="116" t="str">
        <x:v>de_06_schwaenke_044_figuren_handlung.html</x:v>
      </x:c>
    </x:row>
    <x:row r="160" ht="42" customHeight="1">
      <x:c r="A160" s="114" t="n">
        <x:v>6</x:v>
      </x:c>
      <x:c r="B160" s="115" t="n">
        <x:v>45</x:v>
      </x:c>
      <x:c r="C160" s="115" t="str">
        <x:v>Sprache untersuchen</x:v>
      </x:c>
      <x:c r="D160" s="115" t="str">
        <x:v>Schwänke, Sagen und komische Geschichten: Sprache und Wirkung untersuchen</x:v>
      </x:c>
      <x:c r="E160" s="115" t="str">
        <x:v>de_k6_st45_schwaenke_sprache_wirkung</x:v>
      </x:c>
      <x:c r="F160" s="115" t="str">
        <x:v>schueler/de_k6_st45_schwaenke_sprache_wirkung_app.html</x:v>
      </x:c>
      <x:c r="G160" s="115" t="str">
        <x:v>lehrer/de_k6_st45_schwaenke_sprache_wirkung_orga.html</x:v>
      </x:c>
      <x:c r="H160" s="116" t="str">
        <x:v>de_06_schwaenke_045_sprache_wirkung.html</x:v>
      </x:c>
    </x:row>
    <x:row r="161" ht="42" customHeight="1">
      <x:c r="A161" s="114" t="n">
        <x:v>6</x:v>
      </x:c>
      <x:c r="B161" s="115" t="n">
        <x:v>46</x:v>
      </x:c>
      <x:c r="C161" s="115" t="str">
        <x:v>Schreiben</x:v>
      </x:c>
      <x:c r="D161" s="115" t="str">
        <x:v>Schwänke, Sagen und komische Geschichten: Eine Deutung oder Perspektive vorbereiten</x:v>
      </x:c>
      <x:c r="E161" s="115" t="str">
        <x:v>de_k6_st46_schwaenke_deutung_planen</x:v>
      </x:c>
      <x:c r="F161" s="115" t="str">
        <x:v>schueler/de_k6_st46_schwaenke_deutung_planen_app.html</x:v>
      </x:c>
      <x:c r="G161" s="115" t="str">
        <x:v>lehrer/de_k6_st46_schwaenke_deutung_planen_orga.html</x:v>
      </x:c>
      <x:c r="H161" s="116" t="str">
        <x:v>de_06_schwaenke_046_deutung_planen.html</x:v>
      </x:c>
    </x:row>
    <x:row r="162" ht="42" customHeight="1">
      <x:c r="A162" s="114" t="n">
        <x:v>6</x:v>
      </x:c>
      <x:c r="B162" s="115" t="n">
        <x:v>47</x:v>
      </x:c>
      <x:c r="C162" s="115" t="str">
        <x:v>Schreiben</x:v>
      </x:c>
      <x:c r="D162" s="115" t="str">
        <x:v>Schwänke, Sagen und komische Geschichten: Szenische Umsetzung gestalten</x:v>
      </x:c>
      <x:c r="E162" s="115" t="str">
        <x:v>de_k6_st47_schwaenke_produkt</x:v>
      </x:c>
      <x:c r="F162" s="115" t="str">
        <x:v>schueler/de_k6_st47_schwaenke_produkt_app.html</x:v>
      </x:c>
      <x:c r="G162" s="115" t="str">
        <x:v>lehrer/de_k6_st47_schwaenke_produkt_orga.html</x:v>
      </x:c>
      <x:c r="H162" s="116" t="str">
        <x:v>de_06_schwaenke_047_produkt.html</x:v>
      </x:c>
    </x:row>
    <x:row r="163" ht="42" customHeight="1">
      <x:c r="A163" s="114" t="n">
        <x:v>6</x:v>
      </x:c>
      <x:c r="B163" s="115" t="n">
        <x:v>48</x:v>
      </x:c>
      <x:c r="C163" s="115" t="str">
        <x:v>Sprechen und Zuhören</x:v>
      </x:c>
      <x:c r="D163" s="115" t="str">
        <x:v>Schwänke, Sagen und komische Geschichten: Ergebnisse präsentieren und reflektieren</x:v>
      </x:c>
      <x:c r="E163" s="115" t="str">
        <x:v>de_k6_st48_schwaenke_praesentieren</x:v>
      </x:c>
      <x:c r="F163" s="115" t="str">
        <x:v>schueler/de_k6_st48_schwaenke_praesentieren_app.html</x:v>
      </x:c>
      <x:c r="G163" s="115" t="str">
        <x:v>lehrer/de_k6_st48_schwaenke_praesentieren_orga.html</x:v>
      </x:c>
      <x:c r="H163" s="116" t="str">
        <x:v>de_06_schwaenke_048_praesentieren.html</x:v>
      </x:c>
    </x:row>
    <x:row r="164" ht="42" customHeight="1">
      <x:c r="A164" s="114" t="n">
        <x:v>6</x:v>
      </x:c>
      <x:c r="B164" s="115" t="n">
        <x:v>81</x:v>
      </x:c>
      <x:c r="C164" s="115" t="str">
        <x:v>Lesen/Umgang mit Texten</x:v>
      </x:c>
      <x:c r="D164" s="115" t="str">
        <x:v>Stellung nehmen und werben: Beispieltexte untersuchen</x:v>
      </x:c>
      <x:c r="E164" s="115" t="str">
        <x:v>de_k6_st81_stellungnahme_beispiel</x:v>
      </x:c>
      <x:c r="F164" s="115" t="str">
        <x:v>schueler/de_k6_st81_stellungnahme_beispiel_app.html</x:v>
      </x:c>
      <x:c r="G164" s="115" t="str">
        <x:v>lehrer/de_k6_st81_stellungnahme_beispiel_orga.html</x:v>
      </x:c>
      <x:c r="H164" s="116" t="str">
        <x:v>de_06_stellungnahme_081_beispiel.html</x:v>
      </x:c>
    </x:row>
    <x:row r="165" ht="42" customHeight="1">
      <x:c r="A165" s="114" t="n">
        <x:v>6</x:v>
      </x:c>
      <x:c r="B165" s="115" t="n">
        <x:v>82</x:v>
      </x:c>
      <x:c r="C165" s="115" t="str">
        <x:v>Schreiben</x:v>
      </x:c>
      <x:c r="D165" s="115" t="str">
        <x:v>Stellung nehmen und werben: Schreibziel und Kriterien klären</x:v>
      </x:c>
      <x:c r="E165" s="115" t="str">
        <x:v>de_k6_st82_stellungnahme_kriterien</x:v>
      </x:c>
      <x:c r="F165" s="115" t="str">
        <x:v>schueler/de_k6_st82_stellungnahme_kriterien_app.html</x:v>
      </x:c>
      <x:c r="G165" s="115" t="str">
        <x:v>lehrer/de_k6_st82_stellungnahme_kriterien_orga.html</x:v>
      </x:c>
      <x:c r="H165" s="116" t="str">
        <x:v>de_06_stellungnahme_082_kriterien.html</x:v>
      </x:c>
    </x:row>
    <x:row r="166" ht="42" customHeight="1">
      <x:c r="A166" s="114" t="n">
        <x:v>6</x:v>
      </x:c>
      <x:c r="B166" s="115" t="n">
        <x:v>83</x:v>
      </x:c>
      <x:c r="C166" s="115" t="str">
        <x:v>Lesen/Umgang mit Texten</x:v>
      </x:c>
      <x:c r="D166" s="115" t="str">
        <x:v>Stellung nehmen und werben: Inhalte auswählen und ordnen</x:v>
      </x:c>
      <x:c r="E166" s="115" t="str">
        <x:v>de_k6_st83_stellungnahme_inhalte_ordnen</x:v>
      </x:c>
      <x:c r="F166" s="115" t="str">
        <x:v>schueler/de_k6_st83_stellungnahme_inhalte_ordnen_app.html</x:v>
      </x:c>
      <x:c r="G166" s="115" t="str">
        <x:v>lehrer/de_k6_st83_stellungnahme_inhalte_ordnen_orga.html</x:v>
      </x:c>
      <x:c r="H166" s="116" t="str">
        <x:v>de_06_stellungnahme_083_inhalte_ordnen.html</x:v>
      </x:c>
    </x:row>
    <x:row r="167" ht="42" customHeight="1">
      <x:c r="A167" s="114" t="n">
        <x:v>6</x:v>
      </x:c>
      <x:c r="B167" s="115" t="n">
        <x:v>84</x:v>
      </x:c>
      <x:c r="C167" s="115" t="str">
        <x:v>Sprache untersuchen</x:v>
      </x:c>
      <x:c r="D167" s="115" t="str">
        <x:v>Stellung nehmen und werben: Passende sprachliche Mittel verwenden</x:v>
      </x:c>
      <x:c r="E167" s="115" t="str">
        <x:v>de_k6_st84_stellungnahme_sprachmittel</x:v>
      </x:c>
      <x:c r="F167" s="115" t="str">
        <x:v>schueler/de_k6_st84_stellungnahme_sprachmittel_app.html</x:v>
      </x:c>
      <x:c r="G167" s="115" t="str">
        <x:v>lehrer/de_k6_st84_stellungnahme_sprachmittel_orga.html</x:v>
      </x:c>
      <x:c r="H167" s="116" t="str">
        <x:v>de_06_stellungnahme_084_sprachmittel.html</x:v>
      </x:c>
    </x:row>
    <x:row r="168" ht="42" customHeight="1">
      <x:c r="A168" s="114" t="n">
        <x:v>6</x:v>
      </x:c>
      <x:c r="B168" s="115" t="n">
        <x:v>85</x:v>
      </x:c>
      <x:c r="C168" s="115" t="str">
        <x:v>Schreiben</x:v>
      </x:c>
      <x:c r="D168" s="115" t="str">
        <x:v>Stellung nehmen und werben: Einen Schreibplan erstellen</x:v>
      </x:c>
      <x:c r="E168" s="115" t="str">
        <x:v>de_k6_st85_stellungnahme_schreibplan</x:v>
      </x:c>
      <x:c r="F168" s="115" t="str">
        <x:v>schueler/de_k6_st85_stellungnahme_schreibplan_app.html</x:v>
      </x:c>
      <x:c r="G168" s="115" t="str">
        <x:v>lehrer/de_k6_st85_stellungnahme_schreibplan_orga.html</x:v>
      </x:c>
      <x:c r="H168" s="116" t="str">
        <x:v>de_06_stellungnahme_085_schreibplan.html</x:v>
      </x:c>
    </x:row>
    <x:row r="169" ht="42" customHeight="1">
      <x:c r="A169" s="114" t="n">
        <x:v>6</x:v>
      </x:c>
      <x:c r="B169" s="115" t="n">
        <x:v>86</x:v>
      </x:c>
      <x:c r="C169" s="115" t="str">
        <x:v>Schreiben</x:v>
      </x:c>
      <x:c r="D169" s="115" t="str">
        <x:v>Stellung nehmen und werben: Einen ersten Textentwurf verfassen</x:v>
      </x:c>
      <x:c r="E169" s="115" t="str">
        <x:v>de_k6_st86_stellungnahme_entwurf</x:v>
      </x:c>
      <x:c r="F169" s="115" t="str">
        <x:v>schueler/de_k6_st86_stellungnahme_entwurf_app.html</x:v>
      </x:c>
      <x:c r="G169" s="115" t="str">
        <x:v>lehrer/de_k6_st86_stellungnahme_entwurf_orga.html</x:v>
      </x:c>
      <x:c r="H169" s="116" t="str">
        <x:v>de_06_stellungnahme_086_entwurf.html</x:v>
      </x:c>
    </x:row>
    <x:row r="170" ht="42" customHeight="1">
      <x:c r="A170" s="114" t="n">
        <x:v>6</x:v>
      </x:c>
      <x:c r="B170" s="115" t="n">
        <x:v>87</x:v>
      </x:c>
      <x:c r="C170" s="115" t="str">
        <x:v>Schreiben</x:v>
      </x:c>
      <x:c r="D170" s="115" t="str">
        <x:v>Stellung nehmen und werben: Text kriteriengeleitet überarbeiten</x:v>
      </x:c>
      <x:c r="E170" s="115" t="str">
        <x:v>de_k6_st87_stellungnahme_ueberarbeiten</x:v>
      </x:c>
      <x:c r="F170" s="115" t="str">
        <x:v>schueler/de_k6_st87_stellungnahme_ueberarbeiten_app.html</x:v>
      </x:c>
      <x:c r="G170" s="115" t="str">
        <x:v>lehrer/de_k6_st87_stellungnahme_ueberarbeiten_orga.html</x:v>
      </x:c>
      <x:c r="H170" s="116" t="str">
        <x:v>de_06_stellungnahme_087_ueberarbeiten.html</x:v>
      </x:c>
    </x:row>
    <x:row r="171" ht="42" customHeight="1">
      <x:c r="A171" s="114" t="n">
        <x:v>6</x:v>
      </x:c>
      <x:c r="B171" s="115" t="n">
        <x:v>88</x:v>
      </x:c>
      <x:c r="C171" s="115" t="str">
        <x:v>Sprechen und Zuhören</x:v>
      </x:c>
      <x:c r="D171" s="115" t="str">
        <x:v>Stellung nehmen und werben: Texte vorstellen und bewerten</x:v>
      </x:c>
      <x:c r="E171" s="115" t="str">
        <x:v>de_k6_st88_stellungnahme_vorstellen</x:v>
      </x:c>
      <x:c r="F171" s="115" t="str">
        <x:v>schueler/de_k6_st88_stellungnahme_vorstellen_app.html</x:v>
      </x:c>
      <x:c r="G171" s="115" t="str">
        <x:v>lehrer/de_k6_st88_stellungnahme_vorstellen_orga.html</x:v>
      </x:c>
      <x:c r="H171" s="116" t="str">
        <x:v>de_06_stellungnahme_088_vorstellen.html</x:v>
      </x:c>
    </x:row>
    <x:row r="172" ht="42" customHeight="1">
      <x:c r="A172" s="114" t="n">
        <x:v>6</x:v>
      </x:c>
      <x:c r="B172" s="115" t="n">
        <x:v>89</x:v>
      </x:c>
      <x:c r="C172" s="115" t="str">
        <x:v>Sprechen und Zuhören</x:v>
      </x:c>
      <x:c r="D172" s="115" t="str">
        <x:v>Theater, Hörspiel und Jahresrückblick: Vorwissen und Positionen klären</x:v>
      </x:c>
      <x:c r="E172" s="115" t="str">
        <x:v>de_k6_st89_theater_einstieg</x:v>
      </x:c>
      <x:c r="F172" s="115" t="str">
        <x:v>schueler/de_k6_st89_theater_einstieg_app.html</x:v>
      </x:c>
      <x:c r="G172" s="115" t="str">
        <x:v>lehrer/de_k6_st89_theater_einstieg_orga.html</x:v>
      </x:c>
      <x:c r="H172" s="116" t="str">
        <x:v>de_06_theater_089_einstieg.html</x:v>
      </x:c>
    </x:row>
    <x:row r="173" ht="42" customHeight="1">
      <x:c r="A173" s="114" t="n">
        <x:v>6</x:v>
      </x:c>
      <x:c r="B173" s="115" t="n">
        <x:v>90</x:v>
      </x:c>
      <x:c r="C173" s="115" t="str">
        <x:v>Lesen/Umgang mit Texten</x:v>
      </x:c>
      <x:c r="D173" s="115" t="str">
        <x:v>Theater, Hörspiel und Jahresrückblick: Quellen und Materialien erschließen</x:v>
      </x:c>
      <x:c r="E173" s="115" t="str">
        <x:v>de_k6_st90_theater_quellen</x:v>
      </x:c>
      <x:c r="F173" s="115" t="str">
        <x:v>schueler/de_k6_st90_theater_quellen_app.html</x:v>
      </x:c>
      <x:c r="G173" s="115" t="str">
        <x:v>lehrer/de_k6_st90_theater_quellen_orga.html</x:v>
      </x:c>
      <x:c r="H173" s="116" t="str">
        <x:v>de_06_theater_090_quellen.html</x:v>
      </x:c>
    </x:row>
    <x:row r="174" ht="42" customHeight="1">
      <x:c r="A174" s="114" t="n">
        <x:v>6</x:v>
      </x:c>
      <x:c r="B174" s="115" t="n">
        <x:v>91</x:v>
      </x:c>
      <x:c r="C174" s="115" t="str">
        <x:v>Lesen/Umgang mit Texten</x:v>
      </x:c>
      <x:c r="D174" s="115" t="str">
        <x:v>Theater, Hörspiel und Jahresrückblick: Qualitätskriterien anwenden</x:v>
      </x:c>
      <x:c r="E174" s="115" t="str">
        <x:v>de_k6_st91_theater_kriterien</x:v>
      </x:c>
      <x:c r="F174" s="115" t="str">
        <x:v>schueler/de_k6_st91_theater_kriterien_app.html</x:v>
      </x:c>
      <x:c r="G174" s="115" t="str">
        <x:v>lehrer/de_k6_st91_theater_kriterien_orga.html</x:v>
      </x:c>
      <x:c r="H174" s="116" t="str">
        <x:v>de_06_theater_091_kriterien.html</x:v>
      </x:c>
    </x:row>
    <x:row r="175" ht="42" customHeight="1">
      <x:c r="A175" s="114" t="n">
        <x:v>6</x:v>
      </x:c>
      <x:c r="B175" s="115" t="n">
        <x:v>92</x:v>
      </x:c>
      <x:c r="C175" s="115" t="str">
        <x:v>Lesen/Umgang mit Texten</x:v>
      </x:c>
      <x:c r="D175" s="115" t="str">
        <x:v>Theater, Hörspiel und Jahresrückblick: Darstellungen vergleichen</x:v>
      </x:c>
      <x:c r="E175" s="115" t="str">
        <x:v>de_k6_st92_theater_vergleichen</x:v>
      </x:c>
      <x:c r="F175" s="115" t="str">
        <x:v>schueler/de_k6_st92_theater_vergleichen_app.html</x:v>
      </x:c>
      <x:c r="G175" s="115" t="str">
        <x:v>lehrer/de_k6_st92_theater_vergleichen_orga.html</x:v>
      </x:c>
      <x:c r="H175" s="116" t="str">
        <x:v>de_06_theater_092_vergleichen.html</x:v>
      </x:c>
    </x:row>
    <x:row r="176" ht="42" customHeight="1">
      <x:c r="A176" s="114" t="n">
        <x:v>6</x:v>
      </x:c>
      <x:c r="B176" s="115" t="n">
        <x:v>93</x:v>
      </x:c>
      <x:c r="C176" s="115" t="str">
        <x:v>Schreiben</x:v>
      </x:c>
      <x:c r="D176" s="115" t="str">
        <x:v>Theater, Hörspiel und Jahresrückblick: Informationen prüfen und ordnen</x:v>
      </x:c>
      <x:c r="E176" s="115" t="str">
        <x:v>de_k6_st93_theater_recherche</x:v>
      </x:c>
      <x:c r="F176" s="115" t="str">
        <x:v>schueler/de_k6_st93_theater_recherche_app.html</x:v>
      </x:c>
      <x:c r="G176" s="115" t="str">
        <x:v>lehrer/de_k6_st93_theater_recherche_orga.html</x:v>
      </x:c>
      <x:c r="H176" s="116" t="str">
        <x:v>de_06_theater_093_recherche.html</x:v>
      </x:c>
    </x:row>
    <x:row r="177" ht="42" customHeight="1">
      <x:c r="A177" s="114" t="n">
        <x:v>6</x:v>
      </x:c>
      <x:c r="B177" s="115" t="n">
        <x:v>94</x:v>
      </x:c>
      <x:c r="C177" s="115" t="str">
        <x:v>Schreiben</x:v>
      </x:c>
      <x:c r="D177" s="115" t="str">
        <x:v>Theater, Hörspiel und Jahresrückblick: Produkt planen</x:v>
      </x:c>
      <x:c r="E177" s="115" t="str">
        <x:v>de_k6_st94_theater_planen</x:v>
      </x:c>
      <x:c r="F177" s="115" t="str">
        <x:v>schueler/de_k6_st94_theater_planen_app.html</x:v>
      </x:c>
      <x:c r="G177" s="115" t="str">
        <x:v>lehrer/de_k6_st94_theater_planen_orga.html</x:v>
      </x:c>
      <x:c r="H177" s="116" t="str">
        <x:v>de_06_theater_094_planen.html</x:v>
      </x:c>
    </x:row>
    <x:row r="178" ht="42" customHeight="1">
      <x:c r="A178" s="114" t="n">
        <x:v>6</x:v>
      </x:c>
      <x:c r="B178" s="115" t="n">
        <x:v>95</x:v>
      </x:c>
      <x:c r="C178" s="115" t="str">
        <x:v>Schreiben</x:v>
      </x:c>
      <x:c r="D178" s="115" t="str">
        <x:v>Theater, Hörspiel und Jahresrückblick: Produkt erstellen</x:v>
      </x:c>
      <x:c r="E178" s="115" t="str">
        <x:v>de_k6_st95_theater_erstellen</x:v>
      </x:c>
      <x:c r="F178" s="115" t="str">
        <x:v>schueler/de_k6_st95_theater_erstellen_app.html</x:v>
      </x:c>
      <x:c r="G178" s="115" t="str">
        <x:v>lehrer/de_k6_st95_theater_erstellen_orga.html</x:v>
      </x:c>
      <x:c r="H178" s="116" t="str">
        <x:v>de_06_theater_095_erstellen.html</x:v>
      </x:c>
    </x:row>
    <x:row r="179" ht="42" customHeight="1">
      <x:c r="A179" s="114" t="n">
        <x:v>6</x:v>
      </x:c>
      <x:c r="B179" s="115" t="n">
        <x:v>96</x:v>
      </x:c>
      <x:c r="C179" s="115" t="str">
        <x:v>Sprechen und Zuhören</x:v>
      </x:c>
      <x:c r="D179" s="115" t="str">
        <x:v>Theater, Hörspiel und Jahresrückblick: Präsentieren und reflektieren</x:v>
      </x:c>
      <x:c r="E179" s="115" t="str">
        <x:v>de_k6_st96_theater_reflexion</x:v>
      </x:c>
      <x:c r="F179" s="115" t="str">
        <x:v>schueler/de_k6_st96_theater_reflexion_app.html</x:v>
      </x:c>
      <x:c r="G179" s="115" t="str">
        <x:v>lehrer/de_k6_st96_theater_reflexion_orga.html</x:v>
      </x:c>
      <x:c r="H179" s="116" t="str">
        <x:v>de_06_theater_096_reflexion.html</x:v>
      </x:c>
    </x:row>
    <x:row r="180" ht="42" customHeight="1">
      <x:c r="A180" s="114" t="n">
        <x:v>6</x:v>
      </x:c>
      <x:c r="B180" s="115" t="n">
        <x:v>49</x:v>
      </x:c>
      <x:c r="C180" s="115" t="str">
        <x:v>Lesen/Umgang mit Texten</x:v>
      </x:c>
      <x:c r="D180" s="115" t="str">
        <x:v>Vorgänge verständlich erklären: Beispieltexte untersuchen</x:v>
      </x:c>
      <x:c r="E180" s="115" t="str">
        <x:v>de_k6_st49_vorgang_beispiel</x:v>
      </x:c>
      <x:c r="F180" s="115" t="str">
        <x:v>schueler/de_k6_st49_vorgang_beispiel_app.html</x:v>
      </x:c>
      <x:c r="G180" s="115" t="str">
        <x:v>lehrer/de_k6_st49_vorgang_beispiel_orga.html</x:v>
      </x:c>
      <x:c r="H180" s="116" t="str">
        <x:v>de_06_vorgang_049_beispiel.html</x:v>
      </x:c>
    </x:row>
    <x:row r="181" ht="42" customHeight="1">
      <x:c r="A181" s="114" t="n">
        <x:v>6</x:v>
      </x:c>
      <x:c r="B181" s="115" t="n">
        <x:v>50</x:v>
      </x:c>
      <x:c r="C181" s="115" t="str">
        <x:v>Schreiben</x:v>
      </x:c>
      <x:c r="D181" s="115" t="str">
        <x:v>Vorgänge verständlich erklären: Schreibziel und Kriterien klären</x:v>
      </x:c>
      <x:c r="E181" s="115" t="str">
        <x:v>de_k6_st50_vorgang_kriterien</x:v>
      </x:c>
      <x:c r="F181" s="115" t="str">
        <x:v>schueler/de_k6_st50_vorgang_kriterien_app.html</x:v>
      </x:c>
      <x:c r="G181" s="115" t="str">
        <x:v>lehrer/de_k6_st50_vorgang_kriterien_orga.html</x:v>
      </x:c>
      <x:c r="H181" s="116" t="str">
        <x:v>de_06_vorgang_050_kriterien.html</x:v>
      </x:c>
    </x:row>
    <x:row r="182" ht="42" customHeight="1">
      <x:c r="A182" s="114" t="n">
        <x:v>6</x:v>
      </x:c>
      <x:c r="B182" s="115" t="n">
        <x:v>51</x:v>
      </x:c>
      <x:c r="C182" s="115" t="str">
        <x:v>Lesen/Umgang mit Texten</x:v>
      </x:c>
      <x:c r="D182" s="115" t="str">
        <x:v>Vorgänge verständlich erklären: Inhalte auswählen und ordnen</x:v>
      </x:c>
      <x:c r="E182" s="115" t="str">
        <x:v>de_k6_st51_vorgang_inhalte_ordnen</x:v>
      </x:c>
      <x:c r="F182" s="115" t="str">
        <x:v>schueler/de_k6_st51_vorgang_inhalte_ordnen_app.html</x:v>
      </x:c>
      <x:c r="G182" s="115" t="str">
        <x:v>lehrer/de_k6_st51_vorgang_inhalte_ordnen_orga.html</x:v>
      </x:c>
      <x:c r="H182" s="116" t="str">
        <x:v>de_06_vorgang_051_inhalte_ordnen.html</x:v>
      </x:c>
    </x:row>
    <x:row r="183" ht="42" customHeight="1">
      <x:c r="A183" s="114" t="n">
        <x:v>6</x:v>
      </x:c>
      <x:c r="B183" s="115" t="n">
        <x:v>52</x:v>
      </x:c>
      <x:c r="C183" s="115" t="str">
        <x:v>Sprache untersuchen</x:v>
      </x:c>
      <x:c r="D183" s="115" t="str">
        <x:v>Vorgänge verständlich erklären: Passende sprachliche Mittel verwenden</x:v>
      </x:c>
      <x:c r="E183" s="115" t="str">
        <x:v>de_k6_st52_vorgang_sprachmittel</x:v>
      </x:c>
      <x:c r="F183" s="115" t="str">
        <x:v>schueler/de_k6_st52_vorgang_sprachmittel_app.html</x:v>
      </x:c>
      <x:c r="G183" s="115" t="str">
        <x:v>lehrer/de_k6_st52_vorgang_sprachmittel_orga.html</x:v>
      </x:c>
      <x:c r="H183" s="116" t="str">
        <x:v>de_06_vorgang_052_sprachmittel.html</x:v>
      </x:c>
    </x:row>
    <x:row r="184" ht="42" customHeight="1">
      <x:c r="A184" s="114" t="n">
        <x:v>6</x:v>
      </x:c>
      <x:c r="B184" s="115" t="n">
        <x:v>53</x:v>
      </x:c>
      <x:c r="C184" s="115" t="str">
        <x:v>Schreiben</x:v>
      </x:c>
      <x:c r="D184" s="115" t="str">
        <x:v>Vorgänge verständlich erklären: Einen Schreibplan erstellen</x:v>
      </x:c>
      <x:c r="E184" s="115" t="str">
        <x:v>de_k6_st53_vorgang_schreibplan</x:v>
      </x:c>
      <x:c r="F184" s="115" t="str">
        <x:v>schueler/de_k6_st53_vorgang_schreibplan_app.html</x:v>
      </x:c>
      <x:c r="G184" s="115" t="str">
        <x:v>lehrer/de_k6_st53_vorgang_schreibplan_orga.html</x:v>
      </x:c>
      <x:c r="H184" s="116" t="str">
        <x:v>de_06_vorgang_053_schreibplan.html</x:v>
      </x:c>
    </x:row>
    <x:row r="185" ht="42" customHeight="1">
      <x:c r="A185" s="114" t="n">
        <x:v>6</x:v>
      </x:c>
      <x:c r="B185" s="115" t="n">
        <x:v>54</x:v>
      </x:c>
      <x:c r="C185" s="115" t="str">
        <x:v>Schreiben</x:v>
      </x:c>
      <x:c r="D185" s="115" t="str">
        <x:v>Vorgänge verständlich erklären: Einen ersten Textentwurf verfassen</x:v>
      </x:c>
      <x:c r="E185" s="115" t="str">
        <x:v>de_k6_st54_vorgang_entwurf</x:v>
      </x:c>
      <x:c r="F185" s="115" t="str">
        <x:v>schueler/de_k6_st54_vorgang_entwurf_app.html</x:v>
      </x:c>
      <x:c r="G185" s="115" t="str">
        <x:v>lehrer/de_k6_st54_vorgang_entwurf_orga.html</x:v>
      </x:c>
      <x:c r="H185" s="116" t="str">
        <x:v>de_06_vorgang_054_entwurf.html</x:v>
      </x:c>
    </x:row>
    <x:row r="186" ht="42" customHeight="1">
      <x:c r="A186" s="114" t="n">
        <x:v>6</x:v>
      </x:c>
      <x:c r="B186" s="115" t="n">
        <x:v>55</x:v>
      </x:c>
      <x:c r="C186" s="115" t="str">
        <x:v>Schreiben</x:v>
      </x:c>
      <x:c r="D186" s="115" t="str">
        <x:v>Vorgänge verständlich erklären: Text kriteriengeleitet überarbeiten</x:v>
      </x:c>
      <x:c r="E186" s="115" t="str">
        <x:v>de_k6_st55_vorgang_ueberarbeiten</x:v>
      </x:c>
      <x:c r="F186" s="115" t="str">
        <x:v>schueler/de_k6_st55_vorgang_ueberarbeiten_app.html</x:v>
      </x:c>
      <x:c r="G186" s="115" t="str">
        <x:v>lehrer/de_k6_st55_vorgang_ueberarbeiten_orga.html</x:v>
      </x:c>
      <x:c r="H186" s="116" t="str">
        <x:v>de_06_vorgang_055_ueberarbeiten.html</x:v>
      </x:c>
    </x:row>
    <x:row r="187" ht="42" customHeight="1">
      <x:c r="A187" s="114" t="n">
        <x:v>6</x:v>
      </x:c>
      <x:c r="B187" s="115" t="n">
        <x:v>56</x:v>
      </x:c>
      <x:c r="C187" s="115" t="str">
        <x:v>Sprechen und Zuhören</x:v>
      </x:c>
      <x:c r="D187" s="115" t="str">
        <x:v>Vorgänge verständlich erklären: Texte vorstellen und bewerten</x:v>
      </x:c>
      <x:c r="E187" s="115" t="str">
        <x:v>de_k6_st56_vorgang_vorstellen</x:v>
      </x:c>
      <x:c r="F187" s="115" t="str">
        <x:v>schueler/de_k6_st56_vorgang_vorstellen_app.html</x:v>
      </x:c>
      <x:c r="G187" s="115" t="str">
        <x:v>lehrer/de_k6_st56_vorgang_vorstellen_orga.html</x:v>
      </x:c>
      <x:c r="H187" s="116" t="str">
        <x:v>de_06_vorgang_056_vorstellen.html</x:v>
      </x:c>
    </x:row>
    <x:row r="188" ht="42" customHeight="1">
      <x:c r="A188" s="114" t="n">
        <x:v>6</x:v>
      </x:c>
      <x:c r="B188" s="115" t="n">
        <x:v>65</x:v>
      </x:c>
      <x:c r="C188" s="115" t="str">
        <x:v>Sprache untersuchen</x:v>
      </x:c>
      <x:c r="D188" s="115" t="str">
        <x:v>Wortbildung und schwierige Schreibungen: Lernstand feststellen</x:v>
      </x:c>
      <x:c r="E188" s="115" t="str">
        <x:v>de_k6_st65_wortbildung_diagnose</x:v>
      </x:c>
      <x:c r="F188" s="115" t="str">
        <x:v>schueler/de_k6_st65_wortbildung_diagnose_app.html</x:v>
      </x:c>
      <x:c r="G188" s="115" t="str">
        <x:v>lehrer/de_k6_st65_wortbildung_diagnose_orga.html</x:v>
      </x:c>
      <x:c r="H188" s="116" t="str">
        <x:v>de_06_wortbildung_065_diagnose.html</x:v>
      </x:c>
    </x:row>
    <x:row r="189" ht="42" customHeight="1">
      <x:c r="A189" s="114" t="n">
        <x:v>6</x:v>
      </x:c>
      <x:c r="B189" s="115" t="n">
        <x:v>66</x:v>
      </x:c>
      <x:c r="C189" s="115" t="str">
        <x:v>Sprache untersuchen</x:v>
      </x:c>
      <x:c r="D189" s="115" t="str">
        <x:v>Wortbildung und schwierige Schreibungen: Grundbegriffe sichern</x:v>
      </x:c>
      <x:c r="E189" s="115" t="str">
        <x:v>de_k6_st66_wortbildung_grundbegriffe</x:v>
      </x:c>
      <x:c r="F189" s="115" t="str">
        <x:v>schueler/de_k6_st66_wortbildung_grundbegriffe_app.html</x:v>
      </x:c>
      <x:c r="G189" s="115" t="str">
        <x:v>lehrer/de_k6_st66_wortbildung_grundbegriffe_orga.html</x:v>
      </x:c>
      <x:c r="H189" s="116" t="str">
        <x:v>de_06_wortbildung_066_grundbegriffe.html</x:v>
      </x:c>
    </x:row>
    <x:row r="190" ht="42" customHeight="1">
      <x:c r="A190" s="114" t="n">
        <x:v>6</x:v>
      </x:c>
      <x:c r="B190" s="115" t="n">
        <x:v>67</x:v>
      </x:c>
      <x:c r="C190" s="115" t="str">
        <x:v>Sprache untersuchen</x:v>
      </x:c>
      <x:c r="D190" s="115" t="str">
        <x:v>Wortbildung und schwierige Schreibungen: Verfahren anwenden</x:v>
      </x:c>
      <x:c r="E190" s="115" t="str">
        <x:v>de_k6_st67_wortbildung_verfahren</x:v>
      </x:c>
      <x:c r="F190" s="115" t="str">
        <x:v>schueler/de_k6_st67_wortbildung_verfahren_app.html</x:v>
      </x:c>
      <x:c r="G190" s="115" t="str">
        <x:v>lehrer/de_k6_st67_wortbildung_verfahren_orga.html</x:v>
      </x:c>
      <x:c r="H190" s="116" t="str">
        <x:v>de_06_wortbildung_067_verfahren.html</x:v>
      </x:c>
    </x:row>
    <x:row r="191" ht="42" customHeight="1">
      <x:c r="A191" s="114" t="n">
        <x:v>6</x:v>
      </x:c>
      <x:c r="B191" s="115" t="n">
        <x:v>68</x:v>
      </x:c>
      <x:c r="C191" s="115" t="str">
        <x:v>Sprache untersuchen</x:v>
      </x:c>
      <x:c r="D191" s="115" t="str">
        <x:v>Wortbildung und schwierige Schreibungen: Formen und Funktionen untersuchen</x:v>
      </x:c>
      <x:c r="E191" s="115" t="str">
        <x:v>de_k6_st68_wortbildung_funktion</x:v>
      </x:c>
      <x:c r="F191" s="115" t="str">
        <x:v>schueler/de_k6_st68_wortbildung_funktion_app.html</x:v>
      </x:c>
      <x:c r="G191" s="115" t="str">
        <x:v>lehrer/de_k6_st68_wortbildung_funktion_orga.html</x:v>
      </x:c>
      <x:c r="H191" s="116" t="str">
        <x:v>de_06_wortbildung_068_funktion.html</x:v>
      </x:c>
    </x:row>
    <x:row r="192" ht="42" customHeight="1">
      <x:c r="A192" s="114" t="n">
        <x:v>6</x:v>
      </x:c>
      <x:c r="B192" s="115" t="n">
        <x:v>69</x:v>
      </x:c>
      <x:c r="C192" s="115" t="str">
        <x:v>Schreiben</x:v>
      </x:c>
      <x:c r="D192" s="115" t="str">
        <x:v>Wortbildung und schwierige Schreibungen: Wissen im eigenen Text nutzen</x:v>
      </x:c>
      <x:c r="E192" s="115" t="str">
        <x:v>de_k6_st69_wortbildung_anwenden</x:v>
      </x:c>
      <x:c r="F192" s="115" t="str">
        <x:v>schueler/de_k6_st69_wortbildung_anwenden_app.html</x:v>
      </x:c>
      <x:c r="G192" s="115" t="str">
        <x:v>lehrer/de_k6_st69_wortbildung_anwenden_orga.html</x:v>
      </x:c>
      <x:c r="H192" s="116" t="str">
        <x:v>de_06_wortbildung_069_anwenden.html</x:v>
      </x:c>
    </x:row>
    <x:row r="193" ht="42" customHeight="1">
      <x:c r="A193" s="114" t="n">
        <x:v>6</x:v>
      </x:c>
      <x:c r="B193" s="115" t="n">
        <x:v>70</x:v>
      </x:c>
      <x:c r="C193" s="115" t="str">
        <x:v>Sprache untersuchen</x:v>
      </x:c>
      <x:c r="D193" s="115" t="str">
        <x:v>Wortbildung und schwierige Schreibungen: Fehler finden und korrigieren</x:v>
      </x:c>
      <x:c r="E193" s="115" t="str">
        <x:v>de_k6_st70_wortbildung_fehler</x:v>
      </x:c>
      <x:c r="F193" s="115" t="str">
        <x:v>schueler/de_k6_st70_wortbildung_fehler_app.html</x:v>
      </x:c>
      <x:c r="G193" s="115" t="str">
        <x:v>lehrer/de_k6_st70_wortbildung_fehler_orga.html</x:v>
      </x:c>
      <x:c r="H193" s="116" t="str">
        <x:v>de_06_wortbildung_070_fehler.html</x:v>
      </x:c>
    </x:row>
    <x:row r="194" ht="42" customHeight="1">
      <x:c r="A194" s="114" t="n">
        <x:v>6</x:v>
      </x:c>
      <x:c r="B194" s="115" t="n">
        <x:v>71</x:v>
      </x:c>
      <x:c r="C194" s="115" t="str">
        <x:v>Sprache untersuchen</x:v>
      </x:c>
      <x:c r="D194" s="115" t="str">
        <x:v>Wortbildung und schwierige Schreibungen: Transfer auf unbekannte Beispiele</x:v>
      </x:c>
      <x:c r="E194" s="115" t="str">
        <x:v>de_k6_st71_wortbildung_transfer</x:v>
      </x:c>
      <x:c r="F194" s="115" t="str">
        <x:v>schueler/de_k6_st71_wortbildung_transfer_app.html</x:v>
      </x:c>
      <x:c r="G194" s="115" t="str">
        <x:v>lehrer/de_k6_st71_wortbildung_transfer_orga.html</x:v>
      </x:c>
      <x:c r="H194" s="116" t="str">
        <x:v>de_06_wortbildung_071_transfer.html</x:v>
      </x:c>
    </x:row>
    <x:row r="195" ht="42" customHeight="1">
      <x:c r="A195" s="114" t="n">
        <x:v>6</x:v>
      </x:c>
      <x:c r="B195" s="115" t="n">
        <x:v>72</x:v>
      </x:c>
      <x:c r="C195" s="115" t="str">
        <x:v>Schreiben</x:v>
      </x:c>
      <x:c r="D195" s="115" t="str">
        <x:v>Wortbildung und schwierige Schreibungen: Lernprodukt und Kompetenzcheck</x:v>
      </x:c>
      <x:c r="E195" s="115" t="str">
        <x:v>de_k6_st72_wortbildung_kompetenzcheck</x:v>
      </x:c>
      <x:c r="F195" s="115" t="str">
        <x:v>schueler/de_k6_st72_wortbildung_kompetenzcheck_app.html</x:v>
      </x:c>
      <x:c r="G195" s="115" t="str">
        <x:v>lehrer/de_k6_st72_wortbildung_kompetenzcheck_orga.html</x:v>
      </x:c>
      <x:c r="H195" s="116" t="str">
        <x:v>de_06_wortbildung_072_kompetenzcheck.html</x:v>
      </x:c>
    </x:row>
    <x:row r="196" ht="42" customHeight="1">
      <x:c r="A196" s="114" t="n">
        <x:v>7</x:v>
      </x:c>
      <x:c r="B196" s="115" t="n">
        <x:v>33</x:v>
      </x:c>
      <x:c r="C196" s="115" t="str">
        <x:v>Sprache untersuchen</x:v>
      </x:c>
      <x:c r="D196" s="115" t="str">
        <x:v>Adverbiale Bestimmungen und Satzbau: Lernstand feststellen</x:v>
      </x:c>
      <x:c r="E196" s="115" t="str">
        <x:v>de_k7_st33_adverbiale_diagnose</x:v>
      </x:c>
      <x:c r="F196" s="115" t="str">
        <x:v>schueler/de_k7_st33_adverbiale_diagnose_app.html</x:v>
      </x:c>
      <x:c r="G196" s="115" t="str">
        <x:v>lehrer/de_k7_st33_adverbiale_diagnose_orga.html</x:v>
      </x:c>
      <x:c r="H196" s="116" t="str">
        <x:v>de_07_adverbiale_033_diagnose.html</x:v>
      </x:c>
    </x:row>
    <x:row r="197" ht="42" customHeight="1">
      <x:c r="A197" s="114" t="n">
        <x:v>7</x:v>
      </x:c>
      <x:c r="B197" s="115" t="n">
        <x:v>34</x:v>
      </x:c>
      <x:c r="C197" s="115" t="str">
        <x:v>Sprache untersuchen</x:v>
      </x:c>
      <x:c r="D197" s="115" t="str">
        <x:v>Adverbiale Bestimmungen und Satzbau: Grundbegriffe sichern</x:v>
      </x:c>
      <x:c r="E197" s="115" t="str">
        <x:v>de_k7_st34_adverbiale_grundbegriffe</x:v>
      </x:c>
      <x:c r="F197" s="115" t="str">
        <x:v>schueler/de_k7_st34_adverbiale_grundbegriffe_app.html</x:v>
      </x:c>
      <x:c r="G197" s="115" t="str">
        <x:v>lehrer/de_k7_st34_adverbiale_grundbegriffe_orga.html</x:v>
      </x:c>
      <x:c r="H197" s="116" t="str">
        <x:v>de_07_adverbiale_034_grundbegriffe.html</x:v>
      </x:c>
    </x:row>
    <x:row r="198" ht="42" customHeight="1">
      <x:c r="A198" s="114" t="n">
        <x:v>7</x:v>
      </x:c>
      <x:c r="B198" s="115" t="n">
        <x:v>35</x:v>
      </x:c>
      <x:c r="C198" s="115" t="str">
        <x:v>Sprache untersuchen</x:v>
      </x:c>
      <x:c r="D198" s="115" t="str">
        <x:v>Adverbiale Bestimmungen und Satzbau: Verfahren anwenden</x:v>
      </x:c>
      <x:c r="E198" s="115" t="str">
        <x:v>de_k7_st35_adverbiale_verfahren</x:v>
      </x:c>
      <x:c r="F198" s="115" t="str">
        <x:v>schueler/de_k7_st35_adverbiale_verfahren_app.html</x:v>
      </x:c>
      <x:c r="G198" s="115" t="str">
        <x:v>lehrer/de_k7_st35_adverbiale_verfahren_orga.html</x:v>
      </x:c>
      <x:c r="H198" s="116" t="str">
        <x:v>de_07_adverbiale_035_verfahren.html</x:v>
      </x:c>
    </x:row>
    <x:row r="199" ht="42" customHeight="1">
      <x:c r="A199" s="114" t="n">
        <x:v>7</x:v>
      </x:c>
      <x:c r="B199" s="115" t="n">
        <x:v>36</x:v>
      </x:c>
      <x:c r="C199" s="115" t="str">
        <x:v>Sprache untersuchen</x:v>
      </x:c>
      <x:c r="D199" s="115" t="str">
        <x:v>Adverbiale Bestimmungen und Satzbau: Formen und Funktionen untersuchen</x:v>
      </x:c>
      <x:c r="E199" s="115" t="str">
        <x:v>de_k7_st36_adverbiale_funktion</x:v>
      </x:c>
      <x:c r="F199" s="115" t="str">
        <x:v>schueler/de_k7_st36_adverbiale_funktion_app.html</x:v>
      </x:c>
      <x:c r="G199" s="115" t="str">
        <x:v>lehrer/de_k7_st36_adverbiale_funktion_orga.html</x:v>
      </x:c>
      <x:c r="H199" s="116" t="str">
        <x:v>de_07_adverbiale_036_funktion.html</x:v>
      </x:c>
    </x:row>
    <x:row r="200" ht="42" customHeight="1">
      <x:c r="A200" s="114" t="n">
        <x:v>7</x:v>
      </x:c>
      <x:c r="B200" s="115" t="n">
        <x:v>37</x:v>
      </x:c>
      <x:c r="C200" s="115" t="str">
        <x:v>Schreiben</x:v>
      </x:c>
      <x:c r="D200" s="115" t="str">
        <x:v>Adverbiale Bestimmungen und Satzbau: Wissen im eigenen Text nutzen</x:v>
      </x:c>
      <x:c r="E200" s="115" t="str">
        <x:v>de_k7_st37_adverbiale_anwenden</x:v>
      </x:c>
      <x:c r="F200" s="115" t="str">
        <x:v>schueler/de_k7_st37_adverbiale_anwenden_app.html</x:v>
      </x:c>
      <x:c r="G200" s="115" t="str">
        <x:v>lehrer/de_k7_st37_adverbiale_anwenden_orga.html</x:v>
      </x:c>
      <x:c r="H200" s="116" t="str">
        <x:v>de_07_adverbiale_037_anwenden.html</x:v>
      </x:c>
    </x:row>
    <x:row r="201" ht="42" customHeight="1">
      <x:c r="A201" s="114" t="n">
        <x:v>7</x:v>
      </x:c>
      <x:c r="B201" s="115" t="n">
        <x:v>38</x:v>
      </x:c>
      <x:c r="C201" s="115" t="str">
        <x:v>Sprache untersuchen</x:v>
      </x:c>
      <x:c r="D201" s="115" t="str">
        <x:v>Adverbiale Bestimmungen und Satzbau: Fehler finden und korrigieren</x:v>
      </x:c>
      <x:c r="E201" s="115" t="str">
        <x:v>de_k7_st38_adverbiale_fehler</x:v>
      </x:c>
      <x:c r="F201" s="115" t="str">
        <x:v>schueler/de_k7_st38_adverbiale_fehler_app.html</x:v>
      </x:c>
      <x:c r="G201" s="115" t="str">
        <x:v>lehrer/de_k7_st38_adverbiale_fehler_orga.html</x:v>
      </x:c>
      <x:c r="H201" s="116" t="str">
        <x:v>de_07_adverbiale_038_fehler.html</x:v>
      </x:c>
    </x:row>
    <x:row r="202" ht="42" customHeight="1">
      <x:c r="A202" s="114" t="n">
        <x:v>7</x:v>
      </x:c>
      <x:c r="B202" s="115" t="n">
        <x:v>39</x:v>
      </x:c>
      <x:c r="C202" s="115" t="str">
        <x:v>Sprache untersuchen</x:v>
      </x:c>
      <x:c r="D202" s="115" t="str">
        <x:v>Adverbiale Bestimmungen und Satzbau: Transfer auf unbekannte Beispiele</x:v>
      </x:c>
      <x:c r="E202" s="115" t="str">
        <x:v>de_k7_st39_adverbiale_transfer</x:v>
      </x:c>
      <x:c r="F202" s="115" t="str">
        <x:v>schueler/de_k7_st39_adverbiale_transfer_app.html</x:v>
      </x:c>
      <x:c r="G202" s="115" t="str">
        <x:v>lehrer/de_k7_st39_adverbiale_transfer_orga.html</x:v>
      </x:c>
      <x:c r="H202" s="116" t="str">
        <x:v>de_07_adverbiale_039_transfer.html</x:v>
      </x:c>
    </x:row>
    <x:row r="203" ht="42" customHeight="1">
      <x:c r="A203" s="114" t="n">
        <x:v>7</x:v>
      </x:c>
      <x:c r="B203" s="115" t="n">
        <x:v>40</x:v>
      </x:c>
      <x:c r="C203" s="115" t="str">
        <x:v>Schreiben</x:v>
      </x:c>
      <x:c r="D203" s="115" t="str">
        <x:v>Adverbiale Bestimmungen und Satzbau: Lernprodukt und Kompetenzcheck</x:v>
      </x:c>
      <x:c r="E203" s="115" t="str">
        <x:v>de_k7_st40_adverbiale_kompetenzcheck</x:v>
      </x:c>
      <x:c r="F203" s="115" t="str">
        <x:v>schueler/de_k7_st40_adverbiale_kompetenzcheck_app.html</x:v>
      </x:c>
      <x:c r="G203" s="115" t="str">
        <x:v>lehrer/de_k7_st40_adverbiale_kompetenzcheck_orga.html</x:v>
      </x:c>
      <x:c r="H203" s="116" t="str">
        <x:v>de_07_adverbiale_040_kompetenzcheck.html</x:v>
      </x:c>
    </x:row>
    <x:row r="204" ht="42" customHeight="1">
      <x:c r="A204" s="114" t="n">
        <x:v>7</x:v>
      </x:c>
      <x:c r="B204" s="115" t="n">
        <x:v>41</x:v>
      </x:c>
      <x:c r="C204" s="115" t="str">
        <x:v>Lesen/Umgang mit Texten</x:v>
      </x:c>
      <x:c r="D204" s="115" t="str">
        <x:v>Argumentieren und Stellung nehmen: Beispieltexte untersuchen</x:v>
      </x:c>
      <x:c r="E204" s="115" t="str">
        <x:v>de_k7_st41_argumentieren_beispiel</x:v>
      </x:c>
      <x:c r="F204" s="115" t="str">
        <x:v>schueler/de_k7_st41_argumentieren_beispiel_app.html</x:v>
      </x:c>
      <x:c r="G204" s="115" t="str">
        <x:v>lehrer/de_k7_st41_argumentieren_beispiel_orga.html</x:v>
      </x:c>
      <x:c r="H204" s="116" t="str">
        <x:v>de_07_argumentieren_041_beispiel.html</x:v>
      </x:c>
    </x:row>
    <x:row r="205" ht="42" customHeight="1">
      <x:c r="A205" s="114" t="n">
        <x:v>7</x:v>
      </x:c>
      <x:c r="B205" s="115" t="n">
        <x:v>42</x:v>
      </x:c>
      <x:c r="C205" s="115" t="str">
        <x:v>Schreiben</x:v>
      </x:c>
      <x:c r="D205" s="115" t="str">
        <x:v>Argumentieren und Stellung nehmen: Schreibziel und Kriterien klären</x:v>
      </x:c>
      <x:c r="E205" s="115" t="str">
        <x:v>de_k7_st42_argumentieren_kriterien</x:v>
      </x:c>
      <x:c r="F205" s="115" t="str">
        <x:v>schueler/de_k7_st42_argumentieren_kriterien_app.html</x:v>
      </x:c>
      <x:c r="G205" s="115" t="str">
        <x:v>lehrer/de_k7_st42_argumentieren_kriterien_orga.html</x:v>
      </x:c>
      <x:c r="H205" s="116" t="str">
        <x:v>de_07_argumentieren_042_kriterien.html</x:v>
      </x:c>
    </x:row>
    <x:row r="206" ht="42" customHeight="1">
      <x:c r="A206" s="114" t="n">
        <x:v>7</x:v>
      </x:c>
      <x:c r="B206" s="115" t="n">
        <x:v>43</x:v>
      </x:c>
      <x:c r="C206" s="115" t="str">
        <x:v>Lesen/Umgang mit Texten</x:v>
      </x:c>
      <x:c r="D206" s="115" t="str">
        <x:v>Argumentieren und Stellung nehmen: Inhalte auswählen und ordnen</x:v>
      </x:c>
      <x:c r="E206" s="115" t="str">
        <x:v>de_k7_st43_argumentieren_inhalte_ordnen</x:v>
      </x:c>
      <x:c r="F206" s="115" t="str">
        <x:v>schueler/de_k7_st43_argumentieren_inhalte_ordnen_app.html</x:v>
      </x:c>
      <x:c r="G206" s="115" t="str">
        <x:v>lehrer/de_k7_st43_argumentieren_inhalte_ordnen_orga.html</x:v>
      </x:c>
      <x:c r="H206" s="116" t="str">
        <x:v>de_07_argumentieren_043_inhalte_ordnen.html</x:v>
      </x:c>
    </x:row>
    <x:row r="207" ht="42" customHeight="1">
      <x:c r="A207" s="114" t="n">
        <x:v>7</x:v>
      </x:c>
      <x:c r="B207" s="115" t="n">
        <x:v>44</x:v>
      </x:c>
      <x:c r="C207" s="115" t="str">
        <x:v>Sprache untersuchen</x:v>
      </x:c>
      <x:c r="D207" s="115" t="str">
        <x:v>Argumentieren und Stellung nehmen: Passende sprachliche Mittel verwenden</x:v>
      </x:c>
      <x:c r="E207" s="115" t="str">
        <x:v>de_k7_st44_argumentieren_sprachmittel</x:v>
      </x:c>
      <x:c r="F207" s="115" t="str">
        <x:v>schueler/de_k7_st44_argumentieren_sprachmittel_app.html</x:v>
      </x:c>
      <x:c r="G207" s="115" t="str">
        <x:v>lehrer/de_k7_st44_argumentieren_sprachmittel_orga.html</x:v>
      </x:c>
      <x:c r="H207" s="116" t="str">
        <x:v>de_07_argumentieren_044_sprachmittel.html</x:v>
      </x:c>
    </x:row>
    <x:row r="208" ht="42" customHeight="1">
      <x:c r="A208" s="114" t="n">
        <x:v>7</x:v>
      </x:c>
      <x:c r="B208" s="115" t="n">
        <x:v>45</x:v>
      </x:c>
      <x:c r="C208" s="115" t="str">
        <x:v>Schreiben</x:v>
      </x:c>
      <x:c r="D208" s="115" t="str">
        <x:v>Argumentieren und Stellung nehmen: Einen Schreibplan erstellen</x:v>
      </x:c>
      <x:c r="E208" s="115" t="str">
        <x:v>de_k7_st45_argumentieren_schreibplan</x:v>
      </x:c>
      <x:c r="F208" s="115" t="str">
        <x:v>schueler/de_k7_st45_argumentieren_schreibplan_app.html</x:v>
      </x:c>
      <x:c r="G208" s="115" t="str">
        <x:v>lehrer/de_k7_st45_argumentieren_schreibplan_orga.html</x:v>
      </x:c>
      <x:c r="H208" s="116" t="str">
        <x:v>de_07_argumentieren_045_schreibplan.html</x:v>
      </x:c>
    </x:row>
    <x:row r="209" ht="42" customHeight="1">
      <x:c r="A209" s="114" t="n">
        <x:v>7</x:v>
      </x:c>
      <x:c r="B209" s="115" t="n">
        <x:v>46</x:v>
      </x:c>
      <x:c r="C209" s="115" t="str">
        <x:v>Schreiben</x:v>
      </x:c>
      <x:c r="D209" s="115" t="str">
        <x:v>Argumentieren und Stellung nehmen: Einen ersten Textentwurf verfassen</x:v>
      </x:c>
      <x:c r="E209" s="115" t="str">
        <x:v>de_k7_st46_argumentieren_entwurf</x:v>
      </x:c>
      <x:c r="F209" s="115" t="str">
        <x:v>schueler/de_k7_st46_argumentieren_entwurf_app.html</x:v>
      </x:c>
      <x:c r="G209" s="115" t="str">
        <x:v>lehrer/de_k7_st46_argumentieren_entwurf_orga.html</x:v>
      </x:c>
      <x:c r="H209" s="116" t="str">
        <x:v>de_07_argumentieren_046_entwurf.html</x:v>
      </x:c>
    </x:row>
    <x:row r="210" ht="42" customHeight="1">
      <x:c r="A210" s="114" t="n">
        <x:v>7</x:v>
      </x:c>
      <x:c r="B210" s="115" t="n">
        <x:v>47</x:v>
      </x:c>
      <x:c r="C210" s="115" t="str">
        <x:v>Schreiben</x:v>
      </x:c>
      <x:c r="D210" s="115" t="str">
        <x:v>Argumentieren und Stellung nehmen: Text kriteriengeleitet überarbeiten</x:v>
      </x:c>
      <x:c r="E210" s="115" t="str">
        <x:v>de_k7_st47_argumentieren_ueberarbeiten</x:v>
      </x:c>
      <x:c r="F210" s="115" t="str">
        <x:v>schueler/de_k7_st47_argumentieren_ueberarbeiten_app.html</x:v>
      </x:c>
      <x:c r="G210" s="115" t="str">
        <x:v>lehrer/de_k7_st47_argumentieren_ueberarbeiten_orga.html</x:v>
      </x:c>
      <x:c r="H210" s="116" t="str">
        <x:v>de_07_argumentieren_047_ueberarbeiten.html</x:v>
      </x:c>
    </x:row>
    <x:row r="211" ht="42" customHeight="1">
      <x:c r="A211" s="114" t="n">
        <x:v>7</x:v>
      </x:c>
      <x:c r="B211" s="115" t="n">
        <x:v>48</x:v>
      </x:c>
      <x:c r="C211" s="115" t="str">
        <x:v>Sprechen und Zuhören</x:v>
      </x:c>
      <x:c r="D211" s="115" t="str">
        <x:v>Argumentieren und Stellung nehmen: Texte vorstellen und bewerten</x:v>
      </x:c>
      <x:c r="E211" s="115" t="str">
        <x:v>de_k7_st48_argumentieren_vorstellen</x:v>
      </x:c>
      <x:c r="F211" s="115" t="str">
        <x:v>schueler/de_k7_st48_argumentieren_vorstellen_app.html</x:v>
      </x:c>
      <x:c r="G211" s="115" t="str">
        <x:v>lehrer/de_k7_st48_argumentieren_vorstellen_orga.html</x:v>
      </x:c>
      <x:c r="H211" s="116" t="str">
        <x:v>de_07_argumentieren_048_vorstellen.html</x:v>
      </x:c>
    </x:row>
    <x:row r="212" ht="42" customHeight="1">
      <x:c r="A212" s="114" t="n">
        <x:v>7</x:v>
      </x:c>
      <x:c r="B212" s="115" t="n">
        <x:v>17</x:v>
      </x:c>
      <x:c r="C212" s="115" t="str">
        <x:v>Sprechen und Zuhören</x:v>
      </x:c>
      <x:c r="D212" s="115" t="str">
        <x:v>Balladen untersuchen und vortragen: Hör- oder Leseeinstieg gestalten</x:v>
      </x:c>
      <x:c r="E212" s="115" t="str">
        <x:v>de_k7_st17_balladen_einstieg</x:v>
      </x:c>
      <x:c r="F212" s="115" t="str">
        <x:v>schueler/de_k7_st17_balladen_einstieg_app.html</x:v>
      </x:c>
      <x:c r="G212" s="115" t="str">
        <x:v>lehrer/de_k7_st17_balladen_einstieg_orga.html</x:v>
      </x:c>
      <x:c r="H212" s="116" t="str">
        <x:v>de_07_balladen_017_einstieg.html</x:v>
      </x:c>
    </x:row>
    <x:row r="213" ht="42" customHeight="1">
      <x:c r="A213" s="114" t="n">
        <x:v>7</x:v>
      </x:c>
      <x:c r="B213" s="115" t="n">
        <x:v>18</x:v>
      </x:c>
      <x:c r="C213" s="115" t="str">
        <x:v>Lesen/Umgang mit Texten</x:v>
      </x:c>
      <x:c r="D213" s="115" t="str">
        <x:v>Balladen untersuchen und vortragen: Den Text mit Lesestrategien erschließen</x:v>
      </x:c>
      <x:c r="E213" s="115" t="str">
        <x:v>de_k7_st18_balladen_erschliessen</x:v>
      </x:c>
      <x:c r="F213" s="115" t="str">
        <x:v>schueler/de_k7_st18_balladen_erschliessen_app.html</x:v>
      </x:c>
      <x:c r="G213" s="115" t="str">
        <x:v>lehrer/de_k7_st18_balladen_erschliessen_orga.html</x:v>
      </x:c>
      <x:c r="H213" s="116" t="str">
        <x:v>de_07_balladen_018_erschliessen.html</x:v>
      </x:c>
    </x:row>
    <x:row r="214" ht="42" customHeight="1">
      <x:c r="A214" s="114" t="n">
        <x:v>7</x:v>
      </x:c>
      <x:c r="B214" s="115" t="n">
        <x:v>19</x:v>
      </x:c>
      <x:c r="C214" s="115" t="str">
        <x:v>Lesen/Umgang mit Texten</x:v>
      </x:c>
      <x:c r="D214" s="115" t="str">
        <x:v>Balladen untersuchen und vortragen: Gattungsmerkmale erkennen</x:v>
      </x:c>
      <x:c r="E214" s="115" t="str">
        <x:v>de_k7_st19_balladen_merkmale</x:v>
      </x:c>
      <x:c r="F214" s="115" t="str">
        <x:v>schueler/de_k7_st19_balladen_merkmale_app.html</x:v>
      </x:c>
      <x:c r="G214" s="115" t="str">
        <x:v>lehrer/de_k7_st19_balladen_merkmale_orga.html</x:v>
      </x:c>
      <x:c r="H214" s="116" t="str">
        <x:v>de_07_balladen_019_merkmale.html</x:v>
      </x:c>
    </x:row>
    <x:row r="215" ht="42" customHeight="1">
      <x:c r="A215" s="114" t="n">
        <x:v>7</x:v>
      </x:c>
      <x:c r="B215" s="115" t="n">
        <x:v>20</x:v>
      </x:c>
      <x:c r="C215" s="115" t="str">
        <x:v>Lesen/Umgang mit Texten</x:v>
      </x:c>
      <x:c r="D215" s="115" t="str">
        <x:v>Balladen untersuchen und vortragen: Figuren, Handlung und Konflikt untersuchen</x:v>
      </x:c>
      <x:c r="E215" s="115" t="str">
        <x:v>de_k7_st20_balladen_figuren_handlung</x:v>
      </x:c>
      <x:c r="F215" s="115" t="str">
        <x:v>schueler/de_k7_st20_balladen_figuren_handlung_app.html</x:v>
      </x:c>
      <x:c r="G215" s="115" t="str">
        <x:v>lehrer/de_k7_st20_balladen_figuren_handlung_orga.html</x:v>
      </x:c>
      <x:c r="H215" s="116" t="str">
        <x:v>de_07_balladen_020_figuren_handlung.html</x:v>
      </x:c>
    </x:row>
    <x:row r="216" ht="42" customHeight="1">
      <x:c r="A216" s="114" t="n">
        <x:v>7</x:v>
      </x:c>
      <x:c r="B216" s="115" t="n">
        <x:v>21</x:v>
      </x:c>
      <x:c r="C216" s="115" t="str">
        <x:v>Sprache untersuchen</x:v>
      </x:c>
      <x:c r="D216" s="115" t="str">
        <x:v>Balladen untersuchen und vortragen: Sprache und Wirkung untersuchen</x:v>
      </x:c>
      <x:c r="E216" s="115" t="str">
        <x:v>de_k7_st21_balladen_sprache_wirkung</x:v>
      </x:c>
      <x:c r="F216" s="115" t="str">
        <x:v>schueler/de_k7_st21_balladen_sprache_wirkung_app.html</x:v>
      </x:c>
      <x:c r="G216" s="115" t="str">
        <x:v>lehrer/de_k7_st21_balladen_sprache_wirkung_orga.html</x:v>
      </x:c>
      <x:c r="H216" s="116" t="str">
        <x:v>de_07_balladen_021_sprache_wirkung.html</x:v>
      </x:c>
    </x:row>
    <x:row r="217" ht="42" customHeight="1">
      <x:c r="A217" s="114" t="n">
        <x:v>7</x:v>
      </x:c>
      <x:c r="B217" s="115" t="n">
        <x:v>22</x:v>
      </x:c>
      <x:c r="C217" s="115" t="str">
        <x:v>Schreiben</x:v>
      </x:c>
      <x:c r="D217" s="115" t="str">
        <x:v>Balladen untersuchen und vortragen: Eine Deutung oder Perspektive vorbereiten</x:v>
      </x:c>
      <x:c r="E217" s="115" t="str">
        <x:v>de_k7_st22_balladen_deutung_planen</x:v>
      </x:c>
      <x:c r="F217" s="115" t="str">
        <x:v>schueler/de_k7_st22_balladen_deutung_planen_app.html</x:v>
      </x:c>
      <x:c r="G217" s="115" t="str">
        <x:v>lehrer/de_k7_st22_balladen_deutung_planen_orga.html</x:v>
      </x:c>
      <x:c r="H217" s="116" t="str">
        <x:v>de_07_balladen_022_deutung_planen.html</x:v>
      </x:c>
    </x:row>
    <x:row r="218" ht="42" customHeight="1">
      <x:c r="A218" s="114" t="n">
        <x:v>7</x:v>
      </x:c>
      <x:c r="B218" s="115" t="n">
        <x:v>23</x:v>
      </x:c>
      <x:c r="C218" s="115" t="str">
        <x:v>Schreiben</x:v>
      </x:c>
      <x:c r="D218" s="115" t="str">
        <x:v>Balladen untersuchen und vortragen: Gestaltender Vortrag gestalten</x:v>
      </x:c>
      <x:c r="E218" s="115" t="str">
        <x:v>de_k7_st23_balladen_produkt</x:v>
      </x:c>
      <x:c r="F218" s="115" t="str">
        <x:v>schueler/de_k7_st23_balladen_produkt_app.html</x:v>
      </x:c>
      <x:c r="G218" s="115" t="str">
        <x:v>lehrer/de_k7_st23_balladen_produkt_orga.html</x:v>
      </x:c>
      <x:c r="H218" s="116" t="str">
        <x:v>de_07_balladen_023_produkt.html</x:v>
      </x:c>
    </x:row>
    <x:row r="219" ht="42" customHeight="1">
      <x:c r="A219" s="114" t="n">
        <x:v>7</x:v>
      </x:c>
      <x:c r="B219" s="115" t="n">
        <x:v>24</x:v>
      </x:c>
      <x:c r="C219" s="115" t="str">
        <x:v>Sprechen und Zuhören</x:v>
      </x:c>
      <x:c r="D219" s="115" t="str">
        <x:v>Balladen untersuchen und vortragen: Ergebnisse präsentieren und reflektieren</x:v>
      </x:c>
      <x:c r="E219" s="115" t="str">
        <x:v>de_k7_st24_balladen_praesentieren</x:v>
      </x:c>
      <x:c r="F219" s="115" t="str">
        <x:v>schueler/de_k7_st24_balladen_praesentieren_app.html</x:v>
      </x:c>
      <x:c r="G219" s="115" t="str">
        <x:v>lehrer/de_k7_st24_balladen_praesentieren_orga.html</x:v>
      </x:c>
      <x:c r="H219" s="116" t="str">
        <x:v>de_07_balladen_024_praesentieren.html</x:v>
      </x:c>
    </x:row>
    <x:row r="220" ht="42" customHeight="1">
      <x:c r="A220" s="114" t="n">
        <x:v>7</x:v>
      </x:c>
      <x:c r="B220" s="115" t="n">
        <x:v>25</x:v>
      </x:c>
      <x:c r="C220" s="115" t="str">
        <x:v>Lesen/Umgang mit Texten</x:v>
      </x:c>
      <x:c r="D220" s="115" t="str">
        <x:v>Inhaltsangaben verfassen: Beispieltexte untersuchen</x:v>
      </x:c>
      <x:c r="E220" s="115" t="str">
        <x:v>de_k7_st25_inhaltsangabe_beispiel</x:v>
      </x:c>
      <x:c r="F220" s="115" t="str">
        <x:v>schueler/de_k7_st25_inhaltsangabe_beispiel_app.html</x:v>
      </x:c>
      <x:c r="G220" s="115" t="str">
        <x:v>lehrer/de_k7_st25_inhaltsangabe_beispiel_orga.html</x:v>
      </x:c>
      <x:c r="H220" s="116" t="str">
        <x:v>de_07_inhaltsangabe_025_beispiel.html</x:v>
      </x:c>
    </x:row>
    <x:row r="221" ht="42" customHeight="1">
      <x:c r="A221" s="114" t="n">
        <x:v>7</x:v>
      </x:c>
      <x:c r="B221" s="115" t="n">
        <x:v>26</x:v>
      </x:c>
      <x:c r="C221" s="115" t="str">
        <x:v>Schreiben</x:v>
      </x:c>
      <x:c r="D221" s="115" t="str">
        <x:v>Inhaltsangaben verfassen: Schreibziel und Kriterien klären</x:v>
      </x:c>
      <x:c r="E221" s="115" t="str">
        <x:v>de_k7_st26_inhaltsangabe_kriterien</x:v>
      </x:c>
      <x:c r="F221" s="115" t="str">
        <x:v>schueler/de_k7_st26_inhaltsangabe_kriterien_app.html</x:v>
      </x:c>
      <x:c r="G221" s="115" t="str">
        <x:v>lehrer/de_k7_st26_inhaltsangabe_kriterien_orga.html</x:v>
      </x:c>
      <x:c r="H221" s="116" t="str">
        <x:v>de_07_inhaltsangabe_026_kriterien.html</x:v>
      </x:c>
    </x:row>
    <x:row r="222" ht="42" customHeight="1">
      <x:c r="A222" s="114" t="n">
        <x:v>7</x:v>
      </x:c>
      <x:c r="B222" s="115" t="n">
        <x:v>27</x:v>
      </x:c>
      <x:c r="C222" s="115" t="str">
        <x:v>Lesen/Umgang mit Texten</x:v>
      </x:c>
      <x:c r="D222" s="115" t="str">
        <x:v>Inhaltsangaben verfassen: Inhalte auswählen und ordnen</x:v>
      </x:c>
      <x:c r="E222" s="115" t="str">
        <x:v>de_k7_st27_inhaltsangabe_inhalte_ordnen</x:v>
      </x:c>
      <x:c r="F222" s="115" t="str">
        <x:v>schueler/de_k7_st27_inhaltsangabe_inhalte_ordnen_app.html</x:v>
      </x:c>
      <x:c r="G222" s="115" t="str">
        <x:v>lehrer/de_k7_st27_inhaltsangabe_inhalte_ordnen_orga.html</x:v>
      </x:c>
      <x:c r="H222" s="116" t="str">
        <x:v>de_07_inhaltsangabe_027_inhalte_ordnen.html</x:v>
      </x:c>
    </x:row>
    <x:row r="223" ht="42" customHeight="1">
      <x:c r="A223" s="114" t="n">
        <x:v>7</x:v>
      </x:c>
      <x:c r="B223" s="115" t="n">
        <x:v>28</x:v>
      </x:c>
      <x:c r="C223" s="115" t="str">
        <x:v>Sprache untersuchen</x:v>
      </x:c>
      <x:c r="D223" s="115" t="str">
        <x:v>Inhaltsangaben verfassen: Passende sprachliche Mittel verwenden</x:v>
      </x:c>
      <x:c r="E223" s="115" t="str">
        <x:v>de_k7_st28_inhaltsangabe_sprachmittel</x:v>
      </x:c>
      <x:c r="F223" s="115" t="str">
        <x:v>schueler/de_k7_st28_inhaltsangabe_sprachmittel_app.html</x:v>
      </x:c>
      <x:c r="G223" s="115" t="str">
        <x:v>lehrer/de_k7_st28_inhaltsangabe_sprachmittel_orga.html</x:v>
      </x:c>
      <x:c r="H223" s="116" t="str">
        <x:v>de_07_inhaltsangabe_028_sprachmittel.html</x:v>
      </x:c>
    </x:row>
    <x:row r="224" ht="42" customHeight="1">
      <x:c r="A224" s="114" t="n">
        <x:v>7</x:v>
      </x:c>
      <x:c r="B224" s="115" t="n">
        <x:v>29</x:v>
      </x:c>
      <x:c r="C224" s="115" t="str">
        <x:v>Schreiben</x:v>
      </x:c>
      <x:c r="D224" s="115" t="str">
        <x:v>Inhaltsangaben verfassen: Einen Schreibplan erstellen</x:v>
      </x:c>
      <x:c r="E224" s="115" t="str">
        <x:v>de_k7_st29_inhaltsangabe_schreibplan</x:v>
      </x:c>
      <x:c r="F224" s="115" t="str">
        <x:v>schueler/de_k7_st29_inhaltsangabe_schreibplan_app.html</x:v>
      </x:c>
      <x:c r="G224" s="115" t="str">
        <x:v>lehrer/de_k7_st29_inhaltsangabe_schreibplan_orga.html</x:v>
      </x:c>
      <x:c r="H224" s="116" t="str">
        <x:v>de_07_inhaltsangabe_029_schreibplan.html</x:v>
      </x:c>
    </x:row>
    <x:row r="225" ht="42" customHeight="1">
      <x:c r="A225" s="114" t="n">
        <x:v>7</x:v>
      </x:c>
      <x:c r="B225" s="115" t="n">
        <x:v>30</x:v>
      </x:c>
      <x:c r="C225" s="115" t="str">
        <x:v>Schreiben</x:v>
      </x:c>
      <x:c r="D225" s="115" t="str">
        <x:v>Inhaltsangaben verfassen: Einen ersten Textentwurf verfassen</x:v>
      </x:c>
      <x:c r="E225" s="115" t="str">
        <x:v>de_k7_st30_inhaltsangabe_entwurf</x:v>
      </x:c>
      <x:c r="F225" s="115" t="str">
        <x:v>schueler/de_k7_st30_inhaltsangabe_entwurf_app.html</x:v>
      </x:c>
      <x:c r="G225" s="115" t="str">
        <x:v>lehrer/de_k7_st30_inhaltsangabe_entwurf_orga.html</x:v>
      </x:c>
      <x:c r="H225" s="116" t="str">
        <x:v>de_07_inhaltsangabe_030_entwurf.html</x:v>
      </x:c>
    </x:row>
    <x:row r="226" ht="42" customHeight="1">
      <x:c r="A226" s="114" t="n">
        <x:v>7</x:v>
      </x:c>
      <x:c r="B226" s="115" t="n">
        <x:v>31</x:v>
      </x:c>
      <x:c r="C226" s="115" t="str">
        <x:v>Schreiben</x:v>
      </x:c>
      <x:c r="D226" s="115" t="str">
        <x:v>Inhaltsangaben verfassen: Text kriteriengeleitet überarbeiten</x:v>
      </x:c>
      <x:c r="E226" s="115" t="str">
        <x:v>de_k7_st31_inhaltsangabe_ueberarbeiten</x:v>
      </x:c>
      <x:c r="F226" s="115" t="str">
        <x:v>schueler/de_k7_st31_inhaltsangabe_ueberarbeiten_app.html</x:v>
      </x:c>
      <x:c r="G226" s="115" t="str">
        <x:v>lehrer/de_k7_st31_inhaltsangabe_ueberarbeiten_orga.html</x:v>
      </x:c>
      <x:c r="H226" s="116" t="str">
        <x:v>de_07_inhaltsangabe_031_ueberarbeiten.html</x:v>
      </x:c>
    </x:row>
    <x:row r="227" ht="42" customHeight="1">
      <x:c r="A227" s="114" t="n">
        <x:v>7</x:v>
      </x:c>
      <x:c r="B227" s="115" t="n">
        <x:v>32</x:v>
      </x:c>
      <x:c r="C227" s="115" t="str">
        <x:v>Sprechen und Zuhören</x:v>
      </x:c>
      <x:c r="D227" s="115" t="str">
        <x:v>Inhaltsangaben verfassen: Texte vorstellen und bewerten</x:v>
      </x:c>
      <x:c r="E227" s="115" t="str">
        <x:v>de_k7_st32_inhaltsangabe_vorstellen</x:v>
      </x:c>
      <x:c r="F227" s="115" t="str">
        <x:v>schueler/de_k7_st32_inhaltsangabe_vorstellen_app.html</x:v>
      </x:c>
      <x:c r="G227" s="115" t="str">
        <x:v>lehrer/de_k7_st32_inhaltsangabe_vorstellen_orga.html</x:v>
      </x:c>
      <x:c r="H227" s="116" t="str">
        <x:v>de_07_inhaltsangabe_032_vorstellen.html</x:v>
      </x:c>
    </x:row>
    <x:row r="228" ht="42" customHeight="1">
      <x:c r="A228" s="114" t="n">
        <x:v>7</x:v>
      </x:c>
      <x:c r="B228" s="115" t="n">
        <x:v>1</x:v>
      </x:c>
      <x:c r="C228" s="115" t="str">
        <x:v>Sprechen und Zuhören</x:v>
      </x:c>
      <x:c r="D228" s="115" t="str">
        <x:v>Kommunikation und Sprachregister: Vorwissen und Positionen klären</x:v>
      </x:c>
      <x:c r="E228" s="115" t="str">
        <x:v>de_k7_st01_kommunikation_einstieg</x:v>
      </x:c>
      <x:c r="F228" s="115" t="str">
        <x:v>schueler/de_k7_st01_kommunikation_einstieg_app.html</x:v>
      </x:c>
      <x:c r="G228" s="115" t="str">
        <x:v>lehrer/de_k7_st01_kommunikation_einstieg_orga.html</x:v>
      </x:c>
      <x:c r="H228" s="116" t="str">
        <x:v>de_07_kommunikation_001_einstieg.html</x:v>
      </x:c>
    </x:row>
    <x:row r="229" ht="42" customHeight="1">
      <x:c r="A229" s="114" t="n">
        <x:v>7</x:v>
      </x:c>
      <x:c r="B229" s="115" t="n">
        <x:v>2</x:v>
      </x:c>
      <x:c r="C229" s="115" t="str">
        <x:v>Lesen/Umgang mit Texten</x:v>
      </x:c>
      <x:c r="D229" s="115" t="str">
        <x:v>Kommunikation und Sprachregister: Quellen und Materialien erschließen</x:v>
      </x:c>
      <x:c r="E229" s="115" t="str">
        <x:v>de_k7_st02_kommunikation_quellen</x:v>
      </x:c>
      <x:c r="F229" s="115" t="str">
        <x:v>schueler/de_k7_st02_kommunikation_quellen_app.html</x:v>
      </x:c>
      <x:c r="G229" s="115" t="str">
        <x:v>lehrer/de_k7_st02_kommunikation_quellen_orga.html</x:v>
      </x:c>
      <x:c r="H229" s="116" t="str">
        <x:v>de_07_kommunikation_002_quellen.html</x:v>
      </x:c>
    </x:row>
    <x:row r="230" ht="42" customHeight="1">
      <x:c r="A230" s="114" t="n">
        <x:v>7</x:v>
      </x:c>
      <x:c r="B230" s="115" t="n">
        <x:v>3</x:v>
      </x:c>
      <x:c r="C230" s="115" t="str">
        <x:v>Lesen/Umgang mit Texten</x:v>
      </x:c>
      <x:c r="D230" s="115" t="str">
        <x:v>Kommunikation und Sprachregister: Qualitätskriterien anwenden</x:v>
      </x:c>
      <x:c r="E230" s="115" t="str">
        <x:v>de_k7_st03_kommunikation_kriterien</x:v>
      </x:c>
      <x:c r="F230" s="115" t="str">
        <x:v>schueler/de_k7_st03_kommunikation_kriterien_app.html</x:v>
      </x:c>
      <x:c r="G230" s="115" t="str">
        <x:v>lehrer/de_k7_st03_kommunikation_kriterien_orga.html</x:v>
      </x:c>
      <x:c r="H230" s="116" t="str">
        <x:v>de_07_kommunikation_003_kriterien.html</x:v>
      </x:c>
    </x:row>
    <x:row r="231" ht="42" customHeight="1">
      <x:c r="A231" s="114" t="n">
        <x:v>7</x:v>
      </x:c>
      <x:c r="B231" s="115" t="n">
        <x:v>4</x:v>
      </x:c>
      <x:c r="C231" s="115" t="str">
        <x:v>Lesen/Umgang mit Texten</x:v>
      </x:c>
      <x:c r="D231" s="115" t="str">
        <x:v>Kommunikation und Sprachregister: Darstellungen vergleichen</x:v>
      </x:c>
      <x:c r="E231" s="115" t="str">
        <x:v>de_k7_st04_kommunikation_vergleichen</x:v>
      </x:c>
      <x:c r="F231" s="115" t="str">
        <x:v>schueler/de_k7_st04_kommunikation_vergleichen_app.html</x:v>
      </x:c>
      <x:c r="G231" s="115" t="str">
        <x:v>lehrer/de_k7_st04_kommunikation_vergleichen_orga.html</x:v>
      </x:c>
      <x:c r="H231" s="116" t="str">
        <x:v>de_07_kommunikation_004_vergleichen.html</x:v>
      </x:c>
    </x:row>
    <x:row r="232" ht="42" customHeight="1">
      <x:c r="A232" s="114" t="n">
        <x:v>7</x:v>
      </x:c>
      <x:c r="B232" s="115" t="n">
        <x:v>5</x:v>
      </x:c>
      <x:c r="C232" s="115" t="str">
        <x:v>Schreiben</x:v>
      </x:c>
      <x:c r="D232" s="115" t="str">
        <x:v>Kommunikation und Sprachregister: Informationen prüfen und ordnen</x:v>
      </x:c>
      <x:c r="E232" s="115" t="str">
        <x:v>de_k7_st05_kommunikation_recherche</x:v>
      </x:c>
      <x:c r="F232" s="115" t="str">
        <x:v>schueler/de_k7_st05_kommunikation_recherche_app.html</x:v>
      </x:c>
      <x:c r="G232" s="115" t="str">
        <x:v>lehrer/de_k7_st05_kommunikation_recherche_orga.html</x:v>
      </x:c>
      <x:c r="H232" s="116" t="str">
        <x:v>de_07_kommunikation_005_recherche.html</x:v>
      </x:c>
    </x:row>
    <x:row r="233" ht="42" customHeight="1">
      <x:c r="A233" s="114" t="n">
        <x:v>7</x:v>
      </x:c>
      <x:c r="B233" s="115" t="n">
        <x:v>6</x:v>
      </x:c>
      <x:c r="C233" s="115" t="str">
        <x:v>Schreiben</x:v>
      </x:c>
      <x:c r="D233" s="115" t="str">
        <x:v>Kommunikation und Sprachregister: Produkt planen</x:v>
      </x:c>
      <x:c r="E233" s="115" t="str">
        <x:v>de_k7_st06_kommunikation_planen</x:v>
      </x:c>
      <x:c r="F233" s="115" t="str">
        <x:v>schueler/de_k7_st06_kommunikation_planen_app.html</x:v>
      </x:c>
      <x:c r="G233" s="115" t="str">
        <x:v>lehrer/de_k7_st06_kommunikation_planen_orga.html</x:v>
      </x:c>
      <x:c r="H233" s="116" t="str">
        <x:v>de_07_kommunikation_006_planen.html</x:v>
      </x:c>
    </x:row>
    <x:row r="234" ht="42" customHeight="1">
      <x:c r="A234" s="114" t="n">
        <x:v>7</x:v>
      </x:c>
      <x:c r="B234" s="115" t="n">
        <x:v>7</x:v>
      </x:c>
      <x:c r="C234" s="115" t="str">
        <x:v>Schreiben</x:v>
      </x:c>
      <x:c r="D234" s="115" t="str">
        <x:v>Kommunikation und Sprachregister: Produkt erstellen</x:v>
      </x:c>
      <x:c r="E234" s="115" t="str">
        <x:v>de_k7_st07_kommunikation_erstellen</x:v>
      </x:c>
      <x:c r="F234" s="115" t="str">
        <x:v>schueler/de_k7_st07_kommunikation_erstellen_app.html</x:v>
      </x:c>
      <x:c r="G234" s="115" t="str">
        <x:v>lehrer/de_k7_st07_kommunikation_erstellen_orga.html</x:v>
      </x:c>
      <x:c r="H234" s="116" t="str">
        <x:v>de_07_kommunikation_007_erstellen.html</x:v>
      </x:c>
    </x:row>
    <x:row r="235" ht="42" customHeight="1">
      <x:c r="A235" s="114" t="n">
        <x:v>7</x:v>
      </x:c>
      <x:c r="B235" s="115" t="n">
        <x:v>8</x:v>
      </x:c>
      <x:c r="C235" s="115" t="str">
        <x:v>Sprechen und Zuhören</x:v>
      </x:c>
      <x:c r="D235" s="115" t="str">
        <x:v>Kommunikation und Sprachregister: Präsentieren und reflektieren</x:v>
      </x:c>
      <x:c r="E235" s="115" t="str">
        <x:v>de_k7_st08_kommunikation_reflexion</x:v>
      </x:c>
      <x:c r="F235" s="115" t="str">
        <x:v>schueler/de_k7_st08_kommunikation_reflexion_app.html</x:v>
      </x:c>
      <x:c r="G235" s="115" t="str">
        <x:v>lehrer/de_k7_st08_kommunikation_reflexion_orga.html</x:v>
      </x:c>
      <x:c r="H235" s="116" t="str">
        <x:v>de_07_kommunikation_008_reflexion.html</x:v>
      </x:c>
    </x:row>
    <x:row r="236" ht="42" customHeight="1">
      <x:c r="A236" s="114" t="n">
        <x:v>7</x:v>
      </x:c>
      <x:c r="B236" s="115" t="n">
        <x:v>9</x:v>
      </x:c>
      <x:c r="C236" s="115" t="str">
        <x:v>Sprechen und Zuhören</x:v>
      </x:c>
      <x:c r="D236" s="115" t="str">
        <x:v>Kurzgeschichten erschließen: Hör- oder Leseeinstieg gestalten</x:v>
      </x:c>
      <x:c r="E236" s="115" t="str">
        <x:v>de_k7_st09_kurzgeschichten_einstieg</x:v>
      </x:c>
      <x:c r="F236" s="115" t="str">
        <x:v>schueler/de_k7_st09_kurzgeschichten_einstieg_app.html</x:v>
      </x:c>
      <x:c r="G236" s="115" t="str">
        <x:v>lehrer/de_k7_st09_kurzgeschichten_einstieg_orga.html</x:v>
      </x:c>
      <x:c r="H236" s="116" t="str">
        <x:v>de_07_kurzgeschichten_009_einstieg.html</x:v>
      </x:c>
    </x:row>
    <x:row r="237" ht="42" customHeight="1">
      <x:c r="A237" s="114" t="n">
        <x:v>7</x:v>
      </x:c>
      <x:c r="B237" s="115" t="n">
        <x:v>10</x:v>
      </x:c>
      <x:c r="C237" s="115" t="str">
        <x:v>Lesen/Umgang mit Texten</x:v>
      </x:c>
      <x:c r="D237" s="115" t="str">
        <x:v>Kurzgeschichten erschließen: Den Text mit Lesestrategien erschließen</x:v>
      </x:c>
      <x:c r="E237" s="115" t="str">
        <x:v>de_k7_st10_kurzgeschichten_erschliessen</x:v>
      </x:c>
      <x:c r="F237" s="115" t="str">
        <x:v>schueler/de_k7_st10_kurzgeschichten_erschliessen_app.html</x:v>
      </x:c>
      <x:c r="G237" s="115" t="str">
        <x:v>lehrer/de_k7_st10_kurzgeschichten_erschliessen_orga.html</x:v>
      </x:c>
      <x:c r="H237" s="116" t="str">
        <x:v>de_07_kurzgeschichten_010_erschliessen.html</x:v>
      </x:c>
    </x:row>
    <x:row r="238" ht="42" customHeight="1">
      <x:c r="A238" s="114" t="n">
        <x:v>7</x:v>
      </x:c>
      <x:c r="B238" s="115" t="n">
        <x:v>11</x:v>
      </x:c>
      <x:c r="C238" s="115" t="str">
        <x:v>Lesen/Umgang mit Texten</x:v>
      </x:c>
      <x:c r="D238" s="115" t="str">
        <x:v>Kurzgeschichten erschließen: Gattungsmerkmale erkennen</x:v>
      </x:c>
      <x:c r="E238" s="115" t="str">
        <x:v>de_k7_st11_kurzgeschichten_merkmale</x:v>
      </x:c>
      <x:c r="F238" s="115" t="str">
        <x:v>schueler/de_k7_st11_kurzgeschichten_merkmale_app.html</x:v>
      </x:c>
      <x:c r="G238" s="115" t="str">
        <x:v>lehrer/de_k7_st11_kurzgeschichten_merkmale_orga.html</x:v>
      </x:c>
      <x:c r="H238" s="116" t="str">
        <x:v>de_07_kurzgeschichten_011_merkmale.html</x:v>
      </x:c>
    </x:row>
    <x:row r="239" ht="42" customHeight="1">
      <x:c r="A239" s="114" t="n">
        <x:v>7</x:v>
      </x:c>
      <x:c r="B239" s="115" t="n">
        <x:v>12</x:v>
      </x:c>
      <x:c r="C239" s="115" t="str">
        <x:v>Lesen/Umgang mit Texten</x:v>
      </x:c>
      <x:c r="D239" s="115" t="str">
        <x:v>Kurzgeschichten erschließen: Figuren, Handlung und Konflikt untersuchen</x:v>
      </x:c>
      <x:c r="E239" s="115" t="str">
        <x:v>de_k7_st12_kurzgeschichten_figuren_handlung</x:v>
      </x:c>
      <x:c r="F239" s="115" t="str">
        <x:v>schueler/de_k7_st12_kurzgeschichten_figuren_handlung_app.html</x:v>
      </x:c>
      <x:c r="G239" s="115" t="str">
        <x:v>lehrer/de_k7_st12_kurzgeschichten_figuren_handlung_orga.html</x:v>
      </x:c>
      <x:c r="H239" s="116" t="str">
        <x:v>de_07_kurzgeschichten_012_figuren_handlung.html</x:v>
      </x:c>
    </x:row>
    <x:row r="240" ht="42" customHeight="1">
      <x:c r="A240" s="114" t="n">
        <x:v>7</x:v>
      </x:c>
      <x:c r="B240" s="115" t="n">
        <x:v>13</x:v>
      </x:c>
      <x:c r="C240" s="115" t="str">
        <x:v>Sprache untersuchen</x:v>
      </x:c>
      <x:c r="D240" s="115" t="str">
        <x:v>Kurzgeschichten erschließen: Sprache und Wirkung untersuchen</x:v>
      </x:c>
      <x:c r="E240" s="115" t="str">
        <x:v>de_k7_st13_kurzgeschichten_sprache_wirkung</x:v>
      </x:c>
      <x:c r="F240" s="115" t="str">
        <x:v>schueler/de_k7_st13_kurzgeschichten_sprache_wirkung_app.html</x:v>
      </x:c>
      <x:c r="G240" s="115" t="str">
        <x:v>lehrer/de_k7_st13_kurzgeschichten_sprache_wirkung_orga.html</x:v>
      </x:c>
      <x:c r="H240" s="116" t="str">
        <x:v>de_07_kurzgeschichten_013_sprache_wirkung.html</x:v>
      </x:c>
    </x:row>
    <x:row r="241" ht="42" customHeight="1">
      <x:c r="A241" s="114" t="n">
        <x:v>7</x:v>
      </x:c>
      <x:c r="B241" s="115" t="n">
        <x:v>14</x:v>
      </x:c>
      <x:c r="C241" s="115" t="str">
        <x:v>Schreiben</x:v>
      </x:c>
      <x:c r="D241" s="115" t="str">
        <x:v>Kurzgeschichten erschließen: Eine Deutung oder Perspektive vorbereiten</x:v>
      </x:c>
      <x:c r="E241" s="115" t="str">
        <x:v>de_k7_st14_kurzgeschichten_deutung_planen</x:v>
      </x:c>
      <x:c r="F241" s="115" t="str">
        <x:v>schueler/de_k7_st14_kurzgeschichten_deutung_planen_app.html</x:v>
      </x:c>
      <x:c r="G241" s="115" t="str">
        <x:v>lehrer/de_k7_st14_kurzgeschichten_deutung_planen_orga.html</x:v>
      </x:c>
      <x:c r="H241" s="116" t="str">
        <x:v>de_07_kurzgeschichten_014_deutung_planen.html</x:v>
      </x:c>
    </x:row>
    <x:row r="242" ht="42" customHeight="1">
      <x:c r="A242" s="114" t="n">
        <x:v>7</x:v>
      </x:c>
      <x:c r="B242" s="115" t="n">
        <x:v>15</x:v>
      </x:c>
      <x:c r="C242" s="115" t="str">
        <x:v>Schreiben</x:v>
      </x:c>
      <x:c r="D242" s="115" t="str">
        <x:v>Kurzgeschichten erschließen: Fortsetzung oder innerer Monolog gestalten</x:v>
      </x:c>
      <x:c r="E242" s="115" t="str">
        <x:v>de_k7_st15_kurzgeschichten_produkt</x:v>
      </x:c>
      <x:c r="F242" s="115" t="str">
        <x:v>schueler/de_k7_st15_kurzgeschichten_produkt_app.html</x:v>
      </x:c>
      <x:c r="G242" s="115" t="str">
        <x:v>lehrer/de_k7_st15_kurzgeschichten_produkt_orga.html</x:v>
      </x:c>
      <x:c r="H242" s="116" t="str">
        <x:v>de_07_kurzgeschichten_015_produkt.html</x:v>
      </x:c>
    </x:row>
    <x:row r="243" ht="42" customHeight="1">
      <x:c r="A243" s="114" t="n">
        <x:v>7</x:v>
      </x:c>
      <x:c r="B243" s="115" t="n">
        <x:v>16</x:v>
      </x:c>
      <x:c r="C243" s="115" t="str">
        <x:v>Sprechen und Zuhören</x:v>
      </x:c>
      <x:c r="D243" s="115" t="str">
        <x:v>Kurzgeschichten erschließen: Ergebnisse präsentieren und reflektieren</x:v>
      </x:c>
      <x:c r="E243" s="115" t="str">
        <x:v>de_k7_st16_kurzgeschichten_praesentieren</x:v>
      </x:c>
      <x:c r="F243" s="115" t="str">
        <x:v>schueler/de_k7_st16_kurzgeschichten_praesentieren_app.html</x:v>
      </x:c>
      <x:c r="G243" s="115" t="str">
        <x:v>lehrer/de_k7_st16_kurzgeschichten_praesentieren_orga.html</x:v>
      </x:c>
      <x:c r="H243" s="116" t="str">
        <x:v>de_07_kurzgeschichten_016_praesentieren.html</x:v>
      </x:c>
    </x:row>
    <x:row r="244" ht="42" customHeight="1">
      <x:c r="A244" s="114" t="n">
        <x:v>7</x:v>
      </x:c>
      <x:c r="B244" s="115" t="n">
        <x:v>81</x:v>
      </x:c>
      <x:c r="C244" s="115" t="str">
        <x:v>Lesen/Umgang mit Texten</x:v>
      </x:c>
      <x:c r="D244" s="115" t="str">
        <x:v>Offizielle Briefe und Reklamationen: Beispieltexte untersuchen</x:v>
      </x:c>
      <x:c r="E244" s="115" t="str">
        <x:v>de_k7_st81_offizieller_brief_beispiel</x:v>
      </x:c>
      <x:c r="F244" s="115" t="str">
        <x:v>schueler/de_k7_st81_offizieller_brief_beispiel_app.html</x:v>
      </x:c>
      <x:c r="G244" s="115" t="str">
        <x:v>lehrer/de_k7_st81_offizieller_brief_beispiel_orga.html</x:v>
      </x:c>
      <x:c r="H244" s="116" t="str">
        <x:v>de_07_offizieller_brief_081_beispiel.html</x:v>
      </x:c>
    </x:row>
    <x:row r="245" ht="42" customHeight="1">
      <x:c r="A245" s="114" t="n">
        <x:v>7</x:v>
      </x:c>
      <x:c r="B245" s="115" t="n">
        <x:v>82</x:v>
      </x:c>
      <x:c r="C245" s="115" t="str">
        <x:v>Schreiben</x:v>
      </x:c>
      <x:c r="D245" s="115" t="str">
        <x:v>Offizielle Briefe und Reklamationen: Schreibziel und Kriterien klären</x:v>
      </x:c>
      <x:c r="E245" s="115" t="str">
        <x:v>de_k7_st82_offizieller_brief_kriterien</x:v>
      </x:c>
      <x:c r="F245" s="115" t="str">
        <x:v>schueler/de_k7_st82_offizieller_brief_kriterien_app.html</x:v>
      </x:c>
      <x:c r="G245" s="115" t="str">
        <x:v>lehrer/de_k7_st82_offizieller_brief_kriterien_orga.html</x:v>
      </x:c>
      <x:c r="H245" s="116" t="str">
        <x:v>de_07_offizieller_brief_082_kriterien.html</x:v>
      </x:c>
    </x:row>
    <x:row r="246" ht="42" customHeight="1">
      <x:c r="A246" s="114" t="n">
        <x:v>7</x:v>
      </x:c>
      <x:c r="B246" s="115" t="n">
        <x:v>83</x:v>
      </x:c>
      <x:c r="C246" s="115" t="str">
        <x:v>Lesen/Umgang mit Texten</x:v>
      </x:c>
      <x:c r="D246" s="115" t="str">
        <x:v>Offizielle Briefe und Reklamationen: Inhalte auswählen und ordnen</x:v>
      </x:c>
      <x:c r="E246" s="115" t="str">
        <x:v>de_k7_st83_offizieller_brief_inhalte_ordnen</x:v>
      </x:c>
      <x:c r="F246" s="115" t="str">
        <x:v>schueler/de_k7_st83_offizieller_brief_inhalte_ordnen_app.html</x:v>
      </x:c>
      <x:c r="G246" s="115" t="str">
        <x:v>lehrer/de_k7_st83_offizieller_brief_inhalte_ordnen_orga.html</x:v>
      </x:c>
      <x:c r="H246" s="116" t="str">
        <x:v>de_07_offizieller_brief_083_inhalte_ordnen.html</x:v>
      </x:c>
    </x:row>
    <x:row r="247" ht="42" customHeight="1">
      <x:c r="A247" s="114" t="n">
        <x:v>7</x:v>
      </x:c>
      <x:c r="B247" s="115" t="n">
        <x:v>84</x:v>
      </x:c>
      <x:c r="C247" s="115" t="str">
        <x:v>Sprache untersuchen</x:v>
      </x:c>
      <x:c r="D247" s="115" t="str">
        <x:v>Offizielle Briefe und Reklamationen: Passende sprachliche Mittel verwenden</x:v>
      </x:c>
      <x:c r="E247" s="115" t="str">
        <x:v>de_k7_st84_offizieller_brief_sprachmittel</x:v>
      </x:c>
      <x:c r="F247" s="115" t="str">
        <x:v>schueler/de_k7_st84_offizieller_brief_sprachmittel_app.html</x:v>
      </x:c>
      <x:c r="G247" s="115" t="str">
        <x:v>lehrer/de_k7_st84_offizieller_brief_sprachmittel_orga.html</x:v>
      </x:c>
      <x:c r="H247" s="116" t="str">
        <x:v>de_07_offizieller_brief_084_sprachmittel.html</x:v>
      </x:c>
    </x:row>
    <x:row r="248" ht="42" customHeight="1">
      <x:c r="A248" s="114" t="n">
        <x:v>7</x:v>
      </x:c>
      <x:c r="B248" s="115" t="n">
        <x:v>85</x:v>
      </x:c>
      <x:c r="C248" s="115" t="str">
        <x:v>Schreiben</x:v>
      </x:c>
      <x:c r="D248" s="115" t="str">
        <x:v>Offizielle Briefe und Reklamationen: Einen Schreibplan erstellen</x:v>
      </x:c>
      <x:c r="E248" s="115" t="str">
        <x:v>de_k7_st85_offizieller_brief_schreibplan</x:v>
      </x:c>
      <x:c r="F248" s="115" t="str">
        <x:v>schueler/de_k7_st85_offizieller_brief_schreibplan_app.html</x:v>
      </x:c>
      <x:c r="G248" s="115" t="str">
        <x:v>lehrer/de_k7_st85_offizieller_brief_schreibplan_orga.html</x:v>
      </x:c>
      <x:c r="H248" s="116" t="str">
        <x:v>de_07_offizieller_brief_085_schreibplan.html</x:v>
      </x:c>
    </x:row>
    <x:row r="249" ht="42" customHeight="1">
      <x:c r="A249" s="114" t="n">
        <x:v>7</x:v>
      </x:c>
      <x:c r="B249" s="115" t="n">
        <x:v>86</x:v>
      </x:c>
      <x:c r="C249" s="115" t="str">
        <x:v>Schreiben</x:v>
      </x:c>
      <x:c r="D249" s="115" t="str">
        <x:v>Offizielle Briefe und Reklamationen: Einen ersten Textentwurf verfassen</x:v>
      </x:c>
      <x:c r="E249" s="115" t="str">
        <x:v>de_k7_st86_offizieller_brief_entwurf</x:v>
      </x:c>
      <x:c r="F249" s="115" t="str">
        <x:v>schueler/de_k7_st86_offizieller_brief_entwurf_app.html</x:v>
      </x:c>
      <x:c r="G249" s="115" t="str">
        <x:v>lehrer/de_k7_st86_offizieller_brief_entwurf_orga.html</x:v>
      </x:c>
      <x:c r="H249" s="116" t="str">
        <x:v>de_07_offizieller_brief_086_entwurf.html</x:v>
      </x:c>
    </x:row>
    <x:row r="250" ht="42" customHeight="1">
      <x:c r="A250" s="114" t="n">
        <x:v>7</x:v>
      </x:c>
      <x:c r="B250" s="115" t="n">
        <x:v>87</x:v>
      </x:c>
      <x:c r="C250" s="115" t="str">
        <x:v>Schreiben</x:v>
      </x:c>
      <x:c r="D250" s="115" t="str">
        <x:v>Offizielle Briefe und Reklamationen: Text kriteriengeleitet überarbeiten</x:v>
      </x:c>
      <x:c r="E250" s="115" t="str">
        <x:v>de_k7_st87_offizieller_brief_ueberarbeiten</x:v>
      </x:c>
      <x:c r="F250" s="115" t="str">
        <x:v>schueler/de_k7_st87_offizieller_brief_ueberarbeiten_app.html</x:v>
      </x:c>
      <x:c r="G250" s="115" t="str">
        <x:v>lehrer/de_k7_st87_offizieller_brief_ueberarbeiten_orga.html</x:v>
      </x:c>
      <x:c r="H250" s="116" t="str">
        <x:v>de_07_offizieller_brief_087_ueberarbeiten.html</x:v>
      </x:c>
    </x:row>
    <x:row r="251" ht="42" customHeight="1">
      <x:c r="A251" s="114" t="n">
        <x:v>7</x:v>
      </x:c>
      <x:c r="B251" s="115" t="n">
        <x:v>88</x:v>
      </x:c>
      <x:c r="C251" s="115" t="str">
        <x:v>Sprechen und Zuhören</x:v>
      </x:c>
      <x:c r="D251" s="115" t="str">
        <x:v>Offizielle Briefe und Reklamationen: Texte vorstellen und bewerten</x:v>
      </x:c>
      <x:c r="E251" s="115" t="str">
        <x:v>de_k7_st88_offizieller_brief_vorstellen</x:v>
      </x:c>
      <x:c r="F251" s="115" t="str">
        <x:v>schueler/de_k7_st88_offizieller_brief_vorstellen_app.html</x:v>
      </x:c>
      <x:c r="G251" s="115" t="str">
        <x:v>lehrer/de_k7_st88_offizieller_brief_vorstellen_orga.html</x:v>
      </x:c>
      <x:c r="H251" s="116" t="str">
        <x:v>de_07_offizieller_brief_088_vorstellen.html</x:v>
      </x:c>
    </x:row>
    <x:row r="252" ht="42" customHeight="1">
      <x:c r="A252" s="114" t="n">
        <x:v>7</x:v>
      </x:c>
      <x:c r="B252" s="115" t="n">
        <x:v>89</x:v>
      </x:c>
      <x:c r="C252" s="115" t="str">
        <x:v>Sprechen und Zuhören</x:v>
      </x:c>
      <x:c r="D252" s="115" t="str">
        <x:v>Präsentieren und ein Medienprodukt erstellen: Vorwissen und Positionen klären</x:v>
      </x:c>
      <x:c r="E252" s="115" t="str">
        <x:v>de_k7_st89_projekt_einstieg</x:v>
      </x:c>
      <x:c r="F252" s="115" t="str">
        <x:v>schueler/de_k7_st89_projekt_einstieg_app.html</x:v>
      </x:c>
      <x:c r="G252" s="115" t="str">
        <x:v>lehrer/de_k7_st89_projekt_einstieg_orga.html</x:v>
      </x:c>
      <x:c r="H252" s="116" t="str">
        <x:v>de_07_projekt_089_einstieg.html</x:v>
      </x:c>
    </x:row>
    <x:row r="253" ht="42" customHeight="1">
      <x:c r="A253" s="114" t="n">
        <x:v>7</x:v>
      </x:c>
      <x:c r="B253" s="115" t="n">
        <x:v>90</x:v>
      </x:c>
      <x:c r="C253" s="115" t="str">
        <x:v>Lesen/Umgang mit Texten</x:v>
      </x:c>
      <x:c r="D253" s="115" t="str">
        <x:v>Präsentieren und ein Medienprodukt erstellen: Quellen und Materialien erschließen</x:v>
      </x:c>
      <x:c r="E253" s="115" t="str">
        <x:v>de_k7_st90_projekt_quellen</x:v>
      </x:c>
      <x:c r="F253" s="115" t="str">
        <x:v>schueler/de_k7_st90_projekt_quellen_app.html</x:v>
      </x:c>
      <x:c r="G253" s="115" t="str">
        <x:v>lehrer/de_k7_st90_projekt_quellen_orga.html</x:v>
      </x:c>
      <x:c r="H253" s="116" t="str">
        <x:v>de_07_projekt_090_quellen.html</x:v>
      </x:c>
    </x:row>
    <x:row r="254" ht="42" customHeight="1">
      <x:c r="A254" s="114" t="n">
        <x:v>7</x:v>
      </x:c>
      <x:c r="B254" s="115" t="n">
        <x:v>91</x:v>
      </x:c>
      <x:c r="C254" s="115" t="str">
        <x:v>Lesen/Umgang mit Texten</x:v>
      </x:c>
      <x:c r="D254" s="115" t="str">
        <x:v>Präsentieren und ein Medienprodukt erstellen: Qualitätskriterien anwenden</x:v>
      </x:c>
      <x:c r="E254" s="115" t="str">
        <x:v>de_k7_st91_projekt_kriterien</x:v>
      </x:c>
      <x:c r="F254" s="115" t="str">
        <x:v>schueler/de_k7_st91_projekt_kriterien_app.html</x:v>
      </x:c>
      <x:c r="G254" s="115" t="str">
        <x:v>lehrer/de_k7_st91_projekt_kriterien_orga.html</x:v>
      </x:c>
      <x:c r="H254" s="116" t="str">
        <x:v>de_07_projekt_091_kriterien.html</x:v>
      </x:c>
    </x:row>
    <x:row r="255" ht="42" customHeight="1">
      <x:c r="A255" s="114" t="n">
        <x:v>7</x:v>
      </x:c>
      <x:c r="B255" s="115" t="n">
        <x:v>92</x:v>
      </x:c>
      <x:c r="C255" s="115" t="str">
        <x:v>Lesen/Umgang mit Texten</x:v>
      </x:c>
      <x:c r="D255" s="115" t="str">
        <x:v>Präsentieren und ein Medienprodukt erstellen: Darstellungen vergleichen</x:v>
      </x:c>
      <x:c r="E255" s="115" t="str">
        <x:v>de_k7_st92_projekt_vergleichen</x:v>
      </x:c>
      <x:c r="F255" s="115" t="str">
        <x:v>schueler/de_k7_st92_projekt_vergleichen_app.html</x:v>
      </x:c>
      <x:c r="G255" s="115" t="str">
        <x:v>lehrer/de_k7_st92_projekt_vergleichen_orga.html</x:v>
      </x:c>
      <x:c r="H255" s="116" t="str">
        <x:v>de_07_projekt_092_vergleichen.html</x:v>
      </x:c>
    </x:row>
    <x:row r="256" ht="42" customHeight="1">
      <x:c r="A256" s="114" t="n">
        <x:v>7</x:v>
      </x:c>
      <x:c r="B256" s="115" t="n">
        <x:v>93</x:v>
      </x:c>
      <x:c r="C256" s="115" t="str">
        <x:v>Schreiben</x:v>
      </x:c>
      <x:c r="D256" s="115" t="str">
        <x:v>Präsentieren und ein Medienprodukt erstellen: Informationen prüfen und ordnen</x:v>
      </x:c>
      <x:c r="E256" s="115" t="str">
        <x:v>de_k7_st93_projekt_recherche</x:v>
      </x:c>
      <x:c r="F256" s="115" t="str">
        <x:v>schueler/de_k7_st93_projekt_recherche_app.html</x:v>
      </x:c>
      <x:c r="G256" s="115" t="str">
        <x:v>lehrer/de_k7_st93_projekt_recherche_orga.html</x:v>
      </x:c>
      <x:c r="H256" s="116" t="str">
        <x:v>de_07_projekt_093_recherche.html</x:v>
      </x:c>
    </x:row>
    <x:row r="257" ht="42" customHeight="1">
      <x:c r="A257" s="114" t="n">
        <x:v>7</x:v>
      </x:c>
      <x:c r="B257" s="115" t="n">
        <x:v>94</x:v>
      </x:c>
      <x:c r="C257" s="115" t="str">
        <x:v>Schreiben</x:v>
      </x:c>
      <x:c r="D257" s="115" t="str">
        <x:v>Präsentieren und ein Medienprodukt erstellen: Produkt planen</x:v>
      </x:c>
      <x:c r="E257" s="115" t="str">
        <x:v>de_k7_st94_projekt_planen</x:v>
      </x:c>
      <x:c r="F257" s="115" t="str">
        <x:v>schueler/de_k7_st94_projekt_planen_app.html</x:v>
      </x:c>
      <x:c r="G257" s="115" t="str">
        <x:v>lehrer/de_k7_st94_projekt_planen_orga.html</x:v>
      </x:c>
      <x:c r="H257" s="116" t="str">
        <x:v>de_07_projekt_094_planen.html</x:v>
      </x:c>
    </x:row>
    <x:row r="258" ht="42" customHeight="1">
      <x:c r="A258" s="114" t="n">
        <x:v>7</x:v>
      </x:c>
      <x:c r="B258" s="115" t="n">
        <x:v>95</x:v>
      </x:c>
      <x:c r="C258" s="115" t="str">
        <x:v>Schreiben</x:v>
      </x:c>
      <x:c r="D258" s="115" t="str">
        <x:v>Präsentieren und ein Medienprodukt erstellen: Produkt erstellen</x:v>
      </x:c>
      <x:c r="E258" s="115" t="str">
        <x:v>de_k7_st95_projekt_erstellen</x:v>
      </x:c>
      <x:c r="F258" s="115" t="str">
        <x:v>schueler/de_k7_st95_projekt_erstellen_app.html</x:v>
      </x:c>
      <x:c r="G258" s="115" t="str">
        <x:v>lehrer/de_k7_st95_projekt_erstellen_orga.html</x:v>
      </x:c>
      <x:c r="H258" s="116" t="str">
        <x:v>de_07_projekt_095_erstellen.html</x:v>
      </x:c>
    </x:row>
    <x:row r="259" ht="42" customHeight="1">
      <x:c r="A259" s="114" t="n">
        <x:v>7</x:v>
      </x:c>
      <x:c r="B259" s="115" t="n">
        <x:v>96</x:v>
      </x:c>
      <x:c r="C259" s="115" t="str">
        <x:v>Sprechen und Zuhören</x:v>
      </x:c>
      <x:c r="D259" s="115" t="str">
        <x:v>Präsentieren und ein Medienprodukt erstellen: Präsentieren und reflektieren</x:v>
      </x:c>
      <x:c r="E259" s="115" t="str">
        <x:v>de_k7_st96_projekt_reflexion</x:v>
      </x:c>
      <x:c r="F259" s="115" t="str">
        <x:v>schueler/de_k7_st96_projekt_reflexion_app.html</x:v>
      </x:c>
      <x:c r="G259" s="115" t="str">
        <x:v>lehrer/de_k7_st96_projekt_reflexion_orga.html</x:v>
      </x:c>
      <x:c r="H259" s="116" t="str">
        <x:v>de_07_projekt_096_reflexion.html</x:v>
      </x:c>
    </x:row>
    <x:row r="260" ht="42" customHeight="1">
      <x:c r="A260" s="114" t="n">
        <x:v>7</x:v>
      </x:c>
      <x:c r="B260" s="115" t="n">
        <x:v>57</x:v>
      </x:c>
      <x:c r="C260" s="115" t="str">
        <x:v>Lesen/Umgang mit Texten</x:v>
      </x:c>
      <x:c r="D260" s="115" t="str">
        <x:v>Reportage und lebendiger Bericht: Beispieltexte untersuchen</x:v>
      </x:c>
      <x:c r="E260" s="115" t="str">
        <x:v>de_k7_st57_reportage_beispiel</x:v>
      </x:c>
      <x:c r="F260" s="115" t="str">
        <x:v>schueler/de_k7_st57_reportage_beispiel_app.html</x:v>
      </x:c>
      <x:c r="G260" s="115" t="str">
        <x:v>lehrer/de_k7_st57_reportage_beispiel_orga.html</x:v>
      </x:c>
      <x:c r="H260" s="116" t="str">
        <x:v>de_07_reportage_057_beispiel.html</x:v>
      </x:c>
    </x:row>
    <x:row r="261" ht="42" customHeight="1">
      <x:c r="A261" s="114" t="n">
        <x:v>7</x:v>
      </x:c>
      <x:c r="B261" s="115" t="n">
        <x:v>58</x:v>
      </x:c>
      <x:c r="C261" s="115" t="str">
        <x:v>Schreiben</x:v>
      </x:c>
      <x:c r="D261" s="115" t="str">
        <x:v>Reportage und lebendiger Bericht: Schreibziel und Kriterien klären</x:v>
      </x:c>
      <x:c r="E261" s="115" t="str">
        <x:v>de_k7_st58_reportage_kriterien</x:v>
      </x:c>
      <x:c r="F261" s="115" t="str">
        <x:v>schueler/de_k7_st58_reportage_kriterien_app.html</x:v>
      </x:c>
      <x:c r="G261" s="115" t="str">
        <x:v>lehrer/de_k7_st58_reportage_kriterien_orga.html</x:v>
      </x:c>
      <x:c r="H261" s="116" t="str">
        <x:v>de_07_reportage_058_kriterien.html</x:v>
      </x:c>
    </x:row>
    <x:row r="262" ht="42" customHeight="1">
      <x:c r="A262" s="114" t="n">
        <x:v>7</x:v>
      </x:c>
      <x:c r="B262" s="115" t="n">
        <x:v>59</x:v>
      </x:c>
      <x:c r="C262" s="115" t="str">
        <x:v>Lesen/Umgang mit Texten</x:v>
      </x:c>
      <x:c r="D262" s="115" t="str">
        <x:v>Reportage und lebendiger Bericht: Inhalte auswählen und ordnen</x:v>
      </x:c>
      <x:c r="E262" s="115" t="str">
        <x:v>de_k7_st59_reportage_inhalte_ordnen</x:v>
      </x:c>
      <x:c r="F262" s="115" t="str">
        <x:v>schueler/de_k7_st59_reportage_inhalte_ordnen_app.html</x:v>
      </x:c>
      <x:c r="G262" s="115" t="str">
        <x:v>lehrer/de_k7_st59_reportage_inhalte_ordnen_orga.html</x:v>
      </x:c>
      <x:c r="H262" s="116" t="str">
        <x:v>de_07_reportage_059_inhalte_ordnen.html</x:v>
      </x:c>
    </x:row>
    <x:row r="263" ht="42" customHeight="1">
      <x:c r="A263" s="114" t="n">
        <x:v>7</x:v>
      </x:c>
      <x:c r="B263" s="115" t="n">
        <x:v>60</x:v>
      </x:c>
      <x:c r="C263" s="115" t="str">
        <x:v>Sprache untersuchen</x:v>
      </x:c>
      <x:c r="D263" s="115" t="str">
        <x:v>Reportage und lebendiger Bericht: Passende sprachliche Mittel verwenden</x:v>
      </x:c>
      <x:c r="E263" s="115" t="str">
        <x:v>de_k7_st60_reportage_sprachmittel</x:v>
      </x:c>
      <x:c r="F263" s="115" t="str">
        <x:v>schueler/de_k7_st60_reportage_sprachmittel_app.html</x:v>
      </x:c>
      <x:c r="G263" s="115" t="str">
        <x:v>lehrer/de_k7_st60_reportage_sprachmittel_orga.html</x:v>
      </x:c>
      <x:c r="H263" s="116" t="str">
        <x:v>de_07_reportage_060_sprachmittel.html</x:v>
      </x:c>
    </x:row>
    <x:row r="264" ht="42" customHeight="1">
      <x:c r="A264" s="114" t="n">
        <x:v>7</x:v>
      </x:c>
      <x:c r="B264" s="115" t="n">
        <x:v>61</x:v>
      </x:c>
      <x:c r="C264" s="115" t="str">
        <x:v>Schreiben</x:v>
      </x:c>
      <x:c r="D264" s="115" t="str">
        <x:v>Reportage und lebendiger Bericht: Einen Schreibplan erstellen</x:v>
      </x:c>
      <x:c r="E264" s="115" t="str">
        <x:v>de_k7_st61_reportage_schreibplan</x:v>
      </x:c>
      <x:c r="F264" s="115" t="str">
        <x:v>schueler/de_k7_st61_reportage_schreibplan_app.html</x:v>
      </x:c>
      <x:c r="G264" s="115" t="str">
        <x:v>lehrer/de_k7_st61_reportage_schreibplan_orga.html</x:v>
      </x:c>
      <x:c r="H264" s="116" t="str">
        <x:v>de_07_reportage_061_schreibplan.html</x:v>
      </x:c>
    </x:row>
    <x:row r="265" ht="42" customHeight="1">
      <x:c r="A265" s="114" t="n">
        <x:v>7</x:v>
      </x:c>
      <x:c r="B265" s="115" t="n">
        <x:v>62</x:v>
      </x:c>
      <x:c r="C265" s="115" t="str">
        <x:v>Schreiben</x:v>
      </x:c>
      <x:c r="D265" s="115" t="str">
        <x:v>Reportage und lebendiger Bericht: Einen ersten Textentwurf verfassen</x:v>
      </x:c>
      <x:c r="E265" s="115" t="str">
        <x:v>de_k7_st62_reportage_entwurf</x:v>
      </x:c>
      <x:c r="F265" s="115" t="str">
        <x:v>schueler/de_k7_st62_reportage_entwurf_app.html</x:v>
      </x:c>
      <x:c r="G265" s="115" t="str">
        <x:v>lehrer/de_k7_st62_reportage_entwurf_orga.html</x:v>
      </x:c>
      <x:c r="H265" s="116" t="str">
        <x:v>de_07_reportage_062_entwurf.html</x:v>
      </x:c>
    </x:row>
    <x:row r="266" ht="42" customHeight="1">
      <x:c r="A266" s="114" t="n">
        <x:v>7</x:v>
      </x:c>
      <x:c r="B266" s="115" t="n">
        <x:v>63</x:v>
      </x:c>
      <x:c r="C266" s="115" t="str">
        <x:v>Schreiben</x:v>
      </x:c>
      <x:c r="D266" s="115" t="str">
        <x:v>Reportage und lebendiger Bericht: Text kriteriengeleitet überarbeiten</x:v>
      </x:c>
      <x:c r="E266" s="115" t="str">
        <x:v>de_k7_st63_reportage_ueberarbeiten</x:v>
      </x:c>
      <x:c r="F266" s="115" t="str">
        <x:v>schueler/de_k7_st63_reportage_ueberarbeiten_app.html</x:v>
      </x:c>
      <x:c r="G266" s="115" t="str">
        <x:v>lehrer/de_k7_st63_reportage_ueberarbeiten_orga.html</x:v>
      </x:c>
      <x:c r="H266" s="116" t="str">
        <x:v>de_07_reportage_063_ueberarbeiten.html</x:v>
      </x:c>
    </x:row>
    <x:row r="267" ht="42" customHeight="1">
      <x:c r="A267" s="114" t="n">
        <x:v>7</x:v>
      </x:c>
      <x:c r="B267" s="115" t="n">
        <x:v>64</x:v>
      </x:c>
      <x:c r="C267" s="115" t="str">
        <x:v>Sprechen und Zuhören</x:v>
      </x:c>
      <x:c r="D267" s="115" t="str">
        <x:v>Reportage und lebendiger Bericht: Texte vorstellen und bewerten</x:v>
      </x:c>
      <x:c r="E267" s="115" t="str">
        <x:v>de_k7_st64_reportage_vorstellen</x:v>
      </x:c>
      <x:c r="F267" s="115" t="str">
        <x:v>schueler/de_k7_st64_reportage_vorstellen_app.html</x:v>
      </x:c>
      <x:c r="G267" s="115" t="str">
        <x:v>lehrer/de_k7_st64_reportage_vorstellen_orga.html</x:v>
      </x:c>
      <x:c r="H267" s="116" t="str">
        <x:v>de_07_reportage_064_vorstellen.html</x:v>
      </x:c>
    </x:row>
    <x:row r="268" ht="42" customHeight="1">
      <x:c r="A268" s="114" t="n">
        <x:v>7</x:v>
      </x:c>
      <x:c r="B268" s="115" t="n">
        <x:v>49</x:v>
      </x:c>
      <x:c r="C268" s="115" t="str">
        <x:v>Sprechen und Zuhören</x:v>
      </x:c>
      <x:c r="D268" s="115" t="str">
        <x:v>Jugendroman und Lebenswelt: Hör- oder Leseeinstieg gestalten</x:v>
      </x:c>
      <x:c r="E268" s="115" t="str">
        <x:v>de_k7_st49_roman_einstieg</x:v>
      </x:c>
      <x:c r="F268" s="115" t="str">
        <x:v>schueler/de_k7_st49_roman_einstieg_app.html</x:v>
      </x:c>
      <x:c r="G268" s="115" t="str">
        <x:v>lehrer/de_k7_st49_roman_einstieg_orga.html</x:v>
      </x:c>
      <x:c r="H268" s="116" t="str">
        <x:v>de_07_roman_049_einstieg.html</x:v>
      </x:c>
    </x:row>
    <x:row r="269" ht="42" customHeight="1">
      <x:c r="A269" s="114" t="n">
        <x:v>7</x:v>
      </x:c>
      <x:c r="B269" s="115" t="n">
        <x:v>50</x:v>
      </x:c>
      <x:c r="C269" s="115" t="str">
        <x:v>Lesen/Umgang mit Texten</x:v>
      </x:c>
      <x:c r="D269" s="115" t="str">
        <x:v>Jugendroman und Lebenswelt: Den Text mit Lesestrategien erschließen</x:v>
      </x:c>
      <x:c r="E269" s="115" t="str">
        <x:v>de_k7_st50_roman_erschliessen</x:v>
      </x:c>
      <x:c r="F269" s="115" t="str">
        <x:v>schueler/de_k7_st50_roman_erschliessen_app.html</x:v>
      </x:c>
      <x:c r="G269" s="115" t="str">
        <x:v>lehrer/de_k7_st50_roman_erschliessen_orga.html</x:v>
      </x:c>
      <x:c r="H269" s="116" t="str">
        <x:v>de_07_roman_050_erschliessen.html</x:v>
      </x:c>
    </x:row>
    <x:row r="270" ht="42" customHeight="1">
      <x:c r="A270" s="114" t="n">
        <x:v>7</x:v>
      </x:c>
      <x:c r="B270" s="115" t="n">
        <x:v>51</x:v>
      </x:c>
      <x:c r="C270" s="115" t="str">
        <x:v>Lesen/Umgang mit Texten</x:v>
      </x:c>
      <x:c r="D270" s="115" t="str">
        <x:v>Jugendroman und Lebenswelt: Gattungsmerkmale erkennen</x:v>
      </x:c>
      <x:c r="E270" s="115" t="str">
        <x:v>de_k7_st51_roman_merkmale</x:v>
      </x:c>
      <x:c r="F270" s="115" t="str">
        <x:v>schueler/de_k7_st51_roman_merkmale_app.html</x:v>
      </x:c>
      <x:c r="G270" s="115" t="str">
        <x:v>lehrer/de_k7_st51_roman_merkmale_orga.html</x:v>
      </x:c>
      <x:c r="H270" s="116" t="str">
        <x:v>de_07_roman_051_merkmale.html</x:v>
      </x:c>
    </x:row>
    <x:row r="271" ht="42" customHeight="1">
      <x:c r="A271" s="114" t="n">
        <x:v>7</x:v>
      </x:c>
      <x:c r="B271" s="115" t="n">
        <x:v>52</x:v>
      </x:c>
      <x:c r="C271" s="115" t="str">
        <x:v>Lesen/Umgang mit Texten</x:v>
      </x:c>
      <x:c r="D271" s="115" t="str">
        <x:v>Jugendroman und Lebenswelt: Figuren, Handlung und Konflikt untersuchen</x:v>
      </x:c>
      <x:c r="E271" s="115" t="str">
        <x:v>de_k7_st52_roman_figuren_handlung</x:v>
      </x:c>
      <x:c r="F271" s="115" t="str">
        <x:v>schueler/de_k7_st52_roman_figuren_handlung_app.html</x:v>
      </x:c>
      <x:c r="G271" s="115" t="str">
        <x:v>lehrer/de_k7_st52_roman_figuren_handlung_orga.html</x:v>
      </x:c>
      <x:c r="H271" s="116" t="str">
        <x:v>de_07_roman_052_figuren_handlung.html</x:v>
      </x:c>
    </x:row>
    <x:row r="272" ht="42" customHeight="1">
      <x:c r="A272" s="114" t="n">
        <x:v>7</x:v>
      </x:c>
      <x:c r="B272" s="115" t="n">
        <x:v>53</x:v>
      </x:c>
      <x:c r="C272" s="115" t="str">
        <x:v>Sprache untersuchen</x:v>
      </x:c>
      <x:c r="D272" s="115" t="str">
        <x:v>Jugendroman und Lebenswelt: Sprache und Wirkung untersuchen</x:v>
      </x:c>
      <x:c r="E272" s="115" t="str">
        <x:v>de_k7_st53_roman_sprache_wirkung</x:v>
      </x:c>
      <x:c r="F272" s="115" t="str">
        <x:v>schueler/de_k7_st53_roman_sprache_wirkung_app.html</x:v>
      </x:c>
      <x:c r="G272" s="115" t="str">
        <x:v>lehrer/de_k7_st53_roman_sprache_wirkung_orga.html</x:v>
      </x:c>
      <x:c r="H272" s="116" t="str">
        <x:v>de_07_roman_053_sprache_wirkung.html</x:v>
      </x:c>
    </x:row>
    <x:row r="273" ht="42" customHeight="1">
      <x:c r="A273" s="114" t="n">
        <x:v>7</x:v>
      </x:c>
      <x:c r="B273" s="115" t="n">
        <x:v>54</x:v>
      </x:c>
      <x:c r="C273" s="115" t="str">
        <x:v>Schreiben</x:v>
      </x:c>
      <x:c r="D273" s="115" t="str">
        <x:v>Jugendroman und Lebenswelt: Eine Deutung oder Perspektive vorbereiten</x:v>
      </x:c>
      <x:c r="E273" s="115" t="str">
        <x:v>de_k7_st54_roman_deutung_planen</x:v>
      </x:c>
      <x:c r="F273" s="115" t="str">
        <x:v>schueler/de_k7_st54_roman_deutung_planen_app.html</x:v>
      </x:c>
      <x:c r="G273" s="115" t="str">
        <x:v>lehrer/de_k7_st54_roman_deutung_planen_orga.html</x:v>
      </x:c>
      <x:c r="H273" s="116" t="str">
        <x:v>de_07_roman_054_deutung_planen.html</x:v>
      </x:c>
    </x:row>
    <x:row r="274" ht="42" customHeight="1">
      <x:c r="A274" s="114" t="n">
        <x:v>7</x:v>
      </x:c>
      <x:c r="B274" s="115" t="n">
        <x:v>55</x:v>
      </x:c>
      <x:c r="C274" s="115" t="str">
        <x:v>Schreiben</x:v>
      </x:c>
      <x:c r="D274" s="115" t="str">
        <x:v>Jugendroman und Lebenswelt: Lesetagebuch oder Podcast gestalten</x:v>
      </x:c>
      <x:c r="E274" s="115" t="str">
        <x:v>de_k7_st55_roman_produkt</x:v>
      </x:c>
      <x:c r="F274" s="115" t="str">
        <x:v>schueler/de_k7_st55_roman_produkt_app.html</x:v>
      </x:c>
      <x:c r="G274" s="115" t="str">
        <x:v>lehrer/de_k7_st55_roman_produkt_orga.html</x:v>
      </x:c>
      <x:c r="H274" s="116" t="str">
        <x:v>de_07_roman_055_produkt.html</x:v>
      </x:c>
    </x:row>
    <x:row r="275" ht="42" customHeight="1">
      <x:c r="A275" s="114" t="n">
        <x:v>7</x:v>
      </x:c>
      <x:c r="B275" s="115" t="n">
        <x:v>56</x:v>
      </x:c>
      <x:c r="C275" s="115" t="str">
        <x:v>Sprechen und Zuhören</x:v>
      </x:c>
      <x:c r="D275" s="115" t="str">
        <x:v>Jugendroman und Lebenswelt: Ergebnisse präsentieren und reflektieren</x:v>
      </x:c>
      <x:c r="E275" s="115" t="str">
        <x:v>de_k7_st56_roman_praesentieren</x:v>
      </x:c>
      <x:c r="F275" s="115" t="str">
        <x:v>schueler/de_k7_st56_roman_praesentieren_app.html</x:v>
      </x:c>
      <x:c r="G275" s="115" t="str">
        <x:v>lehrer/de_k7_st56_roman_praesentieren_orga.html</x:v>
      </x:c>
      <x:c r="H275" s="116" t="str">
        <x:v>de_07_roman_056_praesentieren.html</x:v>
      </x:c>
    </x:row>
    <x:row r="276" ht="42" customHeight="1">
      <x:c r="A276" s="114" t="n">
        <x:v>7</x:v>
      </x:c>
      <x:c r="B276" s="115" t="n">
        <x:v>65</x:v>
      </x:c>
      <x:c r="C276" s="115" t="str">
        <x:v>Sprechen und Zuhören</x:v>
      </x:c>
      <x:c r="D276" s="115" t="str">
        <x:v>Werbung analysieren: Vorwissen und Positionen klären</x:v>
      </x:c>
      <x:c r="E276" s="115" t="str">
        <x:v>de_k7_st65_werbung_einstieg</x:v>
      </x:c>
      <x:c r="F276" s="115" t="str">
        <x:v>schueler/de_k7_st65_werbung_einstieg_app.html</x:v>
      </x:c>
      <x:c r="G276" s="115" t="str">
        <x:v>lehrer/de_k7_st65_werbung_einstieg_orga.html</x:v>
      </x:c>
      <x:c r="H276" s="116" t="str">
        <x:v>de_07_werbung_065_einstieg.html</x:v>
      </x:c>
    </x:row>
    <x:row r="277" ht="42" customHeight="1">
      <x:c r="A277" s="114" t="n">
        <x:v>7</x:v>
      </x:c>
      <x:c r="B277" s="115" t="n">
        <x:v>66</x:v>
      </x:c>
      <x:c r="C277" s="115" t="str">
        <x:v>Lesen/Umgang mit Texten</x:v>
      </x:c>
      <x:c r="D277" s="115" t="str">
        <x:v>Werbung analysieren: Quellen und Materialien erschließen</x:v>
      </x:c>
      <x:c r="E277" s="115" t="str">
        <x:v>de_k7_st66_werbung_quellen</x:v>
      </x:c>
      <x:c r="F277" s="115" t="str">
        <x:v>schueler/de_k7_st66_werbung_quellen_app.html</x:v>
      </x:c>
      <x:c r="G277" s="115" t="str">
        <x:v>lehrer/de_k7_st66_werbung_quellen_orga.html</x:v>
      </x:c>
      <x:c r="H277" s="116" t="str">
        <x:v>de_07_werbung_066_quellen.html</x:v>
      </x:c>
    </x:row>
    <x:row r="278" ht="42" customHeight="1">
      <x:c r="A278" s="114" t="n">
        <x:v>7</x:v>
      </x:c>
      <x:c r="B278" s="115" t="n">
        <x:v>67</x:v>
      </x:c>
      <x:c r="C278" s="115" t="str">
        <x:v>Lesen/Umgang mit Texten</x:v>
      </x:c>
      <x:c r="D278" s="115" t="str">
        <x:v>Werbung analysieren: Qualitätskriterien anwenden</x:v>
      </x:c>
      <x:c r="E278" s="115" t="str">
        <x:v>de_k7_st67_werbung_kriterien</x:v>
      </x:c>
      <x:c r="F278" s="115" t="str">
        <x:v>schueler/de_k7_st67_werbung_kriterien_app.html</x:v>
      </x:c>
      <x:c r="G278" s="115" t="str">
        <x:v>lehrer/de_k7_st67_werbung_kriterien_orga.html</x:v>
      </x:c>
      <x:c r="H278" s="116" t="str">
        <x:v>de_07_werbung_067_kriterien.html</x:v>
      </x:c>
    </x:row>
    <x:row r="279" ht="42" customHeight="1">
      <x:c r="A279" s="114" t="n">
        <x:v>7</x:v>
      </x:c>
      <x:c r="B279" s="115" t="n">
        <x:v>68</x:v>
      </x:c>
      <x:c r="C279" s="115" t="str">
        <x:v>Lesen/Umgang mit Texten</x:v>
      </x:c>
      <x:c r="D279" s="115" t="str">
        <x:v>Werbung analysieren: Darstellungen vergleichen</x:v>
      </x:c>
      <x:c r="E279" s="115" t="str">
        <x:v>de_k7_st68_werbung_vergleichen</x:v>
      </x:c>
      <x:c r="F279" s="115" t="str">
        <x:v>schueler/de_k7_st68_werbung_vergleichen_app.html</x:v>
      </x:c>
      <x:c r="G279" s="115" t="str">
        <x:v>lehrer/de_k7_st68_werbung_vergleichen_orga.html</x:v>
      </x:c>
      <x:c r="H279" s="116" t="str">
        <x:v>de_07_werbung_068_vergleichen.html</x:v>
      </x:c>
    </x:row>
    <x:row r="280" ht="42" customHeight="1">
      <x:c r="A280" s="114" t="n">
        <x:v>7</x:v>
      </x:c>
      <x:c r="B280" s="115" t="n">
        <x:v>69</x:v>
      </x:c>
      <x:c r="C280" s="115" t="str">
        <x:v>Schreiben</x:v>
      </x:c>
      <x:c r="D280" s="115" t="str">
        <x:v>Werbung analysieren: Informationen prüfen und ordnen</x:v>
      </x:c>
      <x:c r="E280" s="115" t="str">
        <x:v>de_k7_st69_werbung_recherche</x:v>
      </x:c>
      <x:c r="F280" s="115" t="str">
        <x:v>schueler/de_k7_st69_werbung_recherche_app.html</x:v>
      </x:c>
      <x:c r="G280" s="115" t="str">
        <x:v>lehrer/de_k7_st69_werbung_recherche_orga.html</x:v>
      </x:c>
      <x:c r="H280" s="116" t="str">
        <x:v>de_07_werbung_069_recherche.html</x:v>
      </x:c>
    </x:row>
    <x:row r="281" ht="42" customHeight="1">
      <x:c r="A281" s="114" t="n">
        <x:v>7</x:v>
      </x:c>
      <x:c r="B281" s="115" t="n">
        <x:v>70</x:v>
      </x:c>
      <x:c r="C281" s="115" t="str">
        <x:v>Schreiben</x:v>
      </x:c>
      <x:c r="D281" s="115" t="str">
        <x:v>Werbung analysieren: Produkt planen</x:v>
      </x:c>
      <x:c r="E281" s="115" t="str">
        <x:v>de_k7_st70_werbung_planen</x:v>
      </x:c>
      <x:c r="F281" s="115" t="str">
        <x:v>schueler/de_k7_st70_werbung_planen_app.html</x:v>
      </x:c>
      <x:c r="G281" s="115" t="str">
        <x:v>lehrer/de_k7_st70_werbung_planen_orga.html</x:v>
      </x:c>
      <x:c r="H281" s="116" t="str">
        <x:v>de_07_werbung_070_planen.html</x:v>
      </x:c>
    </x:row>
    <x:row r="282" ht="42" customHeight="1">
      <x:c r="A282" s="114" t="n">
        <x:v>7</x:v>
      </x:c>
      <x:c r="B282" s="115" t="n">
        <x:v>71</x:v>
      </x:c>
      <x:c r="C282" s="115" t="str">
        <x:v>Schreiben</x:v>
      </x:c>
      <x:c r="D282" s="115" t="str">
        <x:v>Werbung analysieren: Produkt erstellen</x:v>
      </x:c>
      <x:c r="E282" s="115" t="str">
        <x:v>de_k7_st71_werbung_erstellen</x:v>
      </x:c>
      <x:c r="F282" s="115" t="str">
        <x:v>schueler/de_k7_st71_werbung_erstellen_app.html</x:v>
      </x:c>
      <x:c r="G282" s="115" t="str">
        <x:v>lehrer/de_k7_st71_werbung_erstellen_orga.html</x:v>
      </x:c>
      <x:c r="H282" s="116" t="str">
        <x:v>de_07_werbung_071_erstellen.html</x:v>
      </x:c>
    </x:row>
    <x:row r="283" ht="42" customHeight="1">
      <x:c r="A283" s="114" t="n">
        <x:v>7</x:v>
      </x:c>
      <x:c r="B283" s="115" t="n">
        <x:v>72</x:v>
      </x:c>
      <x:c r="C283" s="115" t="str">
        <x:v>Sprechen und Zuhören</x:v>
      </x:c>
      <x:c r="D283" s="115" t="str">
        <x:v>Werbung analysieren: Präsentieren und reflektieren</x:v>
      </x:c>
      <x:c r="E283" s="115" t="str">
        <x:v>de_k7_st72_werbung_reflexion</x:v>
      </x:c>
      <x:c r="F283" s="115" t="str">
        <x:v>schueler/de_k7_st72_werbung_reflexion_app.html</x:v>
      </x:c>
      <x:c r="G283" s="115" t="str">
        <x:v>lehrer/de_k7_st72_werbung_reflexion_orga.html</x:v>
      </x:c>
      <x:c r="H283" s="116" t="str">
        <x:v>de_07_werbung_072_reflexion.html</x:v>
      </x:c>
    </x:row>
    <x:row r="284" ht="42" customHeight="1">
      <x:c r="A284" s="114" t="n">
        <x:v>7</x:v>
      </x:c>
      <x:c r="B284" s="115" t="n">
        <x:v>73</x:v>
      </x:c>
      <x:c r="C284" s="115" t="str">
        <x:v>Sprache untersuchen</x:v>
      </x:c>
      <x:c r="D284" s="115" t="str">
        <x:v>Zeichensetzung und Fremdwörter: Lernstand feststellen</x:v>
      </x:c>
      <x:c r="E284" s="115" t="str">
        <x:v>de_k7_st73_zeichensetzung_diagnose</x:v>
      </x:c>
      <x:c r="F284" s="115" t="str">
        <x:v>schueler/de_k7_st73_zeichensetzung_diagnose_app.html</x:v>
      </x:c>
      <x:c r="G284" s="115" t="str">
        <x:v>lehrer/de_k7_st73_zeichensetzung_diagnose_orga.html</x:v>
      </x:c>
      <x:c r="H284" s="116" t="str">
        <x:v>de_07_zeichensetzung_073_diagnose.html</x:v>
      </x:c>
    </x:row>
    <x:row r="285" ht="42" customHeight="1">
      <x:c r="A285" s="114" t="n">
        <x:v>7</x:v>
      </x:c>
      <x:c r="B285" s="115" t="n">
        <x:v>74</x:v>
      </x:c>
      <x:c r="C285" s="115" t="str">
        <x:v>Sprache untersuchen</x:v>
      </x:c>
      <x:c r="D285" s="115" t="str">
        <x:v>Zeichensetzung und Fremdwörter: Grundbegriffe sichern</x:v>
      </x:c>
      <x:c r="E285" s="115" t="str">
        <x:v>de_k7_st74_zeichensetzung_grundbegriffe</x:v>
      </x:c>
      <x:c r="F285" s="115" t="str">
        <x:v>schueler/de_k7_st74_zeichensetzung_grundbegriffe_app.html</x:v>
      </x:c>
      <x:c r="G285" s="115" t="str">
        <x:v>lehrer/de_k7_st74_zeichensetzung_grundbegriffe_orga.html</x:v>
      </x:c>
      <x:c r="H285" s="116" t="str">
        <x:v>de_07_zeichensetzung_074_grundbegriffe.html</x:v>
      </x:c>
    </x:row>
    <x:row r="286" ht="42" customHeight="1">
      <x:c r="A286" s="114" t="n">
        <x:v>7</x:v>
      </x:c>
      <x:c r="B286" s="115" t="n">
        <x:v>75</x:v>
      </x:c>
      <x:c r="C286" s="115" t="str">
        <x:v>Sprache untersuchen</x:v>
      </x:c>
      <x:c r="D286" s="115" t="str">
        <x:v>Zeichensetzung und Fremdwörter: Verfahren anwenden</x:v>
      </x:c>
      <x:c r="E286" s="115" t="str">
        <x:v>de_k7_st75_zeichensetzung_verfahren</x:v>
      </x:c>
      <x:c r="F286" s="115" t="str">
        <x:v>schueler/de_k7_st75_zeichensetzung_verfahren_app.html</x:v>
      </x:c>
      <x:c r="G286" s="115" t="str">
        <x:v>lehrer/de_k7_st75_zeichensetzung_verfahren_orga.html</x:v>
      </x:c>
      <x:c r="H286" s="116" t="str">
        <x:v>de_07_zeichensetzung_075_verfahren.html</x:v>
      </x:c>
    </x:row>
    <x:row r="287" ht="42" customHeight="1">
      <x:c r="A287" s="114" t="n">
        <x:v>7</x:v>
      </x:c>
      <x:c r="B287" s="115" t="n">
        <x:v>76</x:v>
      </x:c>
      <x:c r="C287" s="115" t="str">
        <x:v>Sprache untersuchen</x:v>
      </x:c>
      <x:c r="D287" s="115" t="str">
        <x:v>Zeichensetzung und Fremdwörter: Formen und Funktionen untersuchen</x:v>
      </x:c>
      <x:c r="E287" s="115" t="str">
        <x:v>de_k7_st76_zeichensetzung_funktion</x:v>
      </x:c>
      <x:c r="F287" s="115" t="str">
        <x:v>schueler/de_k7_st76_zeichensetzung_funktion_app.html</x:v>
      </x:c>
      <x:c r="G287" s="115" t="str">
        <x:v>lehrer/de_k7_st76_zeichensetzung_funktion_orga.html</x:v>
      </x:c>
      <x:c r="H287" s="116" t="str">
        <x:v>de_07_zeichensetzung_076_funktion.html</x:v>
      </x:c>
    </x:row>
    <x:row r="288" ht="42" customHeight="1">
      <x:c r="A288" s="114" t="n">
        <x:v>7</x:v>
      </x:c>
      <x:c r="B288" s="115" t="n">
        <x:v>77</x:v>
      </x:c>
      <x:c r="C288" s="115" t="str">
        <x:v>Schreiben</x:v>
      </x:c>
      <x:c r="D288" s="115" t="str">
        <x:v>Zeichensetzung und Fremdwörter: Wissen im eigenen Text nutzen</x:v>
      </x:c>
      <x:c r="E288" s="115" t="str">
        <x:v>de_k7_st77_zeichensetzung_anwenden</x:v>
      </x:c>
      <x:c r="F288" s="115" t="str">
        <x:v>schueler/de_k7_st77_zeichensetzung_anwenden_app.html</x:v>
      </x:c>
      <x:c r="G288" s="115" t="str">
        <x:v>lehrer/de_k7_st77_zeichensetzung_anwenden_orga.html</x:v>
      </x:c>
      <x:c r="H288" s="116" t="str">
        <x:v>de_07_zeichensetzung_077_anwenden.html</x:v>
      </x:c>
    </x:row>
    <x:row r="289" ht="42" customHeight="1">
      <x:c r="A289" s="114" t="n">
        <x:v>7</x:v>
      </x:c>
      <x:c r="B289" s="115" t="n">
        <x:v>78</x:v>
      </x:c>
      <x:c r="C289" s="115" t="str">
        <x:v>Sprache untersuchen</x:v>
      </x:c>
      <x:c r="D289" s="115" t="str">
        <x:v>Zeichensetzung und Fremdwörter: Fehler finden und korrigieren</x:v>
      </x:c>
      <x:c r="E289" s="115" t="str">
        <x:v>de_k7_st78_zeichensetzung_fehler</x:v>
      </x:c>
      <x:c r="F289" s="115" t="str">
        <x:v>schueler/de_k7_st78_zeichensetzung_fehler_app.html</x:v>
      </x:c>
      <x:c r="G289" s="115" t="str">
        <x:v>lehrer/de_k7_st78_zeichensetzung_fehler_orga.html</x:v>
      </x:c>
      <x:c r="H289" s="116" t="str">
        <x:v>de_07_zeichensetzung_078_fehler.html</x:v>
      </x:c>
    </x:row>
    <x:row r="290" ht="42" customHeight="1">
      <x:c r="A290" s="114" t="n">
        <x:v>7</x:v>
      </x:c>
      <x:c r="B290" s="115" t="n">
        <x:v>79</x:v>
      </x:c>
      <x:c r="C290" s="115" t="str">
        <x:v>Sprache untersuchen</x:v>
      </x:c>
      <x:c r="D290" s="115" t="str">
        <x:v>Zeichensetzung und Fremdwörter: Transfer auf unbekannte Beispiele</x:v>
      </x:c>
      <x:c r="E290" s="115" t="str">
        <x:v>de_k7_st79_zeichensetzung_transfer</x:v>
      </x:c>
      <x:c r="F290" s="115" t="str">
        <x:v>schueler/de_k7_st79_zeichensetzung_transfer_app.html</x:v>
      </x:c>
      <x:c r="G290" s="115" t="str">
        <x:v>lehrer/de_k7_st79_zeichensetzung_transfer_orga.html</x:v>
      </x:c>
      <x:c r="H290" s="116" t="str">
        <x:v>de_07_zeichensetzung_079_transfer.html</x:v>
      </x:c>
    </x:row>
    <x:row r="291" ht="42" customHeight="1">
      <x:c r="A291" s="114" t="n">
        <x:v>7</x:v>
      </x:c>
      <x:c r="B291" s="115" t="n">
        <x:v>80</x:v>
      </x:c>
      <x:c r="C291" s="115" t="str">
        <x:v>Schreiben</x:v>
      </x:c>
      <x:c r="D291" s="115" t="str">
        <x:v>Zeichensetzung und Fremdwörter: Lernprodukt und Kompetenzcheck</x:v>
      </x:c>
      <x:c r="E291" s="115" t="str">
        <x:v>de_k7_st80_zeichensetzung_kompetenzcheck</x:v>
      </x:c>
      <x:c r="F291" s="115" t="str">
        <x:v>schueler/de_k7_st80_zeichensetzung_kompetenzcheck_app.html</x:v>
      </x:c>
      <x:c r="G291" s="115" t="str">
        <x:v>lehrer/de_k7_st80_zeichensetzung_kompetenzcheck_orga.html</x:v>
      </x:c>
      <x:c r="H291" s="116" t="str">
        <x:v>de_07_zeichensetzung_080_kompetenzcheck.html</x:v>
      </x:c>
    </x:row>
    <x:row r="292" ht="42" customHeight="1">
      <x:c r="A292" s="114" t="n">
        <x:v>8</x:v>
      </x:c>
      <x:c r="B292" s="115" t="n">
        <x:v>25</x:v>
      </x:c>
      <x:c r="C292" s="115" t="str">
        <x:v>Lesen/Umgang mit Texten</x:v>
      </x:c>
      <x:c r="D292" s="115" t="str">
        <x:v>Personen und literarische Figuren charakterisieren: Beispieltexte untersuchen</x:v>
      </x:c>
      <x:c r="E292" s="115" t="str">
        <x:v>de_k8_st25_charakteristik_beispiel</x:v>
      </x:c>
      <x:c r="F292" s="115" t="str">
        <x:v>schueler/de_k8_st25_charakteristik_beispiel_app.html</x:v>
      </x:c>
      <x:c r="G292" s="115" t="str">
        <x:v>lehrer/de_k8_st25_charakteristik_beispiel_orga.html</x:v>
      </x:c>
      <x:c r="H292" s="116" t="str">
        <x:v>de_08_charakteristik_025_beispiel.html</x:v>
      </x:c>
    </x:row>
    <x:row r="293" ht="42" customHeight="1">
      <x:c r="A293" s="114" t="n">
        <x:v>8</x:v>
      </x:c>
      <x:c r="B293" s="115" t="n">
        <x:v>26</x:v>
      </x:c>
      <x:c r="C293" s="115" t="str">
        <x:v>Schreiben</x:v>
      </x:c>
      <x:c r="D293" s="115" t="str">
        <x:v>Personen und literarische Figuren charakterisieren: Schreibziel und Kriterien klären</x:v>
      </x:c>
      <x:c r="E293" s="115" t="str">
        <x:v>de_k8_st26_charakteristik_kriterien</x:v>
      </x:c>
      <x:c r="F293" s="115" t="str">
        <x:v>schueler/de_k8_st26_charakteristik_kriterien_app.html</x:v>
      </x:c>
      <x:c r="G293" s="115" t="str">
        <x:v>lehrer/de_k8_st26_charakteristik_kriterien_orga.html</x:v>
      </x:c>
      <x:c r="H293" s="116" t="str">
        <x:v>de_08_charakteristik_026_kriterien.html</x:v>
      </x:c>
    </x:row>
    <x:row r="294" ht="42" customHeight="1">
      <x:c r="A294" s="114" t="n">
        <x:v>8</x:v>
      </x:c>
      <x:c r="B294" s="115" t="n">
        <x:v>27</x:v>
      </x:c>
      <x:c r="C294" s="115" t="str">
        <x:v>Lesen/Umgang mit Texten</x:v>
      </x:c>
      <x:c r="D294" s="115" t="str">
        <x:v>Personen und literarische Figuren charakterisieren: Inhalte auswählen und ordnen</x:v>
      </x:c>
      <x:c r="E294" s="115" t="str">
        <x:v>de_k8_st27_charakteristik_inhalte_ordnen</x:v>
      </x:c>
      <x:c r="F294" s="115" t="str">
        <x:v>schueler/de_k8_st27_charakteristik_inhalte_ordnen_app.html</x:v>
      </x:c>
      <x:c r="G294" s="115" t="str">
        <x:v>lehrer/de_k8_st27_charakteristik_inhalte_ordnen_orga.html</x:v>
      </x:c>
      <x:c r="H294" s="116" t="str">
        <x:v>de_08_charakteristik_027_inhalte_ordnen.html</x:v>
      </x:c>
    </x:row>
    <x:row r="295" ht="42" customHeight="1">
      <x:c r="A295" s="114" t="n">
        <x:v>8</x:v>
      </x:c>
      <x:c r="B295" s="115" t="n">
        <x:v>28</x:v>
      </x:c>
      <x:c r="C295" s="115" t="str">
        <x:v>Sprache untersuchen</x:v>
      </x:c>
      <x:c r="D295" s="115" t="str">
        <x:v>Personen und literarische Figuren charakterisieren: Passende sprachliche Mittel verwenden</x:v>
      </x:c>
      <x:c r="E295" s="115" t="str">
        <x:v>de_k8_st28_charakteristik_sprachmittel</x:v>
      </x:c>
      <x:c r="F295" s="115" t="str">
        <x:v>schueler/de_k8_st28_charakteristik_sprachmittel_app.html</x:v>
      </x:c>
      <x:c r="G295" s="115" t="str">
        <x:v>lehrer/de_k8_st28_charakteristik_sprachmittel_orga.html</x:v>
      </x:c>
      <x:c r="H295" s="116" t="str">
        <x:v>de_08_charakteristik_028_sprachmittel.html</x:v>
      </x:c>
    </x:row>
    <x:row r="296" ht="42" customHeight="1">
      <x:c r="A296" s="114" t="n">
        <x:v>8</x:v>
      </x:c>
      <x:c r="B296" s="115" t="n">
        <x:v>29</x:v>
      </x:c>
      <x:c r="C296" s="115" t="str">
        <x:v>Schreiben</x:v>
      </x:c>
      <x:c r="D296" s="115" t="str">
        <x:v>Personen und literarische Figuren charakterisieren: Einen Schreibplan erstellen</x:v>
      </x:c>
      <x:c r="E296" s="115" t="str">
        <x:v>de_k8_st29_charakteristik_schreibplan</x:v>
      </x:c>
      <x:c r="F296" s="115" t="str">
        <x:v>schueler/de_k8_st29_charakteristik_schreibplan_app.html</x:v>
      </x:c>
      <x:c r="G296" s="115" t="str">
        <x:v>lehrer/de_k8_st29_charakteristik_schreibplan_orga.html</x:v>
      </x:c>
      <x:c r="H296" s="116" t="str">
        <x:v>de_08_charakteristik_029_schreibplan.html</x:v>
      </x:c>
    </x:row>
    <x:row r="297" ht="42" customHeight="1">
      <x:c r="A297" s="114" t="n">
        <x:v>8</x:v>
      </x:c>
      <x:c r="B297" s="115" t="n">
        <x:v>30</x:v>
      </x:c>
      <x:c r="C297" s="115" t="str">
        <x:v>Schreiben</x:v>
      </x:c>
      <x:c r="D297" s="115" t="str">
        <x:v>Personen und literarische Figuren charakterisieren: Einen ersten Textentwurf verfassen</x:v>
      </x:c>
      <x:c r="E297" s="115" t="str">
        <x:v>de_k8_st30_charakteristik_entwurf</x:v>
      </x:c>
      <x:c r="F297" s="115" t="str">
        <x:v>schueler/de_k8_st30_charakteristik_entwurf_app.html</x:v>
      </x:c>
      <x:c r="G297" s="115" t="str">
        <x:v>lehrer/de_k8_st30_charakteristik_entwurf_orga.html</x:v>
      </x:c>
      <x:c r="H297" s="116" t="str">
        <x:v>de_08_charakteristik_030_entwurf.html</x:v>
      </x:c>
    </x:row>
    <x:row r="298" ht="42" customHeight="1">
      <x:c r="A298" s="114" t="n">
        <x:v>8</x:v>
      </x:c>
      <x:c r="B298" s="115" t="n">
        <x:v>31</x:v>
      </x:c>
      <x:c r="C298" s="115" t="str">
        <x:v>Schreiben</x:v>
      </x:c>
      <x:c r="D298" s="115" t="str">
        <x:v>Personen und literarische Figuren charakterisieren: Text kriteriengeleitet überarbeiten</x:v>
      </x:c>
      <x:c r="E298" s="115" t="str">
        <x:v>de_k8_st31_charakteristik_ueberarbeiten</x:v>
      </x:c>
      <x:c r="F298" s="115" t="str">
        <x:v>schueler/de_k8_st31_charakteristik_ueberarbeiten_app.html</x:v>
      </x:c>
      <x:c r="G298" s="115" t="str">
        <x:v>lehrer/de_k8_st31_charakteristik_ueberarbeiten_orga.html</x:v>
      </x:c>
      <x:c r="H298" s="116" t="str">
        <x:v>de_08_charakteristik_031_ueberarbeiten.html</x:v>
      </x:c>
    </x:row>
    <x:row r="299" ht="42" customHeight="1">
      <x:c r="A299" s="114" t="n">
        <x:v>8</x:v>
      </x:c>
      <x:c r="B299" s="115" t="n">
        <x:v>32</x:v>
      </x:c>
      <x:c r="C299" s="115" t="str">
        <x:v>Sprechen und Zuhören</x:v>
      </x:c>
      <x:c r="D299" s="115" t="str">
        <x:v>Personen und literarische Figuren charakterisieren: Texte vorstellen und bewerten</x:v>
      </x:c>
      <x:c r="E299" s="115" t="str">
        <x:v>de_k8_st32_charakteristik_vorstellen</x:v>
      </x:c>
      <x:c r="F299" s="115" t="str">
        <x:v>schueler/de_k8_st32_charakteristik_vorstellen_app.html</x:v>
      </x:c>
      <x:c r="G299" s="115" t="str">
        <x:v>lehrer/de_k8_st32_charakteristik_vorstellen_orga.html</x:v>
      </x:c>
      <x:c r="H299" s="116" t="str">
        <x:v>de_08_charakteristik_032_vorstellen.html</x:v>
      </x:c>
    </x:row>
    <x:row r="300" ht="42" customHeight="1">
      <x:c r="A300" s="114" t="n">
        <x:v>8</x:v>
      </x:c>
      <x:c r="B300" s="115" t="n">
        <x:v>81</x:v>
      </x:c>
      <x:c r="C300" s="115" t="str">
        <x:v>Sprechen und Zuhören</x:v>
      </x:c>
      <x:c r="D300" s="115" t="str">
        <x:v>Kurze dramatische und kabarettistische Texte: Hör- oder Leseeinstieg gestalten</x:v>
      </x:c>
      <x:c r="E300" s="115" t="str">
        <x:v>de_k8_st81_drama_kurz_einstieg</x:v>
      </x:c>
      <x:c r="F300" s="115" t="str">
        <x:v>schueler/de_k8_st81_drama_kurz_einstieg_app.html</x:v>
      </x:c>
      <x:c r="G300" s="115" t="str">
        <x:v>lehrer/de_k8_st81_drama_kurz_einstieg_orga.html</x:v>
      </x:c>
      <x:c r="H300" s="116" t="str">
        <x:v>de_08_drama_kurz_081_einstieg.html</x:v>
      </x:c>
    </x:row>
    <x:row r="301" ht="42" customHeight="1">
      <x:c r="A301" s="114" t="n">
        <x:v>8</x:v>
      </x:c>
      <x:c r="B301" s="115" t="n">
        <x:v>82</x:v>
      </x:c>
      <x:c r="C301" s="115" t="str">
        <x:v>Lesen/Umgang mit Texten</x:v>
      </x:c>
      <x:c r="D301" s="115" t="str">
        <x:v>Kurze dramatische und kabarettistische Texte: Den Text mit Lesestrategien erschließen</x:v>
      </x:c>
      <x:c r="E301" s="115" t="str">
        <x:v>de_k8_st82_drama_kurz_erschliessen</x:v>
      </x:c>
      <x:c r="F301" s="115" t="str">
        <x:v>schueler/de_k8_st82_drama_kurz_erschliessen_app.html</x:v>
      </x:c>
      <x:c r="G301" s="115" t="str">
        <x:v>lehrer/de_k8_st82_drama_kurz_erschliessen_orga.html</x:v>
      </x:c>
      <x:c r="H301" s="116" t="str">
        <x:v>de_08_drama_kurz_082_erschliessen.html</x:v>
      </x:c>
    </x:row>
    <x:row r="302" ht="42" customHeight="1">
      <x:c r="A302" s="114" t="n">
        <x:v>8</x:v>
      </x:c>
      <x:c r="B302" s="115" t="n">
        <x:v>83</x:v>
      </x:c>
      <x:c r="C302" s="115" t="str">
        <x:v>Lesen/Umgang mit Texten</x:v>
      </x:c>
      <x:c r="D302" s="115" t="str">
        <x:v>Kurze dramatische und kabarettistische Texte: Gattungsmerkmale erkennen</x:v>
      </x:c>
      <x:c r="E302" s="115" t="str">
        <x:v>de_k8_st83_drama_kurz_merkmale</x:v>
      </x:c>
      <x:c r="F302" s="115" t="str">
        <x:v>schueler/de_k8_st83_drama_kurz_merkmale_app.html</x:v>
      </x:c>
      <x:c r="G302" s="115" t="str">
        <x:v>lehrer/de_k8_st83_drama_kurz_merkmale_orga.html</x:v>
      </x:c>
      <x:c r="H302" s="116" t="str">
        <x:v>de_08_drama_kurz_083_merkmale.html</x:v>
      </x:c>
    </x:row>
    <x:row r="303" ht="42" customHeight="1">
      <x:c r="A303" s="114" t="n">
        <x:v>8</x:v>
      </x:c>
      <x:c r="B303" s="115" t="n">
        <x:v>84</x:v>
      </x:c>
      <x:c r="C303" s="115" t="str">
        <x:v>Lesen/Umgang mit Texten</x:v>
      </x:c>
      <x:c r="D303" s="115" t="str">
        <x:v>Kurze dramatische und kabarettistische Texte: Figuren, Handlung und Konflikt untersuchen</x:v>
      </x:c>
      <x:c r="E303" s="115" t="str">
        <x:v>de_k8_st84_drama_kurz_figuren_handlung</x:v>
      </x:c>
      <x:c r="F303" s="115" t="str">
        <x:v>schueler/de_k8_st84_drama_kurz_figuren_handlung_app.html</x:v>
      </x:c>
      <x:c r="G303" s="115" t="str">
        <x:v>lehrer/de_k8_st84_drama_kurz_figuren_handlung_orga.html</x:v>
      </x:c>
      <x:c r="H303" s="116" t="str">
        <x:v>de_08_drama_kurz_084_figuren_handlung.html</x:v>
      </x:c>
    </x:row>
    <x:row r="304" ht="42" customHeight="1">
      <x:c r="A304" s="114" t="n">
        <x:v>8</x:v>
      </x:c>
      <x:c r="B304" s="115" t="n">
        <x:v>85</x:v>
      </x:c>
      <x:c r="C304" s="115" t="str">
        <x:v>Sprache untersuchen</x:v>
      </x:c>
      <x:c r="D304" s="115" t="str">
        <x:v>Kurze dramatische und kabarettistische Texte: Sprache und Wirkung untersuchen</x:v>
      </x:c>
      <x:c r="E304" s="115" t="str">
        <x:v>de_k8_st85_drama_kurz_sprache_wirkung</x:v>
      </x:c>
      <x:c r="F304" s="115" t="str">
        <x:v>schueler/de_k8_st85_drama_kurz_sprache_wirkung_app.html</x:v>
      </x:c>
      <x:c r="G304" s="115" t="str">
        <x:v>lehrer/de_k8_st85_drama_kurz_sprache_wirkung_orga.html</x:v>
      </x:c>
      <x:c r="H304" s="116" t="str">
        <x:v>de_08_drama_kurz_085_sprache_wirkung.html</x:v>
      </x:c>
    </x:row>
    <x:row r="305" ht="42" customHeight="1">
      <x:c r="A305" s="114" t="n">
        <x:v>8</x:v>
      </x:c>
      <x:c r="B305" s="115" t="n">
        <x:v>86</x:v>
      </x:c>
      <x:c r="C305" s="115" t="str">
        <x:v>Schreiben</x:v>
      </x:c>
      <x:c r="D305" s="115" t="str">
        <x:v>Kurze dramatische und kabarettistische Texte: Eine Deutung oder Perspektive vorbereiten</x:v>
      </x:c>
      <x:c r="E305" s="115" t="str">
        <x:v>de_k8_st86_drama_kurz_deutung_planen</x:v>
      </x:c>
      <x:c r="F305" s="115" t="str">
        <x:v>schueler/de_k8_st86_drama_kurz_deutung_planen_app.html</x:v>
      </x:c>
      <x:c r="G305" s="115" t="str">
        <x:v>lehrer/de_k8_st86_drama_kurz_deutung_planen_orga.html</x:v>
      </x:c>
      <x:c r="H305" s="116" t="str">
        <x:v>de_08_drama_kurz_086_deutung_planen.html</x:v>
      </x:c>
    </x:row>
    <x:row r="306" ht="42" customHeight="1">
      <x:c r="A306" s="114" t="n">
        <x:v>8</x:v>
      </x:c>
      <x:c r="B306" s="115" t="n">
        <x:v>87</x:v>
      </x:c>
      <x:c r="C306" s="115" t="str">
        <x:v>Schreiben</x:v>
      </x:c>
      <x:c r="D306" s="115" t="str">
        <x:v>Kurze dramatische und kabarettistische Texte: Inszenierung oder Szenenanalyse gestalten</x:v>
      </x:c>
      <x:c r="E306" s="115" t="str">
        <x:v>de_k8_st87_drama_kurz_produkt</x:v>
      </x:c>
      <x:c r="F306" s="115" t="str">
        <x:v>schueler/de_k8_st87_drama_kurz_produkt_app.html</x:v>
      </x:c>
      <x:c r="G306" s="115" t="str">
        <x:v>lehrer/de_k8_st87_drama_kurz_produkt_orga.html</x:v>
      </x:c>
      <x:c r="H306" s="116" t="str">
        <x:v>de_08_drama_kurz_087_produkt.html</x:v>
      </x:c>
    </x:row>
    <x:row r="307" ht="42" customHeight="1">
      <x:c r="A307" s="114" t="n">
        <x:v>8</x:v>
      </x:c>
      <x:c r="B307" s="115" t="n">
        <x:v>88</x:v>
      </x:c>
      <x:c r="C307" s="115" t="str">
        <x:v>Sprechen und Zuhören</x:v>
      </x:c>
      <x:c r="D307" s="115" t="str">
        <x:v>Kurze dramatische und kabarettistische Texte: Ergebnisse präsentieren und reflektieren</x:v>
      </x:c>
      <x:c r="E307" s="115" t="str">
        <x:v>de_k8_st88_drama_kurz_praesentieren</x:v>
      </x:c>
      <x:c r="F307" s="115" t="str">
        <x:v>schueler/de_k8_st88_drama_kurz_praesentieren_app.html</x:v>
      </x:c>
      <x:c r="G307" s="115" t="str">
        <x:v>lehrer/de_k8_st88_drama_kurz_praesentieren_orga.html</x:v>
      </x:c>
      <x:c r="H307" s="116" t="str">
        <x:v>de_08_drama_kurz_088_praesentieren.html</x:v>
      </x:c>
    </x:row>
    <x:row r="308" ht="42" customHeight="1">
      <x:c r="A308" s="114" t="n">
        <x:v>8</x:v>
      </x:c>
      <x:c r="B308" s="115" t="n">
        <x:v>33</x:v>
      </x:c>
      <x:c r="C308" s="115" t="str">
        <x:v>Lesen/Umgang mit Texten</x:v>
      </x:c>
      <x:c r="D308" s="115" t="str">
        <x:v>Eine lineare Erörterung entwickeln: Beispieltexte untersuchen</x:v>
      </x:c>
      <x:c r="E308" s="115" t="str">
        <x:v>de_k8_st33_eroerterung_linear_beispiel</x:v>
      </x:c>
      <x:c r="F308" s="115" t="str">
        <x:v>schueler/de_k8_st33_eroerterung_linear_beispiel_app.html</x:v>
      </x:c>
      <x:c r="G308" s="115" t="str">
        <x:v>lehrer/de_k8_st33_eroerterung_linear_beispiel_orga.html</x:v>
      </x:c>
      <x:c r="H308" s="116" t="str">
        <x:v>de_08_eroerterung_linear_033_beispiel.html</x:v>
      </x:c>
    </x:row>
    <x:row r="309" ht="42" customHeight="1">
      <x:c r="A309" s="114" t="n">
        <x:v>8</x:v>
      </x:c>
      <x:c r="B309" s="115" t="n">
        <x:v>34</x:v>
      </x:c>
      <x:c r="C309" s="115" t="str">
        <x:v>Schreiben</x:v>
      </x:c>
      <x:c r="D309" s="115" t="str">
        <x:v>Eine lineare Erörterung entwickeln: Schreibziel und Kriterien klären</x:v>
      </x:c>
      <x:c r="E309" s="115" t="str">
        <x:v>de_k8_st34_eroerterung_linear_kriterien</x:v>
      </x:c>
      <x:c r="F309" s="115" t="str">
        <x:v>schueler/de_k8_st34_eroerterung_linear_kriterien_app.html</x:v>
      </x:c>
      <x:c r="G309" s="115" t="str">
        <x:v>lehrer/de_k8_st34_eroerterung_linear_kriterien_orga.html</x:v>
      </x:c>
      <x:c r="H309" s="116" t="str">
        <x:v>de_08_eroerterung_linear_034_kriterien.html</x:v>
      </x:c>
    </x:row>
    <x:row r="310" ht="42" customHeight="1">
      <x:c r="A310" s="114" t="n">
        <x:v>8</x:v>
      </x:c>
      <x:c r="B310" s="115" t="n">
        <x:v>35</x:v>
      </x:c>
      <x:c r="C310" s="115" t="str">
        <x:v>Lesen/Umgang mit Texten</x:v>
      </x:c>
      <x:c r="D310" s="115" t="str">
        <x:v>Eine lineare Erörterung entwickeln: Inhalte auswählen und ordnen</x:v>
      </x:c>
      <x:c r="E310" s="115" t="str">
        <x:v>de_k8_st35_eroerterung_linear_inhalte_ordnen</x:v>
      </x:c>
      <x:c r="F310" s="115" t="str">
        <x:v>schueler/de_k8_st35_eroerterung_linear_inhalte_ordnen_app.html</x:v>
      </x:c>
      <x:c r="G310" s="115" t="str">
        <x:v>lehrer/de_k8_st35_eroerterung_linear_inhalte_ordnen_orga.html</x:v>
      </x:c>
      <x:c r="H310" s="116" t="str">
        <x:v>de_08_eroerterung_linear_035_inhalte_ordnen.html</x:v>
      </x:c>
    </x:row>
    <x:row r="311" ht="42" customHeight="1">
      <x:c r="A311" s="114" t="n">
        <x:v>8</x:v>
      </x:c>
      <x:c r="B311" s="115" t="n">
        <x:v>36</x:v>
      </x:c>
      <x:c r="C311" s="115" t="str">
        <x:v>Sprache untersuchen</x:v>
      </x:c>
      <x:c r="D311" s="115" t="str">
        <x:v>Eine lineare Erörterung entwickeln: Passende sprachliche Mittel verwenden</x:v>
      </x:c>
      <x:c r="E311" s="115" t="str">
        <x:v>de_k8_st36_eroerterung_linear_sprachmittel</x:v>
      </x:c>
      <x:c r="F311" s="115" t="str">
        <x:v>schueler/de_k8_st36_eroerterung_linear_sprachmittel_app.html</x:v>
      </x:c>
      <x:c r="G311" s="115" t="str">
        <x:v>lehrer/de_k8_st36_eroerterung_linear_sprachmittel_orga.html</x:v>
      </x:c>
      <x:c r="H311" s="116" t="str">
        <x:v>de_08_eroerterung_linear_036_sprachmittel.html</x:v>
      </x:c>
    </x:row>
    <x:row r="312" ht="42" customHeight="1">
      <x:c r="A312" s="114" t="n">
        <x:v>8</x:v>
      </x:c>
      <x:c r="B312" s="115" t="n">
        <x:v>37</x:v>
      </x:c>
      <x:c r="C312" s="115" t="str">
        <x:v>Schreiben</x:v>
      </x:c>
      <x:c r="D312" s="115" t="str">
        <x:v>Eine lineare Erörterung entwickeln: Einen Schreibplan erstellen</x:v>
      </x:c>
      <x:c r="E312" s="115" t="str">
        <x:v>de_k8_st37_eroerterung_linear_schreibplan</x:v>
      </x:c>
      <x:c r="F312" s="115" t="str">
        <x:v>schueler/de_k8_st37_eroerterung_linear_schreibplan_app.html</x:v>
      </x:c>
      <x:c r="G312" s="115" t="str">
        <x:v>lehrer/de_k8_st37_eroerterung_linear_schreibplan_orga.html</x:v>
      </x:c>
      <x:c r="H312" s="116" t="str">
        <x:v>de_08_eroerterung_linear_037_schreibplan.html</x:v>
      </x:c>
    </x:row>
    <x:row r="313" ht="42" customHeight="1">
      <x:c r="A313" s="114" t="n">
        <x:v>8</x:v>
      </x:c>
      <x:c r="B313" s="115" t="n">
        <x:v>38</x:v>
      </x:c>
      <x:c r="C313" s="115" t="str">
        <x:v>Schreiben</x:v>
      </x:c>
      <x:c r="D313" s="115" t="str">
        <x:v>Eine lineare Erörterung entwickeln: Einen ersten Textentwurf verfassen</x:v>
      </x:c>
      <x:c r="E313" s="115" t="str">
        <x:v>de_k8_st38_eroerterung_linear_entwurf</x:v>
      </x:c>
      <x:c r="F313" s="115" t="str">
        <x:v>schueler/de_k8_st38_eroerterung_linear_entwurf_app.html</x:v>
      </x:c>
      <x:c r="G313" s="115" t="str">
        <x:v>lehrer/de_k8_st38_eroerterung_linear_entwurf_orga.html</x:v>
      </x:c>
      <x:c r="H313" s="116" t="str">
        <x:v>de_08_eroerterung_linear_038_entwurf.html</x:v>
      </x:c>
    </x:row>
    <x:row r="314" ht="42" customHeight="1">
      <x:c r="A314" s="114" t="n">
        <x:v>8</x:v>
      </x:c>
      <x:c r="B314" s="115" t="n">
        <x:v>39</x:v>
      </x:c>
      <x:c r="C314" s="115" t="str">
        <x:v>Schreiben</x:v>
      </x:c>
      <x:c r="D314" s="115" t="str">
        <x:v>Eine lineare Erörterung entwickeln: Text kriteriengeleitet überarbeiten</x:v>
      </x:c>
      <x:c r="E314" s="115" t="str">
        <x:v>de_k8_st39_eroerterung_linear_ueberarbeiten</x:v>
      </x:c>
      <x:c r="F314" s="115" t="str">
        <x:v>schueler/de_k8_st39_eroerterung_linear_ueberarbeiten_app.html</x:v>
      </x:c>
      <x:c r="G314" s="115" t="str">
        <x:v>lehrer/de_k8_st39_eroerterung_linear_ueberarbeiten_orga.html</x:v>
      </x:c>
      <x:c r="H314" s="116" t="str">
        <x:v>de_08_eroerterung_linear_039_ueberarbeiten.html</x:v>
      </x:c>
    </x:row>
    <x:row r="315" ht="42" customHeight="1">
      <x:c r="A315" s="114" t="n">
        <x:v>8</x:v>
      </x:c>
      <x:c r="B315" s="115" t="n">
        <x:v>40</x:v>
      </x:c>
      <x:c r="C315" s="115" t="str">
        <x:v>Sprechen und Zuhören</x:v>
      </x:c>
      <x:c r="D315" s="115" t="str">
        <x:v>Eine lineare Erörterung entwickeln: Texte vorstellen und bewerten</x:v>
      </x:c>
      <x:c r="E315" s="115" t="str">
        <x:v>de_k8_st40_eroerterung_linear_vorstellen</x:v>
      </x:c>
      <x:c r="F315" s="115" t="str">
        <x:v>schueler/de_k8_st40_eroerterung_linear_vorstellen_app.html</x:v>
      </x:c>
      <x:c r="G315" s="115" t="str">
        <x:v>lehrer/de_k8_st40_eroerterung_linear_vorstellen_orga.html</x:v>
      </x:c>
      <x:c r="H315" s="116" t="str">
        <x:v>de_08_eroerterung_linear_040_vorstellen.html</x:v>
      </x:c>
    </x:row>
    <x:row r="316" ht="42" customHeight="1">
      <x:c r="A316" s="114" t="n">
        <x:v>8</x:v>
      </x:c>
      <x:c r="B316" s="115" t="n">
        <x:v>73</x:v>
      </x:c>
      <x:c r="C316" s="115" t="str">
        <x:v>Lesen/Umgang mit Texten</x:v>
      </x:c>
      <x:c r="D316" s="115" t="str">
        <x:v>Protokolle, Anfragen und Beschwerden: Beispieltexte untersuchen</x:v>
      </x:c>
      <x:c r="E316" s="115" t="str">
        <x:v>de_k8_st73_gebrauchstexte_beispiel</x:v>
      </x:c>
      <x:c r="F316" s="115" t="str">
        <x:v>schueler/de_k8_st73_gebrauchstexte_beispiel_app.html</x:v>
      </x:c>
      <x:c r="G316" s="115" t="str">
        <x:v>lehrer/de_k8_st73_gebrauchstexte_beispiel_orga.html</x:v>
      </x:c>
      <x:c r="H316" s="116" t="str">
        <x:v>de_08_gebrauchstexte_073_beispiel.html</x:v>
      </x:c>
    </x:row>
    <x:row r="317" ht="42" customHeight="1">
      <x:c r="A317" s="114" t="n">
        <x:v>8</x:v>
      </x:c>
      <x:c r="B317" s="115" t="n">
        <x:v>74</x:v>
      </x:c>
      <x:c r="C317" s="115" t="str">
        <x:v>Schreiben</x:v>
      </x:c>
      <x:c r="D317" s="115" t="str">
        <x:v>Protokolle, Anfragen und Beschwerden: Schreibziel und Kriterien klären</x:v>
      </x:c>
      <x:c r="E317" s="115" t="str">
        <x:v>de_k8_st74_gebrauchstexte_kriterien</x:v>
      </x:c>
      <x:c r="F317" s="115" t="str">
        <x:v>schueler/de_k8_st74_gebrauchstexte_kriterien_app.html</x:v>
      </x:c>
      <x:c r="G317" s="115" t="str">
        <x:v>lehrer/de_k8_st74_gebrauchstexte_kriterien_orga.html</x:v>
      </x:c>
      <x:c r="H317" s="116" t="str">
        <x:v>de_08_gebrauchstexte_074_kriterien.html</x:v>
      </x:c>
    </x:row>
    <x:row r="318" ht="42" customHeight="1">
      <x:c r="A318" s="114" t="n">
        <x:v>8</x:v>
      </x:c>
      <x:c r="B318" s="115" t="n">
        <x:v>75</x:v>
      </x:c>
      <x:c r="C318" s="115" t="str">
        <x:v>Lesen/Umgang mit Texten</x:v>
      </x:c>
      <x:c r="D318" s="115" t="str">
        <x:v>Protokolle, Anfragen und Beschwerden: Inhalte auswählen und ordnen</x:v>
      </x:c>
      <x:c r="E318" s="115" t="str">
        <x:v>de_k8_st75_gebrauchstexte_inhalte_ordnen</x:v>
      </x:c>
      <x:c r="F318" s="115" t="str">
        <x:v>schueler/de_k8_st75_gebrauchstexte_inhalte_ordnen_app.html</x:v>
      </x:c>
      <x:c r="G318" s="115" t="str">
        <x:v>lehrer/de_k8_st75_gebrauchstexte_inhalte_ordnen_orga.html</x:v>
      </x:c>
      <x:c r="H318" s="116" t="str">
        <x:v>de_08_gebrauchstexte_075_inhalte_ordnen.html</x:v>
      </x:c>
    </x:row>
    <x:row r="319" ht="42" customHeight="1">
      <x:c r="A319" s="114" t="n">
        <x:v>8</x:v>
      </x:c>
      <x:c r="B319" s="115" t="n">
        <x:v>76</x:v>
      </x:c>
      <x:c r="C319" s="115" t="str">
        <x:v>Sprache untersuchen</x:v>
      </x:c>
      <x:c r="D319" s="115" t="str">
        <x:v>Protokolle, Anfragen und Beschwerden: Passende sprachliche Mittel verwenden</x:v>
      </x:c>
      <x:c r="E319" s="115" t="str">
        <x:v>de_k8_st76_gebrauchstexte_sprachmittel</x:v>
      </x:c>
      <x:c r="F319" s="115" t="str">
        <x:v>schueler/de_k8_st76_gebrauchstexte_sprachmittel_app.html</x:v>
      </x:c>
      <x:c r="G319" s="115" t="str">
        <x:v>lehrer/de_k8_st76_gebrauchstexte_sprachmittel_orga.html</x:v>
      </x:c>
      <x:c r="H319" s="116" t="str">
        <x:v>de_08_gebrauchstexte_076_sprachmittel.html</x:v>
      </x:c>
    </x:row>
    <x:row r="320" ht="42" customHeight="1">
      <x:c r="A320" s="114" t="n">
        <x:v>8</x:v>
      </x:c>
      <x:c r="B320" s="115" t="n">
        <x:v>77</x:v>
      </x:c>
      <x:c r="C320" s="115" t="str">
        <x:v>Schreiben</x:v>
      </x:c>
      <x:c r="D320" s="115" t="str">
        <x:v>Protokolle, Anfragen und Beschwerden: Einen Schreibplan erstellen</x:v>
      </x:c>
      <x:c r="E320" s="115" t="str">
        <x:v>de_k8_st77_gebrauchstexte_schreibplan</x:v>
      </x:c>
      <x:c r="F320" s="115" t="str">
        <x:v>schueler/de_k8_st77_gebrauchstexte_schreibplan_app.html</x:v>
      </x:c>
      <x:c r="G320" s="115" t="str">
        <x:v>lehrer/de_k8_st77_gebrauchstexte_schreibplan_orga.html</x:v>
      </x:c>
      <x:c r="H320" s="116" t="str">
        <x:v>de_08_gebrauchstexte_077_schreibplan.html</x:v>
      </x:c>
    </x:row>
    <x:row r="321" ht="42" customHeight="1">
      <x:c r="A321" s="114" t="n">
        <x:v>8</x:v>
      </x:c>
      <x:c r="B321" s="115" t="n">
        <x:v>78</x:v>
      </x:c>
      <x:c r="C321" s="115" t="str">
        <x:v>Schreiben</x:v>
      </x:c>
      <x:c r="D321" s="115" t="str">
        <x:v>Protokolle, Anfragen und Beschwerden: Einen ersten Textentwurf verfassen</x:v>
      </x:c>
      <x:c r="E321" s="115" t="str">
        <x:v>de_k8_st78_gebrauchstexte_entwurf</x:v>
      </x:c>
      <x:c r="F321" s="115" t="str">
        <x:v>schueler/de_k8_st78_gebrauchstexte_entwurf_app.html</x:v>
      </x:c>
      <x:c r="G321" s="115" t="str">
        <x:v>lehrer/de_k8_st78_gebrauchstexte_entwurf_orga.html</x:v>
      </x:c>
      <x:c r="H321" s="116" t="str">
        <x:v>de_08_gebrauchstexte_078_entwurf.html</x:v>
      </x:c>
    </x:row>
    <x:row r="322" ht="42" customHeight="1">
      <x:c r="A322" s="114" t="n">
        <x:v>8</x:v>
      </x:c>
      <x:c r="B322" s="115" t="n">
        <x:v>79</x:v>
      </x:c>
      <x:c r="C322" s="115" t="str">
        <x:v>Schreiben</x:v>
      </x:c>
      <x:c r="D322" s="115" t="str">
        <x:v>Protokolle, Anfragen und Beschwerden: Text kriteriengeleitet überarbeiten</x:v>
      </x:c>
      <x:c r="E322" s="115" t="str">
        <x:v>de_k8_st79_gebrauchstexte_ueberarbeiten</x:v>
      </x:c>
      <x:c r="F322" s="115" t="str">
        <x:v>schueler/de_k8_st79_gebrauchstexte_ueberarbeiten_app.html</x:v>
      </x:c>
      <x:c r="G322" s="115" t="str">
        <x:v>lehrer/de_k8_st79_gebrauchstexte_ueberarbeiten_orga.html</x:v>
      </x:c>
      <x:c r="H322" s="116" t="str">
        <x:v>de_08_gebrauchstexte_079_ueberarbeiten.html</x:v>
      </x:c>
    </x:row>
    <x:row r="323" ht="42" customHeight="1">
      <x:c r="A323" s="114" t="n">
        <x:v>8</x:v>
      </x:c>
      <x:c r="B323" s="115" t="n">
        <x:v>80</x:v>
      </x:c>
      <x:c r="C323" s="115" t="str">
        <x:v>Sprechen und Zuhören</x:v>
      </x:c>
      <x:c r="D323" s="115" t="str">
        <x:v>Protokolle, Anfragen und Beschwerden: Texte vorstellen und bewerten</x:v>
      </x:c>
      <x:c r="E323" s="115" t="str">
        <x:v>de_k8_st80_gebrauchstexte_vorstellen</x:v>
      </x:c>
      <x:c r="F323" s="115" t="str">
        <x:v>schueler/de_k8_st80_gebrauchstexte_vorstellen_app.html</x:v>
      </x:c>
      <x:c r="G323" s="115" t="str">
        <x:v>lehrer/de_k8_st80_gebrauchstexte_vorstellen_orga.html</x:v>
      </x:c>
      <x:c r="H323" s="116" t="str">
        <x:v>de_08_gebrauchstexte_080_vorstellen.html</x:v>
      </x:c>
    </x:row>
    <x:row r="324" ht="42" customHeight="1">
      <x:c r="A324" s="114" t="n">
        <x:v>8</x:v>
      </x:c>
      <x:c r="B324" s="115" t="n">
        <x:v>89</x:v>
      </x:c>
      <x:c r="C324" s="115" t="str">
        <x:v>Sprechen und Zuhören</x:v>
      </x:c>
      <x:c r="D324" s="115" t="str">
        <x:v>Kompetenzprojekt Klasse 8: Vorwissen und Positionen klären</x:v>
      </x:c>
      <x:c r="E324" s="115" t="str">
        <x:v>de_k8_st89_kompetenzprojekt_einstieg</x:v>
      </x:c>
      <x:c r="F324" s="115" t="str">
        <x:v>schueler/de_k8_st89_kompetenzprojekt_einstieg_app.html</x:v>
      </x:c>
      <x:c r="G324" s="115" t="str">
        <x:v>lehrer/de_k8_st89_kompetenzprojekt_einstieg_orga.html</x:v>
      </x:c>
      <x:c r="H324" s="116" t="str">
        <x:v>de_08_kompetenzprojekt_089_einstieg.html</x:v>
      </x:c>
    </x:row>
    <x:row r="325" ht="42" customHeight="1">
      <x:c r="A325" s="114" t="n">
        <x:v>8</x:v>
      </x:c>
      <x:c r="B325" s="115" t="n">
        <x:v>90</x:v>
      </x:c>
      <x:c r="C325" s="115" t="str">
        <x:v>Lesen/Umgang mit Texten</x:v>
      </x:c>
      <x:c r="D325" s="115" t="str">
        <x:v>Kompetenzprojekt Klasse 8: Quellen und Materialien erschließen</x:v>
      </x:c>
      <x:c r="E325" s="115" t="str">
        <x:v>de_k8_st90_kompetenzprojekt_quellen</x:v>
      </x:c>
      <x:c r="F325" s="115" t="str">
        <x:v>schueler/de_k8_st90_kompetenzprojekt_quellen_app.html</x:v>
      </x:c>
      <x:c r="G325" s="115" t="str">
        <x:v>lehrer/de_k8_st90_kompetenzprojekt_quellen_orga.html</x:v>
      </x:c>
      <x:c r="H325" s="116" t="str">
        <x:v>de_08_kompetenzprojekt_090_quellen.html</x:v>
      </x:c>
    </x:row>
    <x:row r="326" ht="42" customHeight="1">
      <x:c r="A326" s="114" t="n">
        <x:v>8</x:v>
      </x:c>
      <x:c r="B326" s="115" t="n">
        <x:v>91</x:v>
      </x:c>
      <x:c r="C326" s="115" t="str">
        <x:v>Lesen/Umgang mit Texten</x:v>
      </x:c>
      <x:c r="D326" s="115" t="str">
        <x:v>Kompetenzprojekt Klasse 8: Qualitätskriterien anwenden</x:v>
      </x:c>
      <x:c r="E326" s="115" t="str">
        <x:v>de_k8_st91_kompetenzprojekt_kriterien</x:v>
      </x:c>
      <x:c r="F326" s="115" t="str">
        <x:v>schueler/de_k8_st91_kompetenzprojekt_kriterien_app.html</x:v>
      </x:c>
      <x:c r="G326" s="115" t="str">
        <x:v>lehrer/de_k8_st91_kompetenzprojekt_kriterien_orga.html</x:v>
      </x:c>
      <x:c r="H326" s="116" t="str">
        <x:v>de_08_kompetenzprojekt_091_kriterien.html</x:v>
      </x:c>
    </x:row>
    <x:row r="327" ht="42" customHeight="1">
      <x:c r="A327" s="114" t="n">
        <x:v>8</x:v>
      </x:c>
      <x:c r="B327" s="115" t="n">
        <x:v>92</x:v>
      </x:c>
      <x:c r="C327" s="115" t="str">
        <x:v>Lesen/Umgang mit Texten</x:v>
      </x:c>
      <x:c r="D327" s="115" t="str">
        <x:v>Kompetenzprojekt Klasse 8: Darstellungen vergleichen</x:v>
      </x:c>
      <x:c r="E327" s="115" t="str">
        <x:v>de_k8_st92_kompetenzprojekt_vergleichen</x:v>
      </x:c>
      <x:c r="F327" s="115" t="str">
        <x:v>schueler/de_k8_st92_kompetenzprojekt_vergleichen_app.html</x:v>
      </x:c>
      <x:c r="G327" s="115" t="str">
        <x:v>lehrer/de_k8_st92_kompetenzprojekt_vergleichen_orga.html</x:v>
      </x:c>
      <x:c r="H327" s="116" t="str">
        <x:v>de_08_kompetenzprojekt_092_vergleichen.html</x:v>
      </x:c>
    </x:row>
    <x:row r="328" ht="42" customHeight="1">
      <x:c r="A328" s="114" t="n">
        <x:v>8</x:v>
      </x:c>
      <x:c r="B328" s="115" t="n">
        <x:v>93</x:v>
      </x:c>
      <x:c r="C328" s="115" t="str">
        <x:v>Schreiben</x:v>
      </x:c>
      <x:c r="D328" s="115" t="str">
        <x:v>Kompetenzprojekt Klasse 8: Informationen prüfen und ordnen</x:v>
      </x:c>
      <x:c r="E328" s="115" t="str">
        <x:v>de_k8_st93_kompetenzprojekt_recherche</x:v>
      </x:c>
      <x:c r="F328" s="115" t="str">
        <x:v>schueler/de_k8_st93_kompetenzprojekt_recherche_app.html</x:v>
      </x:c>
      <x:c r="G328" s="115" t="str">
        <x:v>lehrer/de_k8_st93_kompetenzprojekt_recherche_orga.html</x:v>
      </x:c>
      <x:c r="H328" s="116" t="str">
        <x:v>de_08_kompetenzprojekt_093_recherche.html</x:v>
      </x:c>
    </x:row>
    <x:row r="329" ht="42" customHeight="1">
      <x:c r="A329" s="114" t="n">
        <x:v>8</x:v>
      </x:c>
      <x:c r="B329" s="115" t="n">
        <x:v>94</x:v>
      </x:c>
      <x:c r="C329" s="115" t="str">
        <x:v>Schreiben</x:v>
      </x:c>
      <x:c r="D329" s="115" t="str">
        <x:v>Kompetenzprojekt Klasse 8: Produkt planen</x:v>
      </x:c>
      <x:c r="E329" s="115" t="str">
        <x:v>de_k8_st94_kompetenzprojekt_planen</x:v>
      </x:c>
      <x:c r="F329" s="115" t="str">
        <x:v>schueler/de_k8_st94_kompetenzprojekt_planen_app.html</x:v>
      </x:c>
      <x:c r="G329" s="115" t="str">
        <x:v>lehrer/de_k8_st94_kompetenzprojekt_planen_orga.html</x:v>
      </x:c>
      <x:c r="H329" s="116" t="str">
        <x:v>de_08_kompetenzprojekt_094_planen.html</x:v>
      </x:c>
    </x:row>
    <x:row r="330" ht="42" customHeight="1">
      <x:c r="A330" s="114" t="n">
        <x:v>8</x:v>
      </x:c>
      <x:c r="B330" s="115" t="n">
        <x:v>95</x:v>
      </x:c>
      <x:c r="C330" s="115" t="str">
        <x:v>Schreiben</x:v>
      </x:c>
      <x:c r="D330" s="115" t="str">
        <x:v>Kompetenzprojekt Klasse 8: Produkt erstellen</x:v>
      </x:c>
      <x:c r="E330" s="115" t="str">
        <x:v>de_k8_st95_kompetenzprojekt_erstellen</x:v>
      </x:c>
      <x:c r="F330" s="115" t="str">
        <x:v>schueler/de_k8_st95_kompetenzprojekt_erstellen_app.html</x:v>
      </x:c>
      <x:c r="G330" s="115" t="str">
        <x:v>lehrer/de_k8_st95_kompetenzprojekt_erstellen_orga.html</x:v>
      </x:c>
      <x:c r="H330" s="116" t="str">
        <x:v>de_08_kompetenzprojekt_095_erstellen.html</x:v>
      </x:c>
    </x:row>
    <x:row r="331" ht="42" customHeight="1">
      <x:c r="A331" s="114" t="n">
        <x:v>8</x:v>
      </x:c>
      <x:c r="B331" s="115" t="n">
        <x:v>96</x:v>
      </x:c>
      <x:c r="C331" s="115" t="str">
        <x:v>Sprechen und Zuhören</x:v>
      </x:c>
      <x:c r="D331" s="115" t="str">
        <x:v>Kompetenzprojekt Klasse 8: Präsentieren und reflektieren</x:v>
      </x:c>
      <x:c r="E331" s="115" t="str">
        <x:v>de_k8_st96_kompetenzprojekt_reflexion</x:v>
      </x:c>
      <x:c r="F331" s="115" t="str">
        <x:v>schueler/de_k8_st96_kompetenzprojekt_reflexion_app.html</x:v>
      </x:c>
      <x:c r="G331" s="115" t="str">
        <x:v>lehrer/de_k8_st96_kompetenzprojekt_reflexion_orga.html</x:v>
      </x:c>
      <x:c r="H331" s="116" t="str">
        <x:v>de_08_kompetenzprojekt_096_reflexion.html</x:v>
      </x:c>
    </x:row>
    <x:row r="332" ht="42" customHeight="1">
      <x:c r="A332" s="114" t="n">
        <x:v>8</x:v>
      </x:c>
      <x:c r="B332" s="115" t="n">
        <x:v>9</x:v>
      </x:c>
      <x:c r="C332" s="115" t="str">
        <x:v>Sprechen und Zuhören</x:v>
      </x:c>
      <x:c r="D332" s="115" t="str">
        <x:v>Kurzgeschichten vertieft deuten: Hör- oder Leseeinstieg gestalten</x:v>
      </x:c>
      <x:c r="E332" s="115" t="str">
        <x:v>de_k8_st09_kurzgeschichte_vertieft_einstieg</x:v>
      </x:c>
      <x:c r="F332" s="115" t="str">
        <x:v>schueler/de_k8_st09_kurzgeschichte_vertieft_einstieg_app.html</x:v>
      </x:c>
      <x:c r="G332" s="115" t="str">
        <x:v>lehrer/de_k8_st09_kurzgeschichte_vertieft_einstieg_orga.html</x:v>
      </x:c>
      <x:c r="H332" s="116" t="str">
        <x:v>de_08_kurzgeschichte_vertieft_009_einstieg.html</x:v>
      </x:c>
    </x:row>
    <x:row r="333" ht="42" customHeight="1">
      <x:c r="A333" s="114" t="n">
        <x:v>8</x:v>
      </x:c>
      <x:c r="B333" s="115" t="n">
        <x:v>10</x:v>
      </x:c>
      <x:c r="C333" s="115" t="str">
        <x:v>Lesen/Umgang mit Texten</x:v>
      </x:c>
      <x:c r="D333" s="115" t="str">
        <x:v>Kurzgeschichten vertieft deuten: Den Text mit Lesestrategien erschließen</x:v>
      </x:c>
      <x:c r="E333" s="115" t="str">
        <x:v>de_k8_st10_kurzgeschichte_vertieft_erschliessen</x:v>
      </x:c>
      <x:c r="F333" s="115" t="str">
        <x:v>schueler/de_k8_st10_kurzgeschichte_vertieft_erschliessen_app.html</x:v>
      </x:c>
      <x:c r="G333" s="115" t="str">
        <x:v>lehrer/de_k8_st10_kurzgeschichte_vertieft_erschliessen_orga.html</x:v>
      </x:c>
      <x:c r="H333" s="116" t="str">
        <x:v>de_08_kurzgeschichte_vertieft_010_erschliessen.html</x:v>
      </x:c>
    </x:row>
    <x:row r="334" ht="42" customHeight="1">
      <x:c r="A334" s="114" t="n">
        <x:v>8</x:v>
      </x:c>
      <x:c r="B334" s="115" t="n">
        <x:v>11</x:v>
      </x:c>
      <x:c r="C334" s="115" t="str">
        <x:v>Lesen/Umgang mit Texten</x:v>
      </x:c>
      <x:c r="D334" s="115" t="str">
        <x:v>Kurzgeschichten vertieft deuten: Gattungsmerkmale erkennen</x:v>
      </x:c>
      <x:c r="E334" s="115" t="str">
        <x:v>de_k8_st11_kurzgeschichte_vertieft_merkmale</x:v>
      </x:c>
      <x:c r="F334" s="115" t="str">
        <x:v>schueler/de_k8_st11_kurzgeschichte_vertieft_merkmale_app.html</x:v>
      </x:c>
      <x:c r="G334" s="115" t="str">
        <x:v>lehrer/de_k8_st11_kurzgeschichte_vertieft_merkmale_orga.html</x:v>
      </x:c>
      <x:c r="H334" s="116" t="str">
        <x:v>de_08_kurzgeschichte_vertieft_011_merkmale.html</x:v>
      </x:c>
    </x:row>
    <x:row r="335" ht="42" customHeight="1">
      <x:c r="A335" s="114" t="n">
        <x:v>8</x:v>
      </x:c>
      <x:c r="B335" s="115" t="n">
        <x:v>12</x:v>
      </x:c>
      <x:c r="C335" s="115" t="str">
        <x:v>Lesen/Umgang mit Texten</x:v>
      </x:c>
      <x:c r="D335" s="115" t="str">
        <x:v>Kurzgeschichten vertieft deuten: Figuren, Handlung und Konflikt untersuchen</x:v>
      </x:c>
      <x:c r="E335" s="115" t="str">
        <x:v>de_k8_st12_kurzgeschichte_vertieft_figuren_handlung</x:v>
      </x:c>
      <x:c r="F335" s="115" t="str">
        <x:v>schueler/de_k8_st12_kurzgeschichte_vertieft_figuren_handlung_app.html</x:v>
      </x:c>
      <x:c r="G335" s="115" t="str">
        <x:v>lehrer/de_k8_st12_kurzgeschichte_vertieft_figuren_handlung_orga.html</x:v>
      </x:c>
      <x:c r="H335" s="116" t="str">
        <x:v>de_08_kurzgeschichte_vertieft_012_figuren_handlung.html</x:v>
      </x:c>
    </x:row>
    <x:row r="336" ht="42" customHeight="1">
      <x:c r="A336" s="114" t="n">
        <x:v>8</x:v>
      </x:c>
      <x:c r="B336" s="115" t="n">
        <x:v>13</x:v>
      </x:c>
      <x:c r="C336" s="115" t="str">
        <x:v>Sprache untersuchen</x:v>
      </x:c>
      <x:c r="D336" s="115" t="str">
        <x:v>Kurzgeschichten vertieft deuten: Sprache und Wirkung untersuchen</x:v>
      </x:c>
      <x:c r="E336" s="115" t="str">
        <x:v>de_k8_st13_kurzgeschichte_vertieft_sprache_wirkung</x:v>
      </x:c>
      <x:c r="F336" s="115" t="str">
        <x:v>schueler/de_k8_st13_kurzgeschichte_vertieft_sprache_wirkung_app.html</x:v>
      </x:c>
      <x:c r="G336" s="115" t="str">
        <x:v>lehrer/de_k8_st13_kurzgeschichte_vertieft_sprache_wirkung_orga.html</x:v>
      </x:c>
      <x:c r="H336" s="116" t="str">
        <x:v>de_08_kurzgeschichte_vertieft_013_sprache_wirkung.html</x:v>
      </x:c>
    </x:row>
    <x:row r="337" ht="42" customHeight="1">
      <x:c r="A337" s="114" t="n">
        <x:v>8</x:v>
      </x:c>
      <x:c r="B337" s="115" t="n">
        <x:v>14</x:v>
      </x:c>
      <x:c r="C337" s="115" t="str">
        <x:v>Schreiben</x:v>
      </x:c>
      <x:c r="D337" s="115" t="str">
        <x:v>Kurzgeschichten vertieft deuten: Eine Deutung oder Perspektive vorbereiten</x:v>
      </x:c>
      <x:c r="E337" s="115" t="str">
        <x:v>de_k8_st14_kurzgeschichte_vertieft_deutung_planen</x:v>
      </x:c>
      <x:c r="F337" s="115" t="str">
        <x:v>schueler/de_k8_st14_kurzgeschichte_vertieft_deutung_planen_app.html</x:v>
      </x:c>
      <x:c r="G337" s="115" t="str">
        <x:v>lehrer/de_k8_st14_kurzgeschichte_vertieft_deutung_planen_orga.html</x:v>
      </x:c>
      <x:c r="H337" s="116" t="str">
        <x:v>de_08_kurzgeschichte_vertieft_014_deutung_planen.html</x:v>
      </x:c>
    </x:row>
    <x:row r="338" ht="42" customHeight="1">
      <x:c r="A338" s="114" t="n">
        <x:v>8</x:v>
      </x:c>
      <x:c r="B338" s="115" t="n">
        <x:v>15</x:v>
      </x:c>
      <x:c r="C338" s="115" t="str">
        <x:v>Schreiben</x:v>
      </x:c>
      <x:c r="D338" s="115" t="str">
        <x:v>Kurzgeschichten vertieft deuten: Interpretationsskizze gestalten</x:v>
      </x:c>
      <x:c r="E338" s="115" t="str">
        <x:v>de_k8_st15_kurzgeschichte_vertieft_produkt</x:v>
      </x:c>
      <x:c r="F338" s="115" t="str">
        <x:v>schueler/de_k8_st15_kurzgeschichte_vertieft_produkt_app.html</x:v>
      </x:c>
      <x:c r="G338" s="115" t="str">
        <x:v>lehrer/de_k8_st15_kurzgeschichte_vertieft_produkt_orga.html</x:v>
      </x:c>
      <x:c r="H338" s="116" t="str">
        <x:v>de_08_kurzgeschichte_vertieft_015_produkt.html</x:v>
      </x:c>
    </x:row>
    <x:row r="339" ht="42" customHeight="1">
      <x:c r="A339" s="114" t="n">
        <x:v>8</x:v>
      </x:c>
      <x:c r="B339" s="115" t="n">
        <x:v>16</x:v>
      </x:c>
      <x:c r="C339" s="115" t="str">
        <x:v>Sprechen und Zuhören</x:v>
      </x:c>
      <x:c r="D339" s="115" t="str">
        <x:v>Kurzgeschichten vertieft deuten: Ergebnisse präsentieren und reflektieren</x:v>
      </x:c>
      <x:c r="E339" s="115" t="str">
        <x:v>de_k8_st16_kurzgeschichte_vertieft_praesentieren</x:v>
      </x:c>
      <x:c r="F339" s="115" t="str">
        <x:v>schueler/de_k8_st16_kurzgeschichte_vertieft_praesentieren_app.html</x:v>
      </x:c>
      <x:c r="G339" s="115" t="str">
        <x:v>lehrer/de_k8_st16_kurzgeschichte_vertieft_praesentieren_orga.html</x:v>
      </x:c>
      <x:c r="H339" s="116" t="str">
        <x:v>de_08_kurzgeschichte_vertieft_016_praesentieren.html</x:v>
      </x:c>
    </x:row>
    <x:row r="340" ht="42" customHeight="1">
      <x:c r="A340" s="114" t="n">
        <x:v>8</x:v>
      </x:c>
      <x:c r="B340" s="115" t="n">
        <x:v>17</x:v>
      </x:c>
      <x:c r="C340" s="115" t="str">
        <x:v>Sprechen und Zuhören</x:v>
      </x:c>
      <x:c r="D340" s="115" t="str">
        <x:v>Balladen und Erlebnislyrik: Hör- oder Leseeinstieg gestalten</x:v>
      </x:c>
      <x:c r="E340" s="115" t="str">
        <x:v>de_k8_st17_lyrik_einstieg</x:v>
      </x:c>
      <x:c r="F340" s="115" t="str">
        <x:v>schueler/de_k8_st17_lyrik_einstieg_app.html</x:v>
      </x:c>
      <x:c r="G340" s="115" t="str">
        <x:v>lehrer/de_k8_st17_lyrik_einstieg_orga.html</x:v>
      </x:c>
      <x:c r="H340" s="116" t="str">
        <x:v>de_08_lyrik_017_einstieg.html</x:v>
      </x:c>
    </x:row>
    <x:row r="341" ht="42" customHeight="1">
      <x:c r="A341" s="114" t="n">
        <x:v>8</x:v>
      </x:c>
      <x:c r="B341" s="115" t="n">
        <x:v>18</x:v>
      </x:c>
      <x:c r="C341" s="115" t="str">
        <x:v>Lesen/Umgang mit Texten</x:v>
      </x:c>
      <x:c r="D341" s="115" t="str">
        <x:v>Balladen und Erlebnislyrik: Den Text mit Lesestrategien erschließen</x:v>
      </x:c>
      <x:c r="E341" s="115" t="str">
        <x:v>de_k8_st18_lyrik_erschliessen</x:v>
      </x:c>
      <x:c r="F341" s="115" t="str">
        <x:v>schueler/de_k8_st18_lyrik_erschliessen_app.html</x:v>
      </x:c>
      <x:c r="G341" s="115" t="str">
        <x:v>lehrer/de_k8_st18_lyrik_erschliessen_orga.html</x:v>
      </x:c>
      <x:c r="H341" s="116" t="str">
        <x:v>de_08_lyrik_018_erschliessen.html</x:v>
      </x:c>
    </x:row>
    <x:row r="342" ht="42" customHeight="1">
      <x:c r="A342" s="114" t="n">
        <x:v>8</x:v>
      </x:c>
      <x:c r="B342" s="115" t="n">
        <x:v>19</x:v>
      </x:c>
      <x:c r="C342" s="115" t="str">
        <x:v>Lesen/Umgang mit Texten</x:v>
      </x:c>
      <x:c r="D342" s="115" t="str">
        <x:v>Balladen und Erlebnislyrik: Gattungsmerkmale erkennen</x:v>
      </x:c>
      <x:c r="E342" s="115" t="str">
        <x:v>de_k8_st19_lyrik_merkmale</x:v>
      </x:c>
      <x:c r="F342" s="115" t="str">
        <x:v>schueler/de_k8_st19_lyrik_merkmale_app.html</x:v>
      </x:c>
      <x:c r="G342" s="115" t="str">
        <x:v>lehrer/de_k8_st19_lyrik_merkmale_orga.html</x:v>
      </x:c>
      <x:c r="H342" s="116" t="str">
        <x:v>de_08_lyrik_019_merkmale.html</x:v>
      </x:c>
    </x:row>
    <x:row r="343" ht="42" customHeight="1">
      <x:c r="A343" s="114" t="n">
        <x:v>8</x:v>
      </x:c>
      <x:c r="B343" s="115" t="n">
        <x:v>20</x:v>
      </x:c>
      <x:c r="C343" s="115" t="str">
        <x:v>Lesen/Umgang mit Texten</x:v>
      </x:c>
      <x:c r="D343" s="115" t="str">
        <x:v>Balladen und Erlebnislyrik: Figuren, Handlung und Konflikt untersuchen</x:v>
      </x:c>
      <x:c r="E343" s="115" t="str">
        <x:v>de_k8_st20_lyrik_figuren_handlung</x:v>
      </x:c>
      <x:c r="F343" s="115" t="str">
        <x:v>schueler/de_k8_st20_lyrik_figuren_handlung_app.html</x:v>
      </x:c>
      <x:c r="G343" s="115" t="str">
        <x:v>lehrer/de_k8_st20_lyrik_figuren_handlung_orga.html</x:v>
      </x:c>
      <x:c r="H343" s="116" t="str">
        <x:v>de_08_lyrik_020_figuren_handlung.html</x:v>
      </x:c>
    </x:row>
    <x:row r="344" ht="42" customHeight="1">
      <x:c r="A344" s="114" t="n">
        <x:v>8</x:v>
      </x:c>
      <x:c r="B344" s="115" t="n">
        <x:v>21</x:v>
      </x:c>
      <x:c r="C344" s="115" t="str">
        <x:v>Sprache untersuchen</x:v>
      </x:c>
      <x:c r="D344" s="115" t="str">
        <x:v>Balladen und Erlebnislyrik: Sprache und Wirkung untersuchen</x:v>
      </x:c>
      <x:c r="E344" s="115" t="str">
        <x:v>de_k8_st21_lyrik_sprache_wirkung</x:v>
      </x:c>
      <x:c r="F344" s="115" t="str">
        <x:v>schueler/de_k8_st21_lyrik_sprache_wirkung_app.html</x:v>
      </x:c>
      <x:c r="G344" s="115" t="str">
        <x:v>lehrer/de_k8_st21_lyrik_sprache_wirkung_orga.html</x:v>
      </x:c>
      <x:c r="H344" s="116" t="str">
        <x:v>de_08_lyrik_021_sprache_wirkung.html</x:v>
      </x:c>
    </x:row>
    <x:row r="345" ht="42" customHeight="1">
      <x:c r="A345" s="114" t="n">
        <x:v>8</x:v>
      </x:c>
      <x:c r="B345" s="115" t="n">
        <x:v>22</x:v>
      </x:c>
      <x:c r="C345" s="115" t="str">
        <x:v>Schreiben</x:v>
      </x:c>
      <x:c r="D345" s="115" t="str">
        <x:v>Balladen und Erlebnislyrik: Eine Deutung oder Perspektive vorbereiten</x:v>
      </x:c>
      <x:c r="E345" s="115" t="str">
        <x:v>de_k8_st22_lyrik_deutung_planen</x:v>
      </x:c>
      <x:c r="F345" s="115" t="str">
        <x:v>schueler/de_k8_st22_lyrik_deutung_planen_app.html</x:v>
      </x:c>
      <x:c r="G345" s="115" t="str">
        <x:v>lehrer/de_k8_st22_lyrik_deutung_planen_orga.html</x:v>
      </x:c>
      <x:c r="H345" s="116" t="str">
        <x:v>de_08_lyrik_022_deutung_planen.html</x:v>
      </x:c>
    </x:row>
    <x:row r="346" ht="42" customHeight="1">
      <x:c r="A346" s="114" t="n">
        <x:v>8</x:v>
      </x:c>
      <x:c r="B346" s="115" t="n">
        <x:v>23</x:v>
      </x:c>
      <x:c r="C346" s="115" t="str">
        <x:v>Schreiben</x:v>
      </x:c>
      <x:c r="D346" s="115" t="str">
        <x:v>Balladen und Erlebnislyrik: Gedichtvergleich oder Vortrag gestalten</x:v>
      </x:c>
      <x:c r="E346" s="115" t="str">
        <x:v>de_k8_st23_lyrik_produkt</x:v>
      </x:c>
      <x:c r="F346" s="115" t="str">
        <x:v>schueler/de_k8_st23_lyrik_produkt_app.html</x:v>
      </x:c>
      <x:c r="G346" s="115" t="str">
        <x:v>lehrer/de_k8_st23_lyrik_produkt_orga.html</x:v>
      </x:c>
      <x:c r="H346" s="116" t="str">
        <x:v>de_08_lyrik_023_produkt.html</x:v>
      </x:c>
    </x:row>
    <x:row r="347" ht="42" customHeight="1">
      <x:c r="A347" s="114" t="n">
        <x:v>8</x:v>
      </x:c>
      <x:c r="B347" s="115" t="n">
        <x:v>24</x:v>
      </x:c>
      <x:c r="C347" s="115" t="str">
        <x:v>Sprechen und Zuhören</x:v>
      </x:c>
      <x:c r="D347" s="115" t="str">
        <x:v>Balladen und Erlebnislyrik: Ergebnisse präsentieren und reflektieren</x:v>
      </x:c>
      <x:c r="E347" s="115" t="str">
        <x:v>de_k8_st24_lyrik_praesentieren</x:v>
      </x:c>
      <x:c r="F347" s="115" t="str">
        <x:v>schueler/de_k8_st24_lyrik_praesentieren_app.html</x:v>
      </x:c>
      <x:c r="G347" s="115" t="str">
        <x:v>lehrer/de_k8_st24_lyrik_praesentieren_orga.html</x:v>
      </x:c>
      <x:c r="H347" s="116" t="str">
        <x:v>de_08_lyrik_024_praesentieren.html</x:v>
      </x:c>
    </x:row>
    <x:row r="348" ht="42" customHeight="1">
      <x:c r="A348" s="114" t="n">
        <x:v>8</x:v>
      </x:c>
      <x:c r="B348" s="115" t="n">
        <x:v>1</x:v>
      </x:c>
      <x:c r="C348" s="115" t="str">
        <x:v>Sprechen und Zuhören</x:v>
      </x:c>
      <x:c r="D348" s="115" t="str">
        <x:v>Lesen und Medien vergleichen: Vorwissen und Positionen klären</x:v>
      </x:c>
      <x:c r="E348" s="115" t="str">
        <x:v>de_k8_st01_medienvergleich_einstieg</x:v>
      </x:c>
      <x:c r="F348" s="115" t="str">
        <x:v>schueler/de_k8_st01_medienvergleich_einstieg_app.html</x:v>
      </x:c>
      <x:c r="G348" s="115" t="str">
        <x:v>lehrer/de_k8_st01_medienvergleich_einstieg_orga.html</x:v>
      </x:c>
      <x:c r="H348" s="116" t="str">
        <x:v>de_08_medienvergleich_001_einstieg.html</x:v>
      </x:c>
    </x:row>
    <x:row r="349" ht="42" customHeight="1">
      <x:c r="A349" s="114" t="n">
        <x:v>8</x:v>
      </x:c>
      <x:c r="B349" s="115" t="n">
        <x:v>2</x:v>
      </x:c>
      <x:c r="C349" s="115" t="str">
        <x:v>Lesen/Umgang mit Texten</x:v>
      </x:c>
      <x:c r="D349" s="115" t="str">
        <x:v>Lesen und Medien vergleichen: Quellen und Materialien erschließen</x:v>
      </x:c>
      <x:c r="E349" s="115" t="str">
        <x:v>de_k8_st02_medienvergleich_quellen</x:v>
      </x:c>
      <x:c r="F349" s="115" t="str">
        <x:v>schueler/de_k8_st02_medienvergleich_quellen_app.html</x:v>
      </x:c>
      <x:c r="G349" s="115" t="str">
        <x:v>lehrer/de_k8_st02_medienvergleich_quellen_orga.html</x:v>
      </x:c>
      <x:c r="H349" s="116" t="str">
        <x:v>de_08_medienvergleich_002_quellen.html</x:v>
      </x:c>
    </x:row>
    <x:row r="350" ht="42" customHeight="1">
      <x:c r="A350" s="114" t="n">
        <x:v>8</x:v>
      </x:c>
      <x:c r="B350" s="115" t="n">
        <x:v>3</x:v>
      </x:c>
      <x:c r="C350" s="115" t="str">
        <x:v>Lesen/Umgang mit Texten</x:v>
      </x:c>
      <x:c r="D350" s="115" t="str">
        <x:v>Lesen und Medien vergleichen: Qualitätskriterien anwenden</x:v>
      </x:c>
      <x:c r="E350" s="115" t="str">
        <x:v>de_k8_st03_medienvergleich_kriterien</x:v>
      </x:c>
      <x:c r="F350" s="115" t="str">
        <x:v>schueler/de_k8_st03_medienvergleich_kriterien_app.html</x:v>
      </x:c>
      <x:c r="G350" s="115" t="str">
        <x:v>lehrer/de_k8_st03_medienvergleich_kriterien_orga.html</x:v>
      </x:c>
      <x:c r="H350" s="116" t="str">
        <x:v>de_08_medienvergleich_003_kriterien.html</x:v>
      </x:c>
    </x:row>
    <x:row r="351" ht="42" customHeight="1">
      <x:c r="A351" s="114" t="n">
        <x:v>8</x:v>
      </x:c>
      <x:c r="B351" s="115" t="n">
        <x:v>4</x:v>
      </x:c>
      <x:c r="C351" s="115" t="str">
        <x:v>Lesen/Umgang mit Texten</x:v>
      </x:c>
      <x:c r="D351" s="115" t="str">
        <x:v>Lesen und Medien vergleichen: Darstellungen vergleichen</x:v>
      </x:c>
      <x:c r="E351" s="115" t="str">
        <x:v>de_k8_st04_medienvergleich_vergleichen</x:v>
      </x:c>
      <x:c r="F351" s="115" t="str">
        <x:v>schueler/de_k8_st04_medienvergleich_vergleichen_app.html</x:v>
      </x:c>
      <x:c r="G351" s="115" t="str">
        <x:v>lehrer/de_k8_st04_medienvergleich_vergleichen_orga.html</x:v>
      </x:c>
      <x:c r="H351" s="116" t="str">
        <x:v>de_08_medienvergleich_004_vergleichen.html</x:v>
      </x:c>
    </x:row>
    <x:row r="352" ht="42" customHeight="1">
      <x:c r="A352" s="114" t="n">
        <x:v>8</x:v>
      </x:c>
      <x:c r="B352" s="115" t="n">
        <x:v>5</x:v>
      </x:c>
      <x:c r="C352" s="115" t="str">
        <x:v>Schreiben</x:v>
      </x:c>
      <x:c r="D352" s="115" t="str">
        <x:v>Lesen und Medien vergleichen: Informationen prüfen und ordnen</x:v>
      </x:c>
      <x:c r="E352" s="115" t="str">
        <x:v>de_k8_st05_medienvergleich_recherche</x:v>
      </x:c>
      <x:c r="F352" s="115" t="str">
        <x:v>schueler/de_k8_st05_medienvergleich_recherche_app.html</x:v>
      </x:c>
      <x:c r="G352" s="115" t="str">
        <x:v>lehrer/de_k8_st05_medienvergleich_recherche_orga.html</x:v>
      </x:c>
      <x:c r="H352" s="116" t="str">
        <x:v>de_08_medienvergleich_005_recherche.html</x:v>
      </x:c>
    </x:row>
    <x:row r="353" ht="42" customHeight="1">
      <x:c r="A353" s="114" t="n">
        <x:v>8</x:v>
      </x:c>
      <x:c r="B353" s="115" t="n">
        <x:v>6</x:v>
      </x:c>
      <x:c r="C353" s="115" t="str">
        <x:v>Schreiben</x:v>
      </x:c>
      <x:c r="D353" s="115" t="str">
        <x:v>Lesen und Medien vergleichen: Produkt planen</x:v>
      </x:c>
      <x:c r="E353" s="115" t="str">
        <x:v>de_k8_st06_medienvergleich_planen</x:v>
      </x:c>
      <x:c r="F353" s="115" t="str">
        <x:v>schueler/de_k8_st06_medienvergleich_planen_app.html</x:v>
      </x:c>
      <x:c r="G353" s="115" t="str">
        <x:v>lehrer/de_k8_st06_medienvergleich_planen_orga.html</x:v>
      </x:c>
      <x:c r="H353" s="116" t="str">
        <x:v>de_08_medienvergleich_006_planen.html</x:v>
      </x:c>
    </x:row>
    <x:row r="354" ht="42" customHeight="1">
      <x:c r="A354" s="114" t="n">
        <x:v>8</x:v>
      </x:c>
      <x:c r="B354" s="115" t="n">
        <x:v>7</x:v>
      </x:c>
      <x:c r="C354" s="115" t="str">
        <x:v>Schreiben</x:v>
      </x:c>
      <x:c r="D354" s="115" t="str">
        <x:v>Lesen und Medien vergleichen: Produkt erstellen</x:v>
      </x:c>
      <x:c r="E354" s="115" t="str">
        <x:v>de_k8_st07_medienvergleich_erstellen</x:v>
      </x:c>
      <x:c r="F354" s="115" t="str">
        <x:v>schueler/de_k8_st07_medienvergleich_erstellen_app.html</x:v>
      </x:c>
      <x:c r="G354" s="115" t="str">
        <x:v>lehrer/de_k8_st07_medienvergleich_erstellen_orga.html</x:v>
      </x:c>
      <x:c r="H354" s="116" t="str">
        <x:v>de_08_medienvergleich_007_erstellen.html</x:v>
      </x:c>
    </x:row>
    <x:row r="355" ht="42" customHeight="1">
      <x:c r="A355" s="114" t="n">
        <x:v>8</x:v>
      </x:c>
      <x:c r="B355" s="115" t="n">
        <x:v>8</x:v>
      </x:c>
      <x:c r="C355" s="115" t="str">
        <x:v>Sprechen und Zuhören</x:v>
      </x:c>
      <x:c r="D355" s="115" t="str">
        <x:v>Lesen und Medien vergleichen: Präsentieren und reflektieren</x:v>
      </x:c>
      <x:c r="E355" s="115" t="str">
        <x:v>de_k8_st08_medienvergleich_reflexion</x:v>
      </x:c>
      <x:c r="F355" s="115" t="str">
        <x:v>schueler/de_k8_st08_medienvergleich_reflexion_app.html</x:v>
      </x:c>
      <x:c r="G355" s="115" t="str">
        <x:v>lehrer/de_k8_st08_medienvergleich_reflexion_orga.html</x:v>
      </x:c>
      <x:c r="H355" s="116" t="str">
        <x:v>de_08_medienvergleich_008_reflexion.html</x:v>
      </x:c>
    </x:row>
    <x:row r="356" ht="42" customHeight="1">
      <x:c r="A356" s="114" t="n">
        <x:v>8</x:v>
      </x:c>
      <x:c r="B356" s="115" t="n">
        <x:v>65</x:v>
      </x:c>
      <x:c r="C356" s="115" t="str">
        <x:v>Sprechen und Zuhören</x:v>
      </x:c>
      <x:c r="D356" s="115" t="str">
        <x:v>Nachrichten, Meinung und Falschinformation: Vorwissen und Positionen klären</x:v>
      </x:c>
      <x:c r="E356" s="115" t="str">
        <x:v>de_k8_st65_nachrichten_einstieg</x:v>
      </x:c>
      <x:c r="F356" s="115" t="str">
        <x:v>schueler/de_k8_st65_nachrichten_einstieg_app.html</x:v>
      </x:c>
      <x:c r="G356" s="115" t="str">
        <x:v>lehrer/de_k8_st65_nachrichten_einstieg_orga.html</x:v>
      </x:c>
      <x:c r="H356" s="116" t="str">
        <x:v>de_08_nachrichten_065_einstieg.html</x:v>
      </x:c>
    </x:row>
    <x:row r="357" ht="42" customHeight="1">
      <x:c r="A357" s="114" t="n">
        <x:v>8</x:v>
      </x:c>
      <x:c r="B357" s="115" t="n">
        <x:v>66</x:v>
      </x:c>
      <x:c r="C357" s="115" t="str">
        <x:v>Lesen/Umgang mit Texten</x:v>
      </x:c>
      <x:c r="D357" s="115" t="str">
        <x:v>Nachrichten, Meinung und Falschinformation: Quellen und Materialien erschließen</x:v>
      </x:c>
      <x:c r="E357" s="115" t="str">
        <x:v>de_k8_st66_nachrichten_quellen</x:v>
      </x:c>
      <x:c r="F357" s="115" t="str">
        <x:v>schueler/de_k8_st66_nachrichten_quellen_app.html</x:v>
      </x:c>
      <x:c r="G357" s="115" t="str">
        <x:v>lehrer/de_k8_st66_nachrichten_quellen_orga.html</x:v>
      </x:c>
      <x:c r="H357" s="116" t="str">
        <x:v>de_08_nachrichten_066_quellen.html</x:v>
      </x:c>
    </x:row>
    <x:row r="358" ht="42" customHeight="1">
      <x:c r="A358" s="114" t="n">
        <x:v>8</x:v>
      </x:c>
      <x:c r="B358" s="115" t="n">
        <x:v>67</x:v>
      </x:c>
      <x:c r="C358" s="115" t="str">
        <x:v>Lesen/Umgang mit Texten</x:v>
      </x:c>
      <x:c r="D358" s="115" t="str">
        <x:v>Nachrichten, Meinung und Falschinformation: Qualitätskriterien anwenden</x:v>
      </x:c>
      <x:c r="E358" s="115" t="str">
        <x:v>de_k8_st67_nachrichten_kriterien</x:v>
      </x:c>
      <x:c r="F358" s="115" t="str">
        <x:v>schueler/de_k8_st67_nachrichten_kriterien_app.html</x:v>
      </x:c>
      <x:c r="G358" s="115" t="str">
        <x:v>lehrer/de_k8_st67_nachrichten_kriterien_orga.html</x:v>
      </x:c>
      <x:c r="H358" s="116" t="str">
        <x:v>de_08_nachrichten_067_kriterien.html</x:v>
      </x:c>
    </x:row>
    <x:row r="359" ht="42" customHeight="1">
      <x:c r="A359" s="114" t="n">
        <x:v>8</x:v>
      </x:c>
      <x:c r="B359" s="115" t="n">
        <x:v>68</x:v>
      </x:c>
      <x:c r="C359" s="115" t="str">
        <x:v>Lesen/Umgang mit Texten</x:v>
      </x:c>
      <x:c r="D359" s="115" t="str">
        <x:v>Nachrichten, Meinung und Falschinformation: Darstellungen vergleichen</x:v>
      </x:c>
      <x:c r="E359" s="115" t="str">
        <x:v>de_k8_st68_nachrichten_vergleichen</x:v>
      </x:c>
      <x:c r="F359" s="115" t="str">
        <x:v>schueler/de_k8_st68_nachrichten_vergleichen_app.html</x:v>
      </x:c>
      <x:c r="G359" s="115" t="str">
        <x:v>lehrer/de_k8_st68_nachrichten_vergleichen_orga.html</x:v>
      </x:c>
      <x:c r="H359" s="116" t="str">
        <x:v>de_08_nachrichten_068_vergleichen.html</x:v>
      </x:c>
    </x:row>
    <x:row r="360" ht="42" customHeight="1">
      <x:c r="A360" s="114" t="n">
        <x:v>8</x:v>
      </x:c>
      <x:c r="B360" s="115" t="n">
        <x:v>69</x:v>
      </x:c>
      <x:c r="C360" s="115" t="str">
        <x:v>Schreiben</x:v>
      </x:c>
      <x:c r="D360" s="115" t="str">
        <x:v>Nachrichten, Meinung und Falschinformation: Informationen prüfen und ordnen</x:v>
      </x:c>
      <x:c r="E360" s="115" t="str">
        <x:v>de_k8_st69_nachrichten_recherche</x:v>
      </x:c>
      <x:c r="F360" s="115" t="str">
        <x:v>schueler/de_k8_st69_nachrichten_recherche_app.html</x:v>
      </x:c>
      <x:c r="G360" s="115" t="str">
        <x:v>lehrer/de_k8_st69_nachrichten_recherche_orga.html</x:v>
      </x:c>
      <x:c r="H360" s="116" t="str">
        <x:v>de_08_nachrichten_069_recherche.html</x:v>
      </x:c>
    </x:row>
    <x:row r="361" ht="42" customHeight="1">
      <x:c r="A361" s="114" t="n">
        <x:v>8</x:v>
      </x:c>
      <x:c r="B361" s="115" t="n">
        <x:v>70</x:v>
      </x:c>
      <x:c r="C361" s="115" t="str">
        <x:v>Schreiben</x:v>
      </x:c>
      <x:c r="D361" s="115" t="str">
        <x:v>Nachrichten, Meinung und Falschinformation: Produkt planen</x:v>
      </x:c>
      <x:c r="E361" s="115" t="str">
        <x:v>de_k8_st70_nachrichten_planen</x:v>
      </x:c>
      <x:c r="F361" s="115" t="str">
        <x:v>schueler/de_k8_st70_nachrichten_planen_app.html</x:v>
      </x:c>
      <x:c r="G361" s="115" t="str">
        <x:v>lehrer/de_k8_st70_nachrichten_planen_orga.html</x:v>
      </x:c>
      <x:c r="H361" s="116" t="str">
        <x:v>de_08_nachrichten_070_planen.html</x:v>
      </x:c>
    </x:row>
    <x:row r="362" ht="42" customHeight="1">
      <x:c r="A362" s="114" t="n">
        <x:v>8</x:v>
      </x:c>
      <x:c r="B362" s="115" t="n">
        <x:v>71</x:v>
      </x:c>
      <x:c r="C362" s="115" t="str">
        <x:v>Schreiben</x:v>
      </x:c>
      <x:c r="D362" s="115" t="str">
        <x:v>Nachrichten, Meinung und Falschinformation: Produkt erstellen</x:v>
      </x:c>
      <x:c r="E362" s="115" t="str">
        <x:v>de_k8_st71_nachrichten_erstellen</x:v>
      </x:c>
      <x:c r="F362" s="115" t="str">
        <x:v>schueler/de_k8_st71_nachrichten_erstellen_app.html</x:v>
      </x:c>
      <x:c r="G362" s="115" t="str">
        <x:v>lehrer/de_k8_st71_nachrichten_erstellen_orga.html</x:v>
      </x:c>
      <x:c r="H362" s="116" t="str">
        <x:v>de_08_nachrichten_071_erstellen.html</x:v>
      </x:c>
    </x:row>
    <x:row r="363" ht="42" customHeight="1">
      <x:c r="A363" s="114" t="n">
        <x:v>8</x:v>
      </x:c>
      <x:c r="B363" s="115" t="n">
        <x:v>72</x:v>
      </x:c>
      <x:c r="C363" s="115" t="str">
        <x:v>Sprechen und Zuhören</x:v>
      </x:c>
      <x:c r="D363" s="115" t="str">
        <x:v>Nachrichten, Meinung und Falschinformation: Präsentieren und reflektieren</x:v>
      </x:c>
      <x:c r="E363" s="115" t="str">
        <x:v>de_k8_st72_nachrichten_reflexion</x:v>
      </x:c>
      <x:c r="F363" s="115" t="str">
        <x:v>schueler/de_k8_st72_nachrichten_reflexion_app.html</x:v>
      </x:c>
      <x:c r="G363" s="115" t="str">
        <x:v>lehrer/de_k8_st72_nachrichten_reflexion_orga.html</x:v>
      </x:c>
      <x:c r="H363" s="116" t="str">
        <x:v>de_08_nachrichten_072_reflexion.html</x:v>
      </x:c>
    </x:row>
    <x:row r="364" ht="42" customHeight="1">
      <x:c r="A364" s="114" t="n">
        <x:v>8</x:v>
      </x:c>
      <x:c r="B364" s="115" t="n">
        <x:v>49</x:v>
      </x:c>
      <x:c r="C364" s="115" t="str">
        <x:v>Sprechen und Zuhören</x:v>
      </x:c>
      <x:c r="D364" s="115" t="str">
        <x:v>Novelle oder Jugendroman: Hör- oder Leseeinstieg gestalten</x:v>
      </x:c>
      <x:c r="E364" s="115" t="str">
        <x:v>de_k8_st49_novelle_einstieg</x:v>
      </x:c>
      <x:c r="F364" s="115" t="str">
        <x:v>schueler/de_k8_st49_novelle_einstieg_app.html</x:v>
      </x:c>
      <x:c r="G364" s="115" t="str">
        <x:v>lehrer/de_k8_st49_novelle_einstieg_orga.html</x:v>
      </x:c>
      <x:c r="H364" s="116" t="str">
        <x:v>de_08_novelle_049_einstieg.html</x:v>
      </x:c>
    </x:row>
    <x:row r="365" ht="42" customHeight="1">
      <x:c r="A365" s="114" t="n">
        <x:v>8</x:v>
      </x:c>
      <x:c r="B365" s="115" t="n">
        <x:v>50</x:v>
      </x:c>
      <x:c r="C365" s="115" t="str">
        <x:v>Lesen/Umgang mit Texten</x:v>
      </x:c>
      <x:c r="D365" s="115" t="str">
        <x:v>Novelle oder Jugendroman: Den Text mit Lesestrategien erschließen</x:v>
      </x:c>
      <x:c r="E365" s="115" t="str">
        <x:v>de_k8_st50_novelle_erschliessen</x:v>
      </x:c>
      <x:c r="F365" s="115" t="str">
        <x:v>schueler/de_k8_st50_novelle_erschliessen_app.html</x:v>
      </x:c>
      <x:c r="G365" s="115" t="str">
        <x:v>lehrer/de_k8_st50_novelle_erschliessen_orga.html</x:v>
      </x:c>
      <x:c r="H365" s="116" t="str">
        <x:v>de_08_novelle_050_erschliessen.html</x:v>
      </x:c>
    </x:row>
    <x:row r="366" ht="42" customHeight="1">
      <x:c r="A366" s="114" t="n">
        <x:v>8</x:v>
      </x:c>
      <x:c r="B366" s="115" t="n">
        <x:v>51</x:v>
      </x:c>
      <x:c r="C366" s="115" t="str">
        <x:v>Lesen/Umgang mit Texten</x:v>
      </x:c>
      <x:c r="D366" s="115" t="str">
        <x:v>Novelle oder Jugendroman: Gattungsmerkmale erkennen</x:v>
      </x:c>
      <x:c r="E366" s="115" t="str">
        <x:v>de_k8_st51_novelle_merkmale</x:v>
      </x:c>
      <x:c r="F366" s="115" t="str">
        <x:v>schueler/de_k8_st51_novelle_merkmale_app.html</x:v>
      </x:c>
      <x:c r="G366" s="115" t="str">
        <x:v>lehrer/de_k8_st51_novelle_merkmale_orga.html</x:v>
      </x:c>
      <x:c r="H366" s="116" t="str">
        <x:v>de_08_novelle_051_merkmale.html</x:v>
      </x:c>
    </x:row>
    <x:row r="367" ht="42" customHeight="1">
      <x:c r="A367" s="114" t="n">
        <x:v>8</x:v>
      </x:c>
      <x:c r="B367" s="115" t="n">
        <x:v>52</x:v>
      </x:c>
      <x:c r="C367" s="115" t="str">
        <x:v>Lesen/Umgang mit Texten</x:v>
      </x:c>
      <x:c r="D367" s="115" t="str">
        <x:v>Novelle oder Jugendroman: Figuren, Handlung und Konflikt untersuchen</x:v>
      </x:c>
      <x:c r="E367" s="115" t="str">
        <x:v>de_k8_st52_novelle_figuren_handlung</x:v>
      </x:c>
      <x:c r="F367" s="115" t="str">
        <x:v>schueler/de_k8_st52_novelle_figuren_handlung_app.html</x:v>
      </x:c>
      <x:c r="G367" s="115" t="str">
        <x:v>lehrer/de_k8_st52_novelle_figuren_handlung_orga.html</x:v>
      </x:c>
      <x:c r="H367" s="116" t="str">
        <x:v>de_08_novelle_052_figuren_handlung.html</x:v>
      </x:c>
    </x:row>
    <x:row r="368" ht="42" customHeight="1">
      <x:c r="A368" s="114" t="n">
        <x:v>8</x:v>
      </x:c>
      <x:c r="B368" s="115" t="n">
        <x:v>53</x:v>
      </x:c>
      <x:c r="C368" s="115" t="str">
        <x:v>Sprache untersuchen</x:v>
      </x:c>
      <x:c r="D368" s="115" t="str">
        <x:v>Novelle oder Jugendroman: Sprache und Wirkung untersuchen</x:v>
      </x:c>
      <x:c r="E368" s="115" t="str">
        <x:v>de_k8_st53_novelle_sprache_wirkung</x:v>
      </x:c>
      <x:c r="F368" s="115" t="str">
        <x:v>schueler/de_k8_st53_novelle_sprache_wirkung_app.html</x:v>
      </x:c>
      <x:c r="G368" s="115" t="str">
        <x:v>lehrer/de_k8_st53_novelle_sprache_wirkung_orga.html</x:v>
      </x:c>
      <x:c r="H368" s="116" t="str">
        <x:v>de_08_novelle_053_sprache_wirkung.html</x:v>
      </x:c>
    </x:row>
    <x:row r="369" ht="42" customHeight="1">
      <x:c r="A369" s="114" t="n">
        <x:v>8</x:v>
      </x:c>
      <x:c r="B369" s="115" t="n">
        <x:v>54</x:v>
      </x:c>
      <x:c r="C369" s="115" t="str">
        <x:v>Schreiben</x:v>
      </x:c>
      <x:c r="D369" s="115" t="str">
        <x:v>Novelle oder Jugendroman: Eine Deutung oder Perspektive vorbereiten</x:v>
      </x:c>
      <x:c r="E369" s="115" t="str">
        <x:v>de_k8_st54_novelle_deutung_planen</x:v>
      </x:c>
      <x:c r="F369" s="115" t="str">
        <x:v>schueler/de_k8_st54_novelle_deutung_planen_app.html</x:v>
      </x:c>
      <x:c r="G369" s="115" t="str">
        <x:v>lehrer/de_k8_st54_novelle_deutung_planen_orga.html</x:v>
      </x:c>
      <x:c r="H369" s="116" t="str">
        <x:v>de_08_novelle_054_deutung_planen.html</x:v>
      </x:c>
    </x:row>
    <x:row r="370" ht="42" customHeight="1">
      <x:c r="A370" s="114" t="n">
        <x:v>8</x:v>
      </x:c>
      <x:c r="B370" s="115" t="n">
        <x:v>55</x:v>
      </x:c>
      <x:c r="C370" s="115" t="str">
        <x:v>Schreiben</x:v>
      </x:c>
      <x:c r="D370" s="115" t="str">
        <x:v>Novelle oder Jugendroman: Lesedossier gestalten</x:v>
      </x:c>
      <x:c r="E370" s="115" t="str">
        <x:v>de_k8_st55_novelle_produkt</x:v>
      </x:c>
      <x:c r="F370" s="115" t="str">
        <x:v>schueler/de_k8_st55_novelle_produkt_app.html</x:v>
      </x:c>
      <x:c r="G370" s="115" t="str">
        <x:v>lehrer/de_k8_st55_novelle_produkt_orga.html</x:v>
      </x:c>
      <x:c r="H370" s="116" t="str">
        <x:v>de_08_novelle_055_produkt.html</x:v>
      </x:c>
    </x:row>
    <x:row r="371" ht="42" customHeight="1">
      <x:c r="A371" s="114" t="n">
        <x:v>8</x:v>
      </x:c>
      <x:c r="B371" s="115" t="n">
        <x:v>56</x:v>
      </x:c>
      <x:c r="C371" s="115" t="str">
        <x:v>Sprechen und Zuhören</x:v>
      </x:c>
      <x:c r="D371" s="115" t="str">
        <x:v>Novelle oder Jugendroman: Ergebnisse präsentieren und reflektieren</x:v>
      </x:c>
      <x:c r="E371" s="115" t="str">
        <x:v>de_k8_st56_novelle_praesentieren</x:v>
      </x:c>
      <x:c r="F371" s="115" t="str">
        <x:v>schueler/de_k8_st56_novelle_praesentieren_app.html</x:v>
      </x:c>
      <x:c r="G371" s="115" t="str">
        <x:v>lehrer/de_k8_st56_novelle_praesentieren_orga.html</x:v>
      </x:c>
      <x:c r="H371" s="116" t="str">
        <x:v>de_08_novelle_056_praesentieren.html</x:v>
      </x:c>
    </x:row>
    <x:row r="372" ht="42" customHeight="1">
      <x:c r="A372" s="114" t="n">
        <x:v>8</x:v>
      </x:c>
      <x:c r="B372" s="115" t="n">
        <x:v>57</x:v>
      </x:c>
      <x:c r="C372" s="115" t="str">
        <x:v>Lesen/Umgang mit Texten</x:v>
      </x:c>
      <x:c r="D372" s="115" t="str">
        <x:v>Praktikumsbericht und Berufswelt: Beispieltexte untersuchen</x:v>
      </x:c>
      <x:c r="E372" s="115" t="str">
        <x:v>de_k8_st57_praktikumsbericht_beispiel</x:v>
      </x:c>
      <x:c r="F372" s="115" t="str">
        <x:v>schueler/de_k8_st57_praktikumsbericht_beispiel_app.html</x:v>
      </x:c>
      <x:c r="G372" s="115" t="str">
        <x:v>lehrer/de_k8_st57_praktikumsbericht_beispiel_orga.html</x:v>
      </x:c>
      <x:c r="H372" s="116" t="str">
        <x:v>de_08_praktikumsbericht_057_beispiel.html</x:v>
      </x:c>
    </x:row>
    <x:row r="373" ht="42" customHeight="1">
      <x:c r="A373" s="114" t="n">
        <x:v>8</x:v>
      </x:c>
      <x:c r="B373" s="115" t="n">
        <x:v>58</x:v>
      </x:c>
      <x:c r="C373" s="115" t="str">
        <x:v>Schreiben</x:v>
      </x:c>
      <x:c r="D373" s="115" t="str">
        <x:v>Praktikumsbericht und Berufswelt: Schreibziel und Kriterien klären</x:v>
      </x:c>
      <x:c r="E373" s="115" t="str">
        <x:v>de_k8_st58_praktikumsbericht_kriterien</x:v>
      </x:c>
      <x:c r="F373" s="115" t="str">
        <x:v>schueler/de_k8_st58_praktikumsbericht_kriterien_app.html</x:v>
      </x:c>
      <x:c r="G373" s="115" t="str">
        <x:v>lehrer/de_k8_st58_praktikumsbericht_kriterien_orga.html</x:v>
      </x:c>
      <x:c r="H373" s="116" t="str">
        <x:v>de_08_praktikumsbericht_058_kriterien.html</x:v>
      </x:c>
    </x:row>
    <x:row r="374" ht="42" customHeight="1">
      <x:c r="A374" s="114" t="n">
        <x:v>8</x:v>
      </x:c>
      <x:c r="B374" s="115" t="n">
        <x:v>59</x:v>
      </x:c>
      <x:c r="C374" s="115" t="str">
        <x:v>Lesen/Umgang mit Texten</x:v>
      </x:c>
      <x:c r="D374" s="115" t="str">
        <x:v>Praktikumsbericht und Berufswelt: Inhalte auswählen und ordnen</x:v>
      </x:c>
      <x:c r="E374" s="115" t="str">
        <x:v>de_k8_st59_praktikumsbericht_inhalte_ordnen</x:v>
      </x:c>
      <x:c r="F374" s="115" t="str">
        <x:v>schueler/de_k8_st59_praktikumsbericht_inhalte_ordnen_app.html</x:v>
      </x:c>
      <x:c r="G374" s="115" t="str">
        <x:v>lehrer/de_k8_st59_praktikumsbericht_inhalte_ordnen_orga.html</x:v>
      </x:c>
      <x:c r="H374" s="116" t="str">
        <x:v>de_08_praktikumsbericht_059_inhalte_ordnen.html</x:v>
      </x:c>
    </x:row>
    <x:row r="375" ht="42" customHeight="1">
      <x:c r="A375" s="114" t="n">
        <x:v>8</x:v>
      </x:c>
      <x:c r="B375" s="115" t="n">
        <x:v>60</x:v>
      </x:c>
      <x:c r="C375" s="115" t="str">
        <x:v>Sprache untersuchen</x:v>
      </x:c>
      <x:c r="D375" s="115" t="str">
        <x:v>Praktikumsbericht und Berufswelt: Passende sprachliche Mittel verwenden</x:v>
      </x:c>
      <x:c r="E375" s="115" t="str">
        <x:v>de_k8_st60_praktikumsbericht_sprachmittel</x:v>
      </x:c>
      <x:c r="F375" s="115" t="str">
        <x:v>schueler/de_k8_st60_praktikumsbericht_sprachmittel_app.html</x:v>
      </x:c>
      <x:c r="G375" s="115" t="str">
        <x:v>lehrer/de_k8_st60_praktikumsbericht_sprachmittel_orga.html</x:v>
      </x:c>
      <x:c r="H375" s="116" t="str">
        <x:v>de_08_praktikumsbericht_060_sprachmittel.html</x:v>
      </x:c>
    </x:row>
    <x:row r="376" ht="42" customHeight="1">
      <x:c r="A376" s="114" t="n">
        <x:v>8</x:v>
      </x:c>
      <x:c r="B376" s="115" t="n">
        <x:v>61</x:v>
      </x:c>
      <x:c r="C376" s="115" t="str">
        <x:v>Schreiben</x:v>
      </x:c>
      <x:c r="D376" s="115" t="str">
        <x:v>Praktikumsbericht und Berufswelt: Einen Schreibplan erstellen</x:v>
      </x:c>
      <x:c r="E376" s="115" t="str">
        <x:v>de_k8_st61_praktikumsbericht_schreibplan</x:v>
      </x:c>
      <x:c r="F376" s="115" t="str">
        <x:v>schueler/de_k8_st61_praktikumsbericht_schreibplan_app.html</x:v>
      </x:c>
      <x:c r="G376" s="115" t="str">
        <x:v>lehrer/de_k8_st61_praktikumsbericht_schreibplan_orga.html</x:v>
      </x:c>
      <x:c r="H376" s="116" t="str">
        <x:v>de_08_praktikumsbericht_061_schreibplan.html</x:v>
      </x:c>
    </x:row>
    <x:row r="377" ht="42" customHeight="1">
      <x:c r="A377" s="114" t="n">
        <x:v>8</x:v>
      </x:c>
      <x:c r="B377" s="115" t="n">
        <x:v>62</x:v>
      </x:c>
      <x:c r="C377" s="115" t="str">
        <x:v>Schreiben</x:v>
      </x:c>
      <x:c r="D377" s="115" t="str">
        <x:v>Praktikumsbericht und Berufswelt: Einen ersten Textentwurf verfassen</x:v>
      </x:c>
      <x:c r="E377" s="115" t="str">
        <x:v>de_k8_st62_praktikumsbericht_entwurf</x:v>
      </x:c>
      <x:c r="F377" s="115" t="str">
        <x:v>schueler/de_k8_st62_praktikumsbericht_entwurf_app.html</x:v>
      </x:c>
      <x:c r="G377" s="115" t="str">
        <x:v>lehrer/de_k8_st62_praktikumsbericht_entwurf_orga.html</x:v>
      </x:c>
      <x:c r="H377" s="116" t="str">
        <x:v>de_08_praktikumsbericht_062_entwurf.html</x:v>
      </x:c>
    </x:row>
    <x:row r="378" ht="42" customHeight="1">
      <x:c r="A378" s="114" t="n">
        <x:v>8</x:v>
      </x:c>
      <x:c r="B378" s="115" t="n">
        <x:v>63</x:v>
      </x:c>
      <x:c r="C378" s="115" t="str">
        <x:v>Schreiben</x:v>
      </x:c>
      <x:c r="D378" s="115" t="str">
        <x:v>Praktikumsbericht und Berufswelt: Text kriteriengeleitet überarbeiten</x:v>
      </x:c>
      <x:c r="E378" s="115" t="str">
        <x:v>de_k8_st63_praktikumsbericht_ueberarbeiten</x:v>
      </x:c>
      <x:c r="F378" s="115" t="str">
        <x:v>schueler/de_k8_st63_praktikumsbericht_ueberarbeiten_app.html</x:v>
      </x:c>
      <x:c r="G378" s="115" t="str">
        <x:v>lehrer/de_k8_st63_praktikumsbericht_ueberarbeiten_orga.html</x:v>
      </x:c>
      <x:c r="H378" s="116" t="str">
        <x:v>de_08_praktikumsbericht_063_ueberarbeiten.html</x:v>
      </x:c>
    </x:row>
    <x:row r="379" ht="42" customHeight="1">
      <x:c r="A379" s="114" t="n">
        <x:v>8</x:v>
      </x:c>
      <x:c r="B379" s="115" t="n">
        <x:v>64</x:v>
      </x:c>
      <x:c r="C379" s="115" t="str">
        <x:v>Sprechen und Zuhören</x:v>
      </x:c>
      <x:c r="D379" s="115" t="str">
        <x:v>Praktikumsbericht und Berufswelt: Texte vorstellen und bewerten</x:v>
      </x:c>
      <x:c r="E379" s="115" t="str">
        <x:v>de_k8_st64_praktikumsbericht_vorstellen</x:v>
      </x:c>
      <x:c r="F379" s="115" t="str">
        <x:v>schueler/de_k8_st64_praktikumsbericht_vorstellen_app.html</x:v>
      </x:c>
      <x:c r="G379" s="115" t="str">
        <x:v>lehrer/de_k8_st64_praktikumsbericht_vorstellen_orga.html</x:v>
      </x:c>
      <x:c r="H379" s="116" t="str">
        <x:v>de_08_praktikumsbericht_064_vorstellen.html</x:v>
      </x:c>
    </x:row>
    <x:row r="380" ht="42" customHeight="1">
      <x:c r="A380" s="114" t="n">
        <x:v>8</x:v>
      </x:c>
      <x:c r="B380" s="115" t="n">
        <x:v>41</x:v>
      </x:c>
      <x:c r="C380" s="115" t="str">
        <x:v>Sprache untersuchen</x:v>
      </x:c>
      <x:c r="D380" s="115" t="str">
        <x:v>Satzgefüge und Kommasetzung: Lernstand feststellen</x:v>
      </x:c>
      <x:c r="E380" s="115" t="str">
        <x:v>de_k8_st41_satzgefuege_diagnose</x:v>
      </x:c>
      <x:c r="F380" s="115" t="str">
        <x:v>schueler/de_k8_st41_satzgefuege_diagnose_app.html</x:v>
      </x:c>
      <x:c r="G380" s="115" t="str">
        <x:v>lehrer/de_k8_st41_satzgefuege_diagnose_orga.html</x:v>
      </x:c>
      <x:c r="H380" s="116" t="str">
        <x:v>de_08_satzgefuege_041_diagnose.html</x:v>
      </x:c>
    </x:row>
    <x:row r="381" ht="42" customHeight="1">
      <x:c r="A381" s="114" t="n">
        <x:v>8</x:v>
      </x:c>
      <x:c r="B381" s="115" t="n">
        <x:v>42</x:v>
      </x:c>
      <x:c r="C381" s="115" t="str">
        <x:v>Sprache untersuchen</x:v>
      </x:c>
      <x:c r="D381" s="115" t="str">
        <x:v>Satzgefüge und Kommasetzung: Grundbegriffe sichern</x:v>
      </x:c>
      <x:c r="E381" s="115" t="str">
        <x:v>de_k8_st42_satzgefuege_grundbegriffe</x:v>
      </x:c>
      <x:c r="F381" s="115" t="str">
        <x:v>schueler/de_k8_st42_satzgefuege_grundbegriffe_app.html</x:v>
      </x:c>
      <x:c r="G381" s="115" t="str">
        <x:v>lehrer/de_k8_st42_satzgefuege_grundbegriffe_orga.html</x:v>
      </x:c>
      <x:c r="H381" s="116" t="str">
        <x:v>de_08_satzgefuege_042_grundbegriffe.html</x:v>
      </x:c>
    </x:row>
    <x:row r="382" ht="42" customHeight="1">
      <x:c r="A382" s="114" t="n">
        <x:v>8</x:v>
      </x:c>
      <x:c r="B382" s="115" t="n">
        <x:v>43</x:v>
      </x:c>
      <x:c r="C382" s="115" t="str">
        <x:v>Sprache untersuchen</x:v>
      </x:c>
      <x:c r="D382" s="115" t="str">
        <x:v>Satzgefüge und Kommasetzung: Verfahren anwenden</x:v>
      </x:c>
      <x:c r="E382" s="115" t="str">
        <x:v>de_k8_st43_satzgefuege_verfahren</x:v>
      </x:c>
      <x:c r="F382" s="115" t="str">
        <x:v>schueler/de_k8_st43_satzgefuege_verfahren_app.html</x:v>
      </x:c>
      <x:c r="G382" s="115" t="str">
        <x:v>lehrer/de_k8_st43_satzgefuege_verfahren_orga.html</x:v>
      </x:c>
      <x:c r="H382" s="116" t="str">
        <x:v>de_08_satzgefuege_043_verfahren.html</x:v>
      </x:c>
    </x:row>
    <x:row r="383" ht="42" customHeight="1">
      <x:c r="A383" s="114" t="n">
        <x:v>8</x:v>
      </x:c>
      <x:c r="B383" s="115" t="n">
        <x:v>44</x:v>
      </x:c>
      <x:c r="C383" s="115" t="str">
        <x:v>Sprache untersuchen</x:v>
      </x:c>
      <x:c r="D383" s="115" t="str">
        <x:v>Satzgefüge und Kommasetzung: Formen und Funktionen untersuchen</x:v>
      </x:c>
      <x:c r="E383" s="115" t="str">
        <x:v>de_k8_st44_satzgefuege_funktion</x:v>
      </x:c>
      <x:c r="F383" s="115" t="str">
        <x:v>schueler/de_k8_st44_satzgefuege_funktion_app.html</x:v>
      </x:c>
      <x:c r="G383" s="115" t="str">
        <x:v>lehrer/de_k8_st44_satzgefuege_funktion_orga.html</x:v>
      </x:c>
      <x:c r="H383" s="116" t="str">
        <x:v>de_08_satzgefuege_044_funktion.html</x:v>
      </x:c>
    </x:row>
    <x:row r="384" ht="42" customHeight="1">
      <x:c r="A384" s="114" t="n">
        <x:v>8</x:v>
      </x:c>
      <x:c r="B384" s="115" t="n">
        <x:v>45</x:v>
      </x:c>
      <x:c r="C384" s="115" t="str">
        <x:v>Schreiben</x:v>
      </x:c>
      <x:c r="D384" s="115" t="str">
        <x:v>Satzgefüge und Kommasetzung: Wissen im eigenen Text nutzen</x:v>
      </x:c>
      <x:c r="E384" s="115" t="str">
        <x:v>de_k8_st45_satzgefuege_anwenden</x:v>
      </x:c>
      <x:c r="F384" s="115" t="str">
        <x:v>schueler/de_k8_st45_satzgefuege_anwenden_app.html</x:v>
      </x:c>
      <x:c r="G384" s="115" t="str">
        <x:v>lehrer/de_k8_st45_satzgefuege_anwenden_orga.html</x:v>
      </x:c>
      <x:c r="H384" s="116" t="str">
        <x:v>de_08_satzgefuege_045_anwenden.html</x:v>
      </x:c>
    </x:row>
    <x:row r="385" ht="42" customHeight="1">
      <x:c r="A385" s="114" t="n">
        <x:v>8</x:v>
      </x:c>
      <x:c r="B385" s="115" t="n">
        <x:v>46</x:v>
      </x:c>
      <x:c r="C385" s="115" t="str">
        <x:v>Sprache untersuchen</x:v>
      </x:c>
      <x:c r="D385" s="115" t="str">
        <x:v>Satzgefüge und Kommasetzung: Fehler finden und korrigieren</x:v>
      </x:c>
      <x:c r="E385" s="115" t="str">
        <x:v>de_k8_st46_satzgefuege_fehler</x:v>
      </x:c>
      <x:c r="F385" s="115" t="str">
        <x:v>schueler/de_k8_st46_satzgefuege_fehler_app.html</x:v>
      </x:c>
      <x:c r="G385" s="115" t="str">
        <x:v>lehrer/de_k8_st46_satzgefuege_fehler_orga.html</x:v>
      </x:c>
      <x:c r="H385" s="116" t="str">
        <x:v>de_08_satzgefuege_046_fehler.html</x:v>
      </x:c>
    </x:row>
    <x:row r="386" ht="42" customHeight="1">
      <x:c r="A386" s="114" t="n">
        <x:v>8</x:v>
      </x:c>
      <x:c r="B386" s="115" t="n">
        <x:v>47</x:v>
      </x:c>
      <x:c r="C386" s="115" t="str">
        <x:v>Sprache untersuchen</x:v>
      </x:c>
      <x:c r="D386" s="115" t="str">
        <x:v>Satzgefüge und Kommasetzung: Transfer auf unbekannte Beispiele</x:v>
      </x:c>
      <x:c r="E386" s="115" t="str">
        <x:v>de_k8_st47_satzgefuege_transfer</x:v>
      </x:c>
      <x:c r="F386" s="115" t="str">
        <x:v>schueler/de_k8_st47_satzgefuege_transfer_app.html</x:v>
      </x:c>
      <x:c r="G386" s="115" t="str">
        <x:v>lehrer/de_k8_st47_satzgefuege_transfer_orga.html</x:v>
      </x:c>
      <x:c r="H386" s="116" t="str">
        <x:v>de_08_satzgefuege_047_transfer.html</x:v>
      </x:c>
    </x:row>
    <x:row r="387" ht="42" customHeight="1">
      <x:c r="A387" s="114" t="n">
        <x:v>8</x:v>
      </x:c>
      <x:c r="B387" s="115" t="n">
        <x:v>48</x:v>
      </x:c>
      <x:c r="C387" s="115" t="str">
        <x:v>Schreiben</x:v>
      </x:c>
      <x:c r="D387" s="115" t="str">
        <x:v>Satzgefüge und Kommasetzung: Lernprodukt und Kompetenzcheck</x:v>
      </x:c>
      <x:c r="E387" s="115" t="str">
        <x:v>de_k8_st48_satzgefuege_kompetenzcheck</x:v>
      </x:c>
      <x:c r="F387" s="115" t="str">
        <x:v>schueler/de_k8_st48_satzgefuege_kompetenzcheck_app.html</x:v>
      </x:c>
      <x:c r="G387" s="115" t="str">
        <x:v>lehrer/de_k8_st48_satzgefuege_kompetenzcheck_orga.html</x:v>
      </x:c>
      <x:c r="H387" s="116" t="str">
        <x:v>de_08_satzgefuege_048_kompetenzcheck.html</x:v>
      </x:c>
    </x:row>
    <x:row r="388" ht="42" customHeight="1">
      <x:c r="A388" s="114" t="n">
        <x:v>9</x:v>
      </x:c>
      <x:c r="B388" s="115" t="n">
        <x:v>57</x:v>
      </x:c>
      <x:c r="C388" s="115" t="str">
        <x:v>Lesen/Umgang mit Texten</x:v>
      </x:c>
      <x:c r="D388" s="115" t="str">
        <x:v>Bewerbung und Lebenslauf: Beispieltexte untersuchen</x:v>
      </x:c>
      <x:c r="E388" s="115" t="str">
        <x:v>de_k9_st57_bewerbung_beispiel</x:v>
      </x:c>
      <x:c r="F388" s="115" t="str">
        <x:v>schueler/de_k9_st57_bewerbung_beispiel_app.html</x:v>
      </x:c>
      <x:c r="G388" s="115" t="str">
        <x:v>lehrer/de_k9_st57_bewerbung_beispiel_orga.html</x:v>
      </x:c>
      <x:c r="H388" s="116" t="str">
        <x:v>de_09_bewerbung_057_beispiel.html</x:v>
      </x:c>
    </x:row>
    <x:row r="389" ht="42" customHeight="1">
      <x:c r="A389" s="114" t="n">
        <x:v>9</x:v>
      </x:c>
      <x:c r="B389" s="115" t="n">
        <x:v>58</x:v>
      </x:c>
      <x:c r="C389" s="115" t="str">
        <x:v>Schreiben</x:v>
      </x:c>
      <x:c r="D389" s="115" t="str">
        <x:v>Bewerbung und Lebenslauf: Schreibziel und Kriterien klären</x:v>
      </x:c>
      <x:c r="E389" s="115" t="str">
        <x:v>de_k9_st58_bewerbung_kriterien</x:v>
      </x:c>
      <x:c r="F389" s="115" t="str">
        <x:v>schueler/de_k9_st58_bewerbung_kriterien_app.html</x:v>
      </x:c>
      <x:c r="G389" s="115" t="str">
        <x:v>lehrer/de_k9_st58_bewerbung_kriterien_orga.html</x:v>
      </x:c>
      <x:c r="H389" s="116" t="str">
        <x:v>de_09_bewerbung_058_kriterien.html</x:v>
      </x:c>
    </x:row>
    <x:row r="390" ht="42" customHeight="1">
      <x:c r="A390" s="114" t="n">
        <x:v>9</x:v>
      </x:c>
      <x:c r="B390" s="115" t="n">
        <x:v>59</x:v>
      </x:c>
      <x:c r="C390" s="115" t="str">
        <x:v>Lesen/Umgang mit Texten</x:v>
      </x:c>
      <x:c r="D390" s="115" t="str">
        <x:v>Bewerbung und Lebenslauf: Inhalte auswählen und ordnen</x:v>
      </x:c>
      <x:c r="E390" s="115" t="str">
        <x:v>de_k9_st59_bewerbung_inhalte_ordnen</x:v>
      </x:c>
      <x:c r="F390" s="115" t="str">
        <x:v>schueler/de_k9_st59_bewerbung_inhalte_ordnen_app.html</x:v>
      </x:c>
      <x:c r="G390" s="115" t="str">
        <x:v>lehrer/de_k9_st59_bewerbung_inhalte_ordnen_orga.html</x:v>
      </x:c>
      <x:c r="H390" s="116" t="str">
        <x:v>de_09_bewerbung_059_inhalte_ordnen.html</x:v>
      </x:c>
    </x:row>
    <x:row r="391" ht="42" customHeight="1">
      <x:c r="A391" s="114" t="n">
        <x:v>9</x:v>
      </x:c>
      <x:c r="B391" s="115" t="n">
        <x:v>60</x:v>
      </x:c>
      <x:c r="C391" s="115" t="str">
        <x:v>Sprache untersuchen</x:v>
      </x:c>
      <x:c r="D391" s="115" t="str">
        <x:v>Bewerbung und Lebenslauf: Passende sprachliche Mittel verwenden</x:v>
      </x:c>
      <x:c r="E391" s="115" t="str">
        <x:v>de_k9_st60_bewerbung_sprachmittel</x:v>
      </x:c>
      <x:c r="F391" s="115" t="str">
        <x:v>schueler/de_k9_st60_bewerbung_sprachmittel_app.html</x:v>
      </x:c>
      <x:c r="G391" s="115" t="str">
        <x:v>lehrer/de_k9_st60_bewerbung_sprachmittel_orga.html</x:v>
      </x:c>
      <x:c r="H391" s="116" t="str">
        <x:v>de_09_bewerbung_060_sprachmittel.html</x:v>
      </x:c>
    </x:row>
    <x:row r="392" ht="42" customHeight="1">
      <x:c r="A392" s="114" t="n">
        <x:v>9</x:v>
      </x:c>
      <x:c r="B392" s="115" t="n">
        <x:v>61</x:v>
      </x:c>
      <x:c r="C392" s="115" t="str">
        <x:v>Schreiben</x:v>
      </x:c>
      <x:c r="D392" s="115" t="str">
        <x:v>Bewerbung und Lebenslauf: Einen Schreibplan erstellen</x:v>
      </x:c>
      <x:c r="E392" s="115" t="str">
        <x:v>de_k9_st61_bewerbung_schreibplan</x:v>
      </x:c>
      <x:c r="F392" s="115" t="str">
        <x:v>schueler/de_k9_st61_bewerbung_schreibplan_app.html</x:v>
      </x:c>
      <x:c r="G392" s="115" t="str">
        <x:v>lehrer/de_k9_st61_bewerbung_schreibplan_orga.html</x:v>
      </x:c>
      <x:c r="H392" s="116" t="str">
        <x:v>de_09_bewerbung_061_schreibplan.html</x:v>
      </x:c>
    </x:row>
    <x:row r="393" ht="42" customHeight="1">
      <x:c r="A393" s="114" t="n">
        <x:v>9</x:v>
      </x:c>
      <x:c r="B393" s="115" t="n">
        <x:v>62</x:v>
      </x:c>
      <x:c r="C393" s="115" t="str">
        <x:v>Schreiben</x:v>
      </x:c>
      <x:c r="D393" s="115" t="str">
        <x:v>Bewerbung und Lebenslauf: Einen ersten Textentwurf verfassen</x:v>
      </x:c>
      <x:c r="E393" s="115" t="str">
        <x:v>de_k9_st62_bewerbung_entwurf</x:v>
      </x:c>
      <x:c r="F393" s="115" t="str">
        <x:v>schueler/de_k9_st62_bewerbung_entwurf_app.html</x:v>
      </x:c>
      <x:c r="G393" s="115" t="str">
        <x:v>lehrer/de_k9_st62_bewerbung_entwurf_orga.html</x:v>
      </x:c>
      <x:c r="H393" s="116" t="str">
        <x:v>de_09_bewerbung_062_entwurf.html</x:v>
      </x:c>
    </x:row>
    <x:row r="394" ht="42" customHeight="1">
      <x:c r="A394" s="114" t="n">
        <x:v>9</x:v>
      </x:c>
      <x:c r="B394" s="115" t="n">
        <x:v>63</x:v>
      </x:c>
      <x:c r="C394" s="115" t="str">
        <x:v>Schreiben</x:v>
      </x:c>
      <x:c r="D394" s="115" t="str">
        <x:v>Bewerbung und Lebenslauf: Text kriteriengeleitet überarbeiten</x:v>
      </x:c>
      <x:c r="E394" s="115" t="str">
        <x:v>de_k9_st63_bewerbung_ueberarbeiten</x:v>
      </x:c>
      <x:c r="F394" s="115" t="str">
        <x:v>schueler/de_k9_st63_bewerbung_ueberarbeiten_app.html</x:v>
      </x:c>
      <x:c r="G394" s="115" t="str">
        <x:v>lehrer/de_k9_st63_bewerbung_ueberarbeiten_orga.html</x:v>
      </x:c>
      <x:c r="H394" s="116" t="str">
        <x:v>de_09_bewerbung_063_ueberarbeiten.html</x:v>
      </x:c>
    </x:row>
    <x:row r="395" ht="42" customHeight="1">
      <x:c r="A395" s="114" t="n">
        <x:v>9</x:v>
      </x:c>
      <x:c r="B395" s="115" t="n">
        <x:v>64</x:v>
      </x:c>
      <x:c r="C395" s="115" t="str">
        <x:v>Sprechen und Zuhören</x:v>
      </x:c>
      <x:c r="D395" s="115" t="str">
        <x:v>Bewerbung und Lebenslauf: Texte vorstellen und bewerten</x:v>
      </x:c>
      <x:c r="E395" s="115" t="str">
        <x:v>de_k9_st64_bewerbung_vorstellen</x:v>
      </x:c>
      <x:c r="F395" s="115" t="str">
        <x:v>schueler/de_k9_st64_bewerbung_vorstellen_app.html</x:v>
      </x:c>
      <x:c r="G395" s="115" t="str">
        <x:v>lehrer/de_k9_st64_bewerbung_vorstellen_orga.html</x:v>
      </x:c>
      <x:c r="H395" s="116" t="str">
        <x:v>de_09_bewerbung_064_vorstellen.html</x:v>
      </x:c>
    </x:row>
    <x:row r="396" ht="42" customHeight="1">
      <x:c r="A396" s="114" t="n">
        <x:v>9</x:v>
      </x:c>
      <x:c r="B396" s="115" t="n">
        <x:v>25</x:v>
      </x:c>
      <x:c r="C396" s="115" t="str">
        <x:v>Lesen/Umgang mit Texten</x:v>
      </x:c>
      <x:c r="D396" s="115" t="str">
        <x:v>Inhaltsangabe und Charakteristik verbinden: Beispieltexte untersuchen</x:v>
      </x:c>
      <x:c r="E396" s="115" t="str">
        <x:v>de_k9_st25_charakteristik_beispiel</x:v>
      </x:c>
      <x:c r="F396" s="115" t="str">
        <x:v>schueler/de_k9_st25_charakteristik_beispiel_app.html</x:v>
      </x:c>
      <x:c r="G396" s="115" t="str">
        <x:v>lehrer/de_k9_st25_charakteristik_beispiel_orga.html</x:v>
      </x:c>
      <x:c r="H396" s="116" t="str">
        <x:v>de_09_charakteristik_025_beispiel.html</x:v>
      </x:c>
    </x:row>
    <x:row r="397" ht="42" customHeight="1">
      <x:c r="A397" s="114" t="n">
        <x:v>9</x:v>
      </x:c>
      <x:c r="B397" s="115" t="n">
        <x:v>26</x:v>
      </x:c>
      <x:c r="C397" s="115" t="str">
        <x:v>Schreiben</x:v>
      </x:c>
      <x:c r="D397" s="115" t="str">
        <x:v>Inhaltsangabe und Charakteristik verbinden: Schreibziel und Kriterien klären</x:v>
      </x:c>
      <x:c r="E397" s="115" t="str">
        <x:v>de_k9_st26_charakteristik_kriterien</x:v>
      </x:c>
      <x:c r="F397" s="115" t="str">
        <x:v>schueler/de_k9_st26_charakteristik_kriterien_app.html</x:v>
      </x:c>
      <x:c r="G397" s="115" t="str">
        <x:v>lehrer/de_k9_st26_charakteristik_kriterien_orga.html</x:v>
      </x:c>
      <x:c r="H397" s="116" t="str">
        <x:v>de_09_charakteristik_026_kriterien.html</x:v>
      </x:c>
    </x:row>
    <x:row r="398" ht="42" customHeight="1">
      <x:c r="A398" s="114" t="n">
        <x:v>9</x:v>
      </x:c>
      <x:c r="B398" s="115" t="n">
        <x:v>27</x:v>
      </x:c>
      <x:c r="C398" s="115" t="str">
        <x:v>Lesen/Umgang mit Texten</x:v>
      </x:c>
      <x:c r="D398" s="115" t="str">
        <x:v>Inhaltsangabe und Charakteristik verbinden: Inhalte auswählen und ordnen</x:v>
      </x:c>
      <x:c r="E398" s="115" t="str">
        <x:v>de_k9_st27_charakteristik_inhalte_ordnen</x:v>
      </x:c>
      <x:c r="F398" s="115" t="str">
        <x:v>schueler/de_k9_st27_charakteristik_inhalte_ordnen_app.html</x:v>
      </x:c>
      <x:c r="G398" s="115" t="str">
        <x:v>lehrer/de_k9_st27_charakteristik_inhalte_ordnen_orga.html</x:v>
      </x:c>
      <x:c r="H398" s="116" t="str">
        <x:v>de_09_charakteristik_027_inhalte_ordnen.html</x:v>
      </x:c>
    </x:row>
    <x:row r="399" ht="42" customHeight="1">
      <x:c r="A399" s="114" t="n">
        <x:v>9</x:v>
      </x:c>
      <x:c r="B399" s="115" t="n">
        <x:v>28</x:v>
      </x:c>
      <x:c r="C399" s="115" t="str">
        <x:v>Sprache untersuchen</x:v>
      </x:c>
      <x:c r="D399" s="115" t="str">
        <x:v>Inhaltsangabe und Charakteristik verbinden: Passende sprachliche Mittel verwenden</x:v>
      </x:c>
      <x:c r="E399" s="115" t="str">
        <x:v>de_k9_st28_charakteristik_sprachmittel</x:v>
      </x:c>
      <x:c r="F399" s="115" t="str">
        <x:v>schueler/de_k9_st28_charakteristik_sprachmittel_app.html</x:v>
      </x:c>
      <x:c r="G399" s="115" t="str">
        <x:v>lehrer/de_k9_st28_charakteristik_sprachmittel_orga.html</x:v>
      </x:c>
      <x:c r="H399" s="116" t="str">
        <x:v>de_09_charakteristik_028_sprachmittel.html</x:v>
      </x:c>
    </x:row>
    <x:row r="400" ht="42" customHeight="1">
      <x:c r="A400" s="114" t="n">
        <x:v>9</x:v>
      </x:c>
      <x:c r="B400" s="115" t="n">
        <x:v>29</x:v>
      </x:c>
      <x:c r="C400" s="115" t="str">
        <x:v>Schreiben</x:v>
      </x:c>
      <x:c r="D400" s="115" t="str">
        <x:v>Inhaltsangabe und Charakteristik verbinden: Einen Schreibplan erstellen</x:v>
      </x:c>
      <x:c r="E400" s="115" t="str">
        <x:v>de_k9_st29_charakteristik_schreibplan</x:v>
      </x:c>
      <x:c r="F400" s="115" t="str">
        <x:v>schueler/de_k9_st29_charakteristik_schreibplan_app.html</x:v>
      </x:c>
      <x:c r="G400" s="115" t="str">
        <x:v>lehrer/de_k9_st29_charakteristik_schreibplan_orga.html</x:v>
      </x:c>
      <x:c r="H400" s="116" t="str">
        <x:v>de_09_charakteristik_029_schreibplan.html</x:v>
      </x:c>
    </x:row>
    <x:row r="401" ht="42" customHeight="1">
      <x:c r="A401" s="114" t="n">
        <x:v>9</x:v>
      </x:c>
      <x:c r="B401" s="115" t="n">
        <x:v>30</x:v>
      </x:c>
      <x:c r="C401" s="115" t="str">
        <x:v>Schreiben</x:v>
      </x:c>
      <x:c r="D401" s="115" t="str">
        <x:v>Inhaltsangabe und Charakteristik verbinden: Einen ersten Textentwurf verfassen</x:v>
      </x:c>
      <x:c r="E401" s="115" t="str">
        <x:v>de_k9_st30_charakteristik_entwurf</x:v>
      </x:c>
      <x:c r="F401" s="115" t="str">
        <x:v>schueler/de_k9_st30_charakteristik_entwurf_app.html</x:v>
      </x:c>
      <x:c r="G401" s="115" t="str">
        <x:v>lehrer/de_k9_st30_charakteristik_entwurf_orga.html</x:v>
      </x:c>
      <x:c r="H401" s="116" t="str">
        <x:v>de_09_charakteristik_030_entwurf.html</x:v>
      </x:c>
    </x:row>
    <x:row r="402" ht="42" customHeight="1">
      <x:c r="A402" s="114" t="n">
        <x:v>9</x:v>
      </x:c>
      <x:c r="B402" s="115" t="n">
        <x:v>31</x:v>
      </x:c>
      <x:c r="C402" s="115" t="str">
        <x:v>Schreiben</x:v>
      </x:c>
      <x:c r="D402" s="115" t="str">
        <x:v>Inhaltsangabe und Charakteristik verbinden: Text kriteriengeleitet überarbeiten</x:v>
      </x:c>
      <x:c r="E402" s="115" t="str">
        <x:v>de_k9_st31_charakteristik_ueberarbeiten</x:v>
      </x:c>
      <x:c r="F402" s="115" t="str">
        <x:v>schueler/de_k9_st31_charakteristik_ueberarbeiten_app.html</x:v>
      </x:c>
      <x:c r="G402" s="115" t="str">
        <x:v>lehrer/de_k9_st31_charakteristik_ueberarbeiten_orga.html</x:v>
      </x:c>
      <x:c r="H402" s="116" t="str">
        <x:v>de_09_charakteristik_031_ueberarbeiten.html</x:v>
      </x:c>
    </x:row>
    <x:row r="403" ht="42" customHeight="1">
      <x:c r="A403" s="114" t="n">
        <x:v>9</x:v>
      </x:c>
      <x:c r="B403" s="115" t="n">
        <x:v>32</x:v>
      </x:c>
      <x:c r="C403" s="115" t="str">
        <x:v>Sprechen und Zuhören</x:v>
      </x:c>
      <x:c r="D403" s="115" t="str">
        <x:v>Inhaltsangabe und Charakteristik verbinden: Texte vorstellen und bewerten</x:v>
      </x:c>
      <x:c r="E403" s="115" t="str">
        <x:v>de_k9_st32_charakteristik_vorstellen</x:v>
      </x:c>
      <x:c r="F403" s="115" t="str">
        <x:v>schueler/de_k9_st32_charakteristik_vorstellen_app.html</x:v>
      </x:c>
      <x:c r="G403" s="115" t="str">
        <x:v>lehrer/de_k9_st32_charakteristik_vorstellen_orga.html</x:v>
      </x:c>
      <x:c r="H403" s="116" t="str">
        <x:v>de_09_charakteristik_032_vorstellen.html</x:v>
      </x:c>
    </x:row>
    <x:row r="404" ht="42" customHeight="1">
      <x:c r="A404" s="114" t="n">
        <x:v>9</x:v>
      </x:c>
      <x:c r="B404" s="115" t="n">
        <x:v>1</x:v>
      </x:c>
      <x:c r="C404" s="115" t="str">
        <x:v>Sprechen und Zuhören</x:v>
      </x:c>
      <x:c r="D404" s="115" t="str">
        <x:v>Lernstand und Prüfungsformate: Vorwissen und Positionen klären</x:v>
      </x:c>
      <x:c r="E404" s="115" t="str">
        <x:v>de_k9_st01_diagnose_einstieg</x:v>
      </x:c>
      <x:c r="F404" s="115" t="str">
        <x:v>schueler/de_k9_st01_diagnose_einstieg_app.html</x:v>
      </x:c>
      <x:c r="G404" s="115" t="str">
        <x:v>lehrer/de_k9_st01_diagnose_einstieg_orga.html</x:v>
      </x:c>
      <x:c r="H404" s="116" t="str">
        <x:v>de_09_diagnose_001_einstieg.html</x:v>
      </x:c>
    </x:row>
    <x:row r="405" ht="42" customHeight="1">
      <x:c r="A405" s="114" t="n">
        <x:v>9</x:v>
      </x:c>
      <x:c r="B405" s="115" t="n">
        <x:v>2</x:v>
      </x:c>
      <x:c r="C405" s="115" t="str">
        <x:v>Lesen/Umgang mit Texten</x:v>
      </x:c>
      <x:c r="D405" s="115" t="str">
        <x:v>Lernstand und Prüfungsformate: Quellen und Materialien erschließen</x:v>
      </x:c>
      <x:c r="E405" s="115" t="str">
        <x:v>de_k9_st02_diagnose_quellen</x:v>
      </x:c>
      <x:c r="F405" s="115" t="str">
        <x:v>schueler/de_k9_st02_diagnose_quellen_app.html</x:v>
      </x:c>
      <x:c r="G405" s="115" t="str">
        <x:v>lehrer/de_k9_st02_diagnose_quellen_orga.html</x:v>
      </x:c>
      <x:c r="H405" s="116" t="str">
        <x:v>de_09_diagnose_002_quellen.html</x:v>
      </x:c>
    </x:row>
    <x:row r="406" ht="42" customHeight="1">
      <x:c r="A406" s="114" t="n">
        <x:v>9</x:v>
      </x:c>
      <x:c r="B406" s="115" t="n">
        <x:v>3</x:v>
      </x:c>
      <x:c r="C406" s="115" t="str">
        <x:v>Lesen/Umgang mit Texten</x:v>
      </x:c>
      <x:c r="D406" s="115" t="str">
        <x:v>Lernstand und Prüfungsformate: Qualitätskriterien anwenden</x:v>
      </x:c>
      <x:c r="E406" s="115" t="str">
        <x:v>de_k9_st03_diagnose_kriterien</x:v>
      </x:c>
      <x:c r="F406" s="115" t="str">
        <x:v>schueler/de_k9_st03_diagnose_kriterien_app.html</x:v>
      </x:c>
      <x:c r="G406" s="115" t="str">
        <x:v>lehrer/de_k9_st03_diagnose_kriterien_orga.html</x:v>
      </x:c>
      <x:c r="H406" s="116" t="str">
        <x:v>de_09_diagnose_003_kriterien.html</x:v>
      </x:c>
    </x:row>
    <x:row r="407" ht="42" customHeight="1">
      <x:c r="A407" s="114" t="n">
        <x:v>9</x:v>
      </x:c>
      <x:c r="B407" s="115" t="n">
        <x:v>4</x:v>
      </x:c>
      <x:c r="C407" s="115" t="str">
        <x:v>Lesen/Umgang mit Texten</x:v>
      </x:c>
      <x:c r="D407" s="115" t="str">
        <x:v>Lernstand und Prüfungsformate: Darstellungen vergleichen</x:v>
      </x:c>
      <x:c r="E407" s="115" t="str">
        <x:v>de_k9_st04_diagnose_vergleichen</x:v>
      </x:c>
      <x:c r="F407" s="115" t="str">
        <x:v>schueler/de_k9_st04_diagnose_vergleichen_app.html</x:v>
      </x:c>
      <x:c r="G407" s="115" t="str">
        <x:v>lehrer/de_k9_st04_diagnose_vergleichen_orga.html</x:v>
      </x:c>
      <x:c r="H407" s="116" t="str">
        <x:v>de_09_diagnose_004_vergleichen.html</x:v>
      </x:c>
    </x:row>
    <x:row r="408" ht="42" customHeight="1">
      <x:c r="A408" s="114" t="n">
        <x:v>9</x:v>
      </x:c>
      <x:c r="B408" s="115" t="n">
        <x:v>5</x:v>
      </x:c>
      <x:c r="C408" s="115" t="str">
        <x:v>Schreiben</x:v>
      </x:c>
      <x:c r="D408" s="115" t="str">
        <x:v>Lernstand und Prüfungsformate: Informationen prüfen und ordnen</x:v>
      </x:c>
      <x:c r="E408" s="115" t="str">
        <x:v>de_k9_st05_diagnose_recherche</x:v>
      </x:c>
      <x:c r="F408" s="115" t="str">
        <x:v>schueler/de_k9_st05_diagnose_recherche_app.html</x:v>
      </x:c>
      <x:c r="G408" s="115" t="str">
        <x:v>lehrer/de_k9_st05_diagnose_recherche_orga.html</x:v>
      </x:c>
      <x:c r="H408" s="116" t="str">
        <x:v>de_09_diagnose_005_recherche.html</x:v>
      </x:c>
    </x:row>
    <x:row r="409" ht="42" customHeight="1">
      <x:c r="A409" s="114" t="n">
        <x:v>9</x:v>
      </x:c>
      <x:c r="B409" s="115" t="n">
        <x:v>6</x:v>
      </x:c>
      <x:c r="C409" s="115" t="str">
        <x:v>Schreiben</x:v>
      </x:c>
      <x:c r="D409" s="115" t="str">
        <x:v>Lernstand und Prüfungsformate: Produkt planen</x:v>
      </x:c>
      <x:c r="E409" s="115" t="str">
        <x:v>de_k9_st06_diagnose_planen</x:v>
      </x:c>
      <x:c r="F409" s="115" t="str">
        <x:v>schueler/de_k9_st06_diagnose_planen_app.html</x:v>
      </x:c>
      <x:c r="G409" s="115" t="str">
        <x:v>lehrer/de_k9_st06_diagnose_planen_orga.html</x:v>
      </x:c>
      <x:c r="H409" s="116" t="str">
        <x:v>de_09_diagnose_006_planen.html</x:v>
      </x:c>
    </x:row>
    <x:row r="410" ht="42" customHeight="1">
      <x:c r="A410" s="114" t="n">
        <x:v>9</x:v>
      </x:c>
      <x:c r="B410" s="115" t="n">
        <x:v>7</x:v>
      </x:c>
      <x:c r="C410" s="115" t="str">
        <x:v>Schreiben</x:v>
      </x:c>
      <x:c r="D410" s="115" t="str">
        <x:v>Lernstand und Prüfungsformate: Produkt erstellen</x:v>
      </x:c>
      <x:c r="E410" s="115" t="str">
        <x:v>de_k9_st07_diagnose_erstellen</x:v>
      </x:c>
      <x:c r="F410" s="115" t="str">
        <x:v>schueler/de_k9_st07_diagnose_erstellen_app.html</x:v>
      </x:c>
      <x:c r="G410" s="115" t="str">
        <x:v>lehrer/de_k9_st07_diagnose_erstellen_orga.html</x:v>
      </x:c>
      <x:c r="H410" s="116" t="str">
        <x:v>de_09_diagnose_007_erstellen.html</x:v>
      </x:c>
    </x:row>
    <x:row r="411" ht="42" customHeight="1">
      <x:c r="A411" s="114" t="n">
        <x:v>9</x:v>
      </x:c>
      <x:c r="B411" s="115" t="n">
        <x:v>8</x:v>
      </x:c>
      <x:c r="C411" s="115" t="str">
        <x:v>Sprechen und Zuhören</x:v>
      </x:c>
      <x:c r="D411" s="115" t="str">
        <x:v>Lernstand und Prüfungsformate: Präsentieren und reflektieren</x:v>
      </x:c>
      <x:c r="E411" s="115" t="str">
        <x:v>de_k9_st08_diagnose_reflexion</x:v>
      </x:c>
      <x:c r="F411" s="115" t="str">
        <x:v>schueler/de_k9_st08_diagnose_reflexion_app.html</x:v>
      </x:c>
      <x:c r="G411" s="115" t="str">
        <x:v>lehrer/de_k9_st08_diagnose_reflexion_orga.html</x:v>
      </x:c>
      <x:c r="H411" s="116" t="str">
        <x:v>de_09_diagnose_008_reflexion.html</x:v>
      </x:c>
    </x:row>
    <x:row r="412" ht="42" customHeight="1">
      <x:c r="A412" s="114" t="n">
        <x:v>9</x:v>
      </x:c>
      <x:c r="B412" s="115" t="n">
        <x:v>17</x:v>
      </x:c>
      <x:c r="C412" s="115" t="str">
        <x:v>Sprechen und Zuhören</x:v>
      </x:c>
      <x:c r="D412" s="115" t="str">
        <x:v>Drama: Konflikt auf der Bühne: Hör- oder Leseeinstieg gestalten</x:v>
      </x:c>
      <x:c r="E412" s="115" t="str">
        <x:v>de_k9_st17_drama_einstieg</x:v>
      </x:c>
      <x:c r="F412" s="115" t="str">
        <x:v>schueler/de_k9_st17_drama_einstieg_app.html</x:v>
      </x:c>
      <x:c r="G412" s="115" t="str">
        <x:v>lehrer/de_k9_st17_drama_einstieg_orga.html</x:v>
      </x:c>
      <x:c r="H412" s="116" t="str">
        <x:v>de_09_drama_017_einstieg.html</x:v>
      </x:c>
    </x:row>
    <x:row r="413" ht="42" customHeight="1">
      <x:c r="A413" s="114" t="n">
        <x:v>9</x:v>
      </x:c>
      <x:c r="B413" s="115" t="n">
        <x:v>18</x:v>
      </x:c>
      <x:c r="C413" s="115" t="str">
        <x:v>Lesen/Umgang mit Texten</x:v>
      </x:c>
      <x:c r="D413" s="115" t="str">
        <x:v>Drama: Konflikt auf der Bühne: den Text mit Lesestrategien erschließen</x:v>
      </x:c>
      <x:c r="E413" s="115" t="str">
        <x:v>de_k9_st18_drama_erschliessen</x:v>
      </x:c>
      <x:c r="F413" s="115" t="str">
        <x:v>schueler/de_k9_st18_drama_erschliessen_app.html</x:v>
      </x:c>
      <x:c r="G413" s="115" t="str">
        <x:v>lehrer/de_k9_st18_drama_erschliessen_orga.html</x:v>
      </x:c>
      <x:c r="H413" s="116" t="str">
        <x:v>de_09_drama_018_erschliessen.html</x:v>
      </x:c>
    </x:row>
    <x:row r="414" ht="42" customHeight="1">
      <x:c r="A414" s="114" t="n">
        <x:v>9</x:v>
      </x:c>
      <x:c r="B414" s="115" t="n">
        <x:v>19</x:v>
      </x:c>
      <x:c r="C414" s="115" t="str">
        <x:v>Lesen/Umgang mit Texten</x:v>
      </x:c>
      <x:c r="D414" s="115" t="str">
        <x:v>Drama: Konflikt auf der Bühne: Gattungsmerkmale erkennen</x:v>
      </x:c>
      <x:c r="E414" s="115" t="str">
        <x:v>de_k9_st19_drama_merkmale</x:v>
      </x:c>
      <x:c r="F414" s="115" t="str">
        <x:v>schueler/de_k9_st19_drama_merkmale_app.html</x:v>
      </x:c>
      <x:c r="G414" s="115" t="str">
        <x:v>lehrer/de_k9_st19_drama_merkmale_orga.html</x:v>
      </x:c>
      <x:c r="H414" s="116" t="str">
        <x:v>de_09_drama_019_merkmale.html</x:v>
      </x:c>
    </x:row>
    <x:row r="415" ht="42" customHeight="1">
      <x:c r="A415" s="114" t="n">
        <x:v>9</x:v>
      </x:c>
      <x:c r="B415" s="115" t="n">
        <x:v>20</x:v>
      </x:c>
      <x:c r="C415" s="115" t="str">
        <x:v>Lesen/Umgang mit Texten</x:v>
      </x:c>
      <x:c r="D415" s="115" t="str">
        <x:v>Drama: Konflikt auf der Bühne: Figuren, Handlung und Konflikt untersuchen</x:v>
      </x:c>
      <x:c r="E415" s="115" t="str">
        <x:v>de_k9_st20_drama_figuren_handlung</x:v>
      </x:c>
      <x:c r="F415" s="115" t="str">
        <x:v>schueler/de_k9_st20_drama_figuren_handlung_app.html</x:v>
      </x:c>
      <x:c r="G415" s="115" t="str">
        <x:v>lehrer/de_k9_st20_drama_figuren_handlung_orga.html</x:v>
      </x:c>
      <x:c r="H415" s="116" t="str">
        <x:v>de_09_drama_020_figuren_handlung.html</x:v>
      </x:c>
    </x:row>
    <x:row r="416" ht="42" customHeight="1">
      <x:c r="A416" s="114" t="n">
        <x:v>9</x:v>
      </x:c>
      <x:c r="B416" s="115" t="n">
        <x:v>21</x:v>
      </x:c>
      <x:c r="C416" s="115" t="str">
        <x:v>Sprache untersuchen</x:v>
      </x:c>
      <x:c r="D416" s="115" t="str">
        <x:v>Drama: Konflikt auf der Bühne: Sprache und Wirkung untersuchen</x:v>
      </x:c>
      <x:c r="E416" s="115" t="str">
        <x:v>de_k9_st21_drama_sprache_wirkung</x:v>
      </x:c>
      <x:c r="F416" s="115" t="str">
        <x:v>schueler/de_k9_st21_drama_sprache_wirkung_app.html</x:v>
      </x:c>
      <x:c r="G416" s="115" t="str">
        <x:v>lehrer/de_k9_st21_drama_sprache_wirkung_orga.html</x:v>
      </x:c>
      <x:c r="H416" s="116" t="str">
        <x:v>de_09_drama_021_sprache_wirkung.html</x:v>
      </x:c>
    </x:row>
    <x:row r="417" ht="42" customHeight="1">
      <x:c r="A417" s="114" t="n">
        <x:v>9</x:v>
      </x:c>
      <x:c r="B417" s="115" t="n">
        <x:v>22</x:v>
      </x:c>
      <x:c r="C417" s="115" t="str">
        <x:v>Schreiben</x:v>
      </x:c>
      <x:c r="D417" s="115" t="str">
        <x:v>Drama: Konflikt auf der Bühne: eine Deutung oder Perspektive vorbereiten</x:v>
      </x:c>
      <x:c r="E417" s="115" t="str">
        <x:v>de_k9_st22_drama_deutung_planen</x:v>
      </x:c>
      <x:c r="F417" s="115" t="str">
        <x:v>schueler/de_k9_st22_drama_deutung_planen_app.html</x:v>
      </x:c>
      <x:c r="G417" s="115" t="str">
        <x:v>lehrer/de_k9_st22_drama_deutung_planen_orga.html</x:v>
      </x:c>
      <x:c r="H417" s="116" t="str">
        <x:v>de_09_drama_022_deutung_planen.html</x:v>
      </x:c>
    </x:row>
    <x:row r="418" ht="42" customHeight="1">
      <x:c r="A418" s="114" t="n">
        <x:v>9</x:v>
      </x:c>
      <x:c r="B418" s="115" t="n">
        <x:v>23</x:v>
      </x:c>
      <x:c r="C418" s="115" t="str">
        <x:v>Schreiben</x:v>
      </x:c>
      <x:c r="D418" s="115" t="str">
        <x:v>Drama: Konflikt auf der Bühne: Szenenanalyse gestalten</x:v>
      </x:c>
      <x:c r="E418" s="115" t="str">
        <x:v>de_k9_st23_drama_produkt</x:v>
      </x:c>
      <x:c r="F418" s="115" t="str">
        <x:v>schueler/de_k9_st23_drama_produkt_app.html</x:v>
      </x:c>
      <x:c r="G418" s="115" t="str">
        <x:v>lehrer/de_k9_st23_drama_produkt_orga.html</x:v>
      </x:c>
      <x:c r="H418" s="116" t="str">
        <x:v>de_09_drama_023_produkt.html</x:v>
      </x:c>
    </x:row>
    <x:row r="419" ht="42" customHeight="1">
      <x:c r="A419" s="114" t="n">
        <x:v>9</x:v>
      </x:c>
      <x:c r="B419" s="115" t="n">
        <x:v>24</x:v>
      </x:c>
      <x:c r="C419" s="115" t="str">
        <x:v>Sprechen und Zuhören</x:v>
      </x:c>
      <x:c r="D419" s="115" t="str">
        <x:v>Drama: Konflikt auf der Bühne: Ergebnisse präsentieren und reflektieren</x:v>
      </x:c>
      <x:c r="E419" s="115" t="str">
        <x:v>de_k9_st24_drama_praesentieren</x:v>
      </x:c>
      <x:c r="F419" s="115" t="str">
        <x:v>schueler/de_k9_st24_drama_praesentieren_app.html</x:v>
      </x:c>
      <x:c r="G419" s="115" t="str">
        <x:v>lehrer/de_k9_st24_drama_praesentieren_orga.html</x:v>
      </x:c>
      <x:c r="H419" s="116" t="str">
        <x:v>de_09_drama_024_praesentieren.html</x:v>
      </x:c>
    </x:row>
    <x:row r="420" ht="42" customHeight="1">
      <x:c r="A420" s="114" t="n">
        <x:v>9</x:v>
      </x:c>
      <x:c r="B420" s="115" t="n">
        <x:v>33</x:v>
      </x:c>
      <x:c r="C420" s="115" t="str">
        <x:v>Lesen/Umgang mit Texten</x:v>
      </x:c>
      <x:c r="D420" s="115" t="str">
        <x:v>Argumentieren und erörtern: Beispieltexte untersuchen</x:v>
      </x:c>
      <x:c r="E420" s="115" t="str">
        <x:v>de_k9_st33_eroerterung_beispiel</x:v>
      </x:c>
      <x:c r="F420" s="115" t="str">
        <x:v>schueler/de_k9_st33_eroerterung_beispiel_app.html</x:v>
      </x:c>
      <x:c r="G420" s="115" t="str">
        <x:v>lehrer/de_k9_st33_eroerterung_beispiel_orga.html</x:v>
      </x:c>
      <x:c r="H420" s="116" t="str">
        <x:v>de_09_eroerterung_033_beispiel.html</x:v>
      </x:c>
    </x:row>
    <x:row r="421" ht="42" customHeight="1">
      <x:c r="A421" s="114" t="n">
        <x:v>9</x:v>
      </x:c>
      <x:c r="B421" s="115" t="n">
        <x:v>34</x:v>
      </x:c>
      <x:c r="C421" s="115" t="str">
        <x:v>Schreiben</x:v>
      </x:c>
      <x:c r="D421" s="115" t="str">
        <x:v>Argumentieren und erörtern: Schreibziel und Kriterien klären</x:v>
      </x:c>
      <x:c r="E421" s="115" t="str">
        <x:v>de_k9_st34_eroerterung_kriterien</x:v>
      </x:c>
      <x:c r="F421" s="115" t="str">
        <x:v>schueler/de_k9_st34_eroerterung_kriterien_app.html</x:v>
      </x:c>
      <x:c r="G421" s="115" t="str">
        <x:v>lehrer/de_k9_st34_eroerterung_kriterien_orga.html</x:v>
      </x:c>
      <x:c r="H421" s="116" t="str">
        <x:v>de_09_eroerterung_034_kriterien.html</x:v>
      </x:c>
    </x:row>
    <x:row r="422" ht="42" customHeight="1">
      <x:c r="A422" s="114" t="n">
        <x:v>9</x:v>
      </x:c>
      <x:c r="B422" s="115" t="n">
        <x:v>35</x:v>
      </x:c>
      <x:c r="C422" s="115" t="str">
        <x:v>Lesen/Umgang mit Texten</x:v>
      </x:c>
      <x:c r="D422" s="115" t="str">
        <x:v>Argumentieren und erörtern: Inhalte auswählen und ordnen</x:v>
      </x:c>
      <x:c r="E422" s="115" t="str">
        <x:v>de_k9_st35_eroerterung_inhalte_ordnen</x:v>
      </x:c>
      <x:c r="F422" s="115" t="str">
        <x:v>schueler/de_k9_st35_eroerterung_inhalte_ordnen_app.html</x:v>
      </x:c>
      <x:c r="G422" s="115" t="str">
        <x:v>lehrer/de_k9_st35_eroerterung_inhalte_ordnen_orga.html</x:v>
      </x:c>
      <x:c r="H422" s="116" t="str">
        <x:v>de_09_eroerterung_035_inhalte_ordnen.html</x:v>
      </x:c>
    </x:row>
    <x:row r="423" ht="42" customHeight="1">
      <x:c r="A423" s="114" t="n">
        <x:v>9</x:v>
      </x:c>
      <x:c r="B423" s="115" t="n">
        <x:v>36</x:v>
      </x:c>
      <x:c r="C423" s="115" t="str">
        <x:v>Sprache untersuchen</x:v>
      </x:c>
      <x:c r="D423" s="115" t="str">
        <x:v>Argumentieren und erörtern: Passende sprachliche Mittel verwenden</x:v>
      </x:c>
      <x:c r="E423" s="115" t="str">
        <x:v>de_k9_st36_eroerterung_sprachmittel</x:v>
      </x:c>
      <x:c r="F423" s="115" t="str">
        <x:v>schueler/de_k9_st36_eroerterung_sprachmittel_app.html</x:v>
      </x:c>
      <x:c r="G423" s="115" t="str">
        <x:v>lehrer/de_k9_st36_eroerterung_sprachmittel_orga.html</x:v>
      </x:c>
      <x:c r="H423" s="116" t="str">
        <x:v>de_09_eroerterung_036_sprachmittel.html</x:v>
      </x:c>
    </x:row>
    <x:row r="424" ht="42" customHeight="1">
      <x:c r="A424" s="114" t="n">
        <x:v>9</x:v>
      </x:c>
      <x:c r="B424" s="115" t="n">
        <x:v>37</x:v>
      </x:c>
      <x:c r="C424" s="115" t="str">
        <x:v>Schreiben</x:v>
      </x:c>
      <x:c r="D424" s="115" t="str">
        <x:v>Argumentieren und erörtern: Einen Schreibplan erstellen</x:v>
      </x:c>
      <x:c r="E424" s="115" t="str">
        <x:v>de_k9_st37_eroerterung_schreibplan</x:v>
      </x:c>
      <x:c r="F424" s="115" t="str">
        <x:v>schueler/de_k9_st37_eroerterung_schreibplan_app.html</x:v>
      </x:c>
      <x:c r="G424" s="115" t="str">
        <x:v>lehrer/de_k9_st37_eroerterung_schreibplan_orga.html</x:v>
      </x:c>
      <x:c r="H424" s="116" t="str">
        <x:v>de_09_eroerterung_037_schreibplan.html</x:v>
      </x:c>
    </x:row>
    <x:row r="425" ht="42" customHeight="1">
      <x:c r="A425" s="114" t="n">
        <x:v>9</x:v>
      </x:c>
      <x:c r="B425" s="115" t="n">
        <x:v>38</x:v>
      </x:c>
      <x:c r="C425" s="115" t="str">
        <x:v>Schreiben</x:v>
      </x:c>
      <x:c r="D425" s="115" t="str">
        <x:v>Argumentieren und erörtern: Einen ersten Textentwurf verfassen</x:v>
      </x:c>
      <x:c r="E425" s="115" t="str">
        <x:v>de_k9_st38_eroerterung_entwurf</x:v>
      </x:c>
      <x:c r="F425" s="115" t="str">
        <x:v>schueler/de_k9_st38_eroerterung_entwurf_app.html</x:v>
      </x:c>
      <x:c r="G425" s="115" t="str">
        <x:v>lehrer/de_k9_st38_eroerterung_entwurf_orga.html</x:v>
      </x:c>
      <x:c r="H425" s="116" t="str">
        <x:v>de_09_eroerterung_038_entwurf.html</x:v>
      </x:c>
    </x:row>
    <x:row r="426" ht="42" customHeight="1">
      <x:c r="A426" s="114" t="n">
        <x:v>9</x:v>
      </x:c>
      <x:c r="B426" s="115" t="n">
        <x:v>39</x:v>
      </x:c>
      <x:c r="C426" s="115" t="str">
        <x:v>Schreiben</x:v>
      </x:c>
      <x:c r="D426" s="115" t="str">
        <x:v>Argumentieren und erörtern: Text kriteriengeleitet überarbeiten</x:v>
      </x:c>
      <x:c r="E426" s="115" t="str">
        <x:v>de_k9_st39_eroerterung_ueberarbeiten</x:v>
      </x:c>
      <x:c r="F426" s="115" t="str">
        <x:v>schueler/de_k9_st39_eroerterung_ueberarbeiten_app.html</x:v>
      </x:c>
      <x:c r="G426" s="115" t="str">
        <x:v>lehrer/de_k9_st39_eroerterung_ueberarbeiten_orga.html</x:v>
      </x:c>
      <x:c r="H426" s="116" t="str">
        <x:v>de_09_eroerterung_039_ueberarbeiten.html</x:v>
      </x:c>
    </x:row>
    <x:row r="427" ht="42" customHeight="1">
      <x:c r="A427" s="114" t="n">
        <x:v>9</x:v>
      </x:c>
      <x:c r="B427" s="115" t="n">
        <x:v>40</x:v>
      </x:c>
      <x:c r="C427" s="115" t="str">
        <x:v>Sprechen und Zuhören</x:v>
      </x:c>
      <x:c r="D427" s="115" t="str">
        <x:v>Argumentieren und erörtern: Texte vorstellen und bewerten</x:v>
      </x:c>
      <x:c r="E427" s="115" t="str">
        <x:v>de_k9_st40_eroerterung_vorstellen</x:v>
      </x:c>
      <x:c r="F427" s="115" t="str">
        <x:v>schueler/de_k9_st40_eroerterung_vorstellen_app.html</x:v>
      </x:c>
      <x:c r="G427" s="115" t="str">
        <x:v>lehrer/de_k9_st40_eroerterung_vorstellen_orga.html</x:v>
      </x:c>
      <x:c r="H427" s="116" t="str">
        <x:v>de_09_eroerterung_040_vorstellen.html</x:v>
      </x:c>
    </x:row>
    <x:row r="428" ht="42" customHeight="1">
      <x:c r="A428" s="114" t="n">
        <x:v>9</x:v>
      </x:c>
      <x:c r="B428" s="115" t="n">
        <x:v>65</x:v>
      </x:c>
      <x:c r="C428" s="115" t="str">
        <x:v>Sprechen und Zuhören</x:v>
      </x:c>
      <x:c r="D428" s="115" t="str">
        <x:v>Gedankenlyrik und politische Lyrik: Hör- oder Leseeinstieg gestalten</x:v>
      </x:c>
      <x:c r="E428" s="115" t="str">
        <x:v>de_k9_st65_lyrik_einstieg</x:v>
      </x:c>
      <x:c r="F428" s="115" t="str">
        <x:v>schueler/de_k9_st65_lyrik_einstieg_app.html</x:v>
      </x:c>
      <x:c r="G428" s="115" t="str">
        <x:v>lehrer/de_k9_st65_lyrik_einstieg_orga.html</x:v>
      </x:c>
      <x:c r="H428" s="116" t="str">
        <x:v>de_09_lyrik_065_einstieg.html</x:v>
      </x:c>
    </x:row>
    <x:row r="429" ht="42" customHeight="1">
      <x:c r="A429" s="114" t="n">
        <x:v>9</x:v>
      </x:c>
      <x:c r="B429" s="115" t="n">
        <x:v>66</x:v>
      </x:c>
      <x:c r="C429" s="115" t="str">
        <x:v>Lesen/Umgang mit Texten</x:v>
      </x:c>
      <x:c r="D429" s="115" t="str">
        <x:v>Gedankenlyrik und politische Lyrik: Den Text mit Lesestrategien erschließen</x:v>
      </x:c>
      <x:c r="E429" s="115" t="str">
        <x:v>de_k9_st66_lyrik_erschliessen</x:v>
      </x:c>
      <x:c r="F429" s="115" t="str">
        <x:v>schueler/de_k9_st66_lyrik_erschliessen_app.html</x:v>
      </x:c>
      <x:c r="G429" s="115" t="str">
        <x:v>lehrer/de_k9_st66_lyrik_erschliessen_orga.html</x:v>
      </x:c>
      <x:c r="H429" s="116" t="str">
        <x:v>de_09_lyrik_066_erschliessen.html</x:v>
      </x:c>
    </x:row>
    <x:row r="430" ht="42" customHeight="1">
      <x:c r="A430" s="114" t="n">
        <x:v>9</x:v>
      </x:c>
      <x:c r="B430" s="115" t="n">
        <x:v>67</x:v>
      </x:c>
      <x:c r="C430" s="115" t="str">
        <x:v>Lesen/Umgang mit Texten</x:v>
      </x:c>
      <x:c r="D430" s="115" t="str">
        <x:v>Gedankenlyrik und politische Lyrik: Gattungsmerkmale erkennen</x:v>
      </x:c>
      <x:c r="E430" s="115" t="str">
        <x:v>de_k9_st67_lyrik_merkmale</x:v>
      </x:c>
      <x:c r="F430" s="115" t="str">
        <x:v>schueler/de_k9_st67_lyrik_merkmale_app.html</x:v>
      </x:c>
      <x:c r="G430" s="115" t="str">
        <x:v>lehrer/de_k9_st67_lyrik_merkmale_orga.html</x:v>
      </x:c>
      <x:c r="H430" s="116" t="str">
        <x:v>de_09_lyrik_067_merkmale.html</x:v>
      </x:c>
    </x:row>
    <x:row r="431" ht="42" customHeight="1">
      <x:c r="A431" s="114" t="n">
        <x:v>9</x:v>
      </x:c>
      <x:c r="B431" s="115" t="n">
        <x:v>68</x:v>
      </x:c>
      <x:c r="C431" s="115" t="str">
        <x:v>Lesen/Umgang mit Texten</x:v>
      </x:c>
      <x:c r="D431" s="115" t="str">
        <x:v>Gedankenlyrik und politische Lyrik: Figuren, Handlung und Konflikt untersuchen</x:v>
      </x:c>
      <x:c r="E431" s="115" t="str">
        <x:v>de_k9_st68_lyrik_figuren_handlung</x:v>
      </x:c>
      <x:c r="F431" s="115" t="str">
        <x:v>schueler/de_k9_st68_lyrik_figuren_handlung_app.html</x:v>
      </x:c>
      <x:c r="G431" s="115" t="str">
        <x:v>lehrer/de_k9_st68_lyrik_figuren_handlung_orga.html</x:v>
      </x:c>
      <x:c r="H431" s="116" t="str">
        <x:v>de_09_lyrik_068_figuren_handlung.html</x:v>
      </x:c>
    </x:row>
    <x:row r="432" ht="42" customHeight="1">
      <x:c r="A432" s="114" t="n">
        <x:v>9</x:v>
      </x:c>
      <x:c r="B432" s="115" t="n">
        <x:v>69</x:v>
      </x:c>
      <x:c r="C432" s="115" t="str">
        <x:v>Sprache untersuchen</x:v>
      </x:c>
      <x:c r="D432" s="115" t="str">
        <x:v>Gedankenlyrik und politische Lyrik: Sprache und Wirkung untersuchen</x:v>
      </x:c>
      <x:c r="E432" s="115" t="str">
        <x:v>de_k9_st69_lyrik_sprache_wirkung</x:v>
      </x:c>
      <x:c r="F432" s="115" t="str">
        <x:v>schueler/de_k9_st69_lyrik_sprache_wirkung_app.html</x:v>
      </x:c>
      <x:c r="G432" s="115" t="str">
        <x:v>lehrer/de_k9_st69_lyrik_sprache_wirkung_orga.html</x:v>
      </x:c>
      <x:c r="H432" s="116" t="str">
        <x:v>de_09_lyrik_069_sprache_wirkung.html</x:v>
      </x:c>
    </x:row>
    <x:row r="433" ht="42" customHeight="1">
      <x:c r="A433" s="114" t="n">
        <x:v>9</x:v>
      </x:c>
      <x:c r="B433" s="115" t="n">
        <x:v>70</x:v>
      </x:c>
      <x:c r="C433" s="115" t="str">
        <x:v>Schreiben</x:v>
      </x:c>
      <x:c r="D433" s="115" t="str">
        <x:v>Gedankenlyrik und politische Lyrik: Eine Deutung oder Perspektive vorbereiten</x:v>
      </x:c>
      <x:c r="E433" s="115" t="str">
        <x:v>de_k9_st70_lyrik_deutung_planen</x:v>
      </x:c>
      <x:c r="F433" s="115" t="str">
        <x:v>schueler/de_k9_st70_lyrik_deutung_planen_app.html</x:v>
      </x:c>
      <x:c r="G433" s="115" t="str">
        <x:v>lehrer/de_k9_st70_lyrik_deutung_planen_orga.html</x:v>
      </x:c>
      <x:c r="H433" s="116" t="str">
        <x:v>de_09_lyrik_070_deutung_planen.html</x:v>
      </x:c>
    </x:row>
    <x:row r="434" ht="42" customHeight="1">
      <x:c r="A434" s="114" t="n">
        <x:v>9</x:v>
      </x:c>
      <x:c r="B434" s="115" t="n">
        <x:v>71</x:v>
      </x:c>
      <x:c r="C434" s="115" t="str">
        <x:v>Schreiben</x:v>
      </x:c>
      <x:c r="D434" s="115" t="str">
        <x:v>Gedankenlyrik und politische Lyrik: Gedichtanalyse oder Vergleich gestalten</x:v>
      </x:c>
      <x:c r="E434" s="115" t="str">
        <x:v>de_k9_st71_lyrik_produkt</x:v>
      </x:c>
      <x:c r="F434" s="115" t="str">
        <x:v>schueler/de_k9_st71_lyrik_produkt_app.html</x:v>
      </x:c>
      <x:c r="G434" s="115" t="str">
        <x:v>lehrer/de_k9_st71_lyrik_produkt_orga.html</x:v>
      </x:c>
      <x:c r="H434" s="116" t="str">
        <x:v>de_09_lyrik_071_produkt.html</x:v>
      </x:c>
    </x:row>
    <x:row r="435" ht="42" customHeight="1">
      <x:c r="A435" s="114" t="n">
        <x:v>9</x:v>
      </x:c>
      <x:c r="B435" s="115" t="n">
        <x:v>72</x:v>
      </x:c>
      <x:c r="C435" s="115" t="str">
        <x:v>Sprechen und Zuhören</x:v>
      </x:c>
      <x:c r="D435" s="115" t="str">
        <x:v>Gedankenlyrik und politische Lyrik: Ergebnisse präsentieren und reflektieren</x:v>
      </x:c>
      <x:c r="E435" s="115" t="str">
        <x:v>de_k9_st72_lyrik_praesentieren</x:v>
      </x:c>
      <x:c r="F435" s="115" t="str">
        <x:v>schueler/de_k9_st72_lyrik_praesentieren_app.html</x:v>
      </x:c>
      <x:c r="G435" s="115" t="str">
        <x:v>lehrer/de_k9_st72_lyrik_praesentieren_orga.html</x:v>
      </x:c>
      <x:c r="H435" s="116" t="str">
        <x:v>de_09_lyrik_072_praesentieren.html</x:v>
      </x:c>
    </x:row>
    <x:row r="436" ht="42" customHeight="1">
      <x:c r="A436" s="114" t="n">
        <x:v>9</x:v>
      </x:c>
      <x:c r="B436" s="115" t="n">
        <x:v>41</x:v>
      </x:c>
      <x:c r="C436" s="115" t="str">
        <x:v>Sprechen und Zuhören</x:v>
      </x:c>
      <x:c r="D436" s="115" t="str">
        <x:v>Medienkritik und soziale Netzwerke: Vorwissen und Positionen klären</x:v>
      </x:c>
      <x:c r="E436" s="115" t="str">
        <x:v>de_k9_st41_medienkritik_einstieg</x:v>
      </x:c>
      <x:c r="F436" s="115" t="str">
        <x:v>schueler/de_k9_st41_medienkritik_einstieg_app.html</x:v>
      </x:c>
      <x:c r="G436" s="115" t="str">
        <x:v>lehrer/de_k9_st41_medienkritik_einstieg_orga.html</x:v>
      </x:c>
      <x:c r="H436" s="116" t="str">
        <x:v>de_09_medienkritik_041_einstieg.html</x:v>
      </x:c>
    </x:row>
    <x:row r="437" ht="42" customHeight="1">
      <x:c r="A437" s="114" t="n">
        <x:v>9</x:v>
      </x:c>
      <x:c r="B437" s="115" t="n">
        <x:v>42</x:v>
      </x:c>
      <x:c r="C437" s="115" t="str">
        <x:v>Lesen/Umgang mit Texten</x:v>
      </x:c>
      <x:c r="D437" s="115" t="str">
        <x:v>Medienkritik und soziale Netzwerke: Quellen und Materialien erschließen</x:v>
      </x:c>
      <x:c r="E437" s="115" t="str">
        <x:v>de_k9_st42_medienkritik_quellen</x:v>
      </x:c>
      <x:c r="F437" s="115" t="str">
        <x:v>schueler/de_k9_st42_medienkritik_quellen_app.html</x:v>
      </x:c>
      <x:c r="G437" s="115" t="str">
        <x:v>lehrer/de_k9_st42_medienkritik_quellen_orga.html</x:v>
      </x:c>
      <x:c r="H437" s="116" t="str">
        <x:v>de_09_medienkritik_042_quellen.html</x:v>
      </x:c>
    </x:row>
    <x:row r="438" ht="42" customHeight="1">
      <x:c r="A438" s="114" t="n">
        <x:v>9</x:v>
      </x:c>
      <x:c r="B438" s="115" t="n">
        <x:v>43</x:v>
      </x:c>
      <x:c r="C438" s="115" t="str">
        <x:v>Lesen/Umgang mit Texten</x:v>
      </x:c>
      <x:c r="D438" s="115" t="str">
        <x:v>Medienkritik und soziale Netzwerke: Qualitätskriterien anwenden</x:v>
      </x:c>
      <x:c r="E438" s="115" t="str">
        <x:v>de_k9_st43_medienkritik_kriterien</x:v>
      </x:c>
      <x:c r="F438" s="115" t="str">
        <x:v>schueler/de_k9_st43_medienkritik_kriterien_app.html</x:v>
      </x:c>
      <x:c r="G438" s="115" t="str">
        <x:v>lehrer/de_k9_st43_medienkritik_kriterien_orga.html</x:v>
      </x:c>
      <x:c r="H438" s="116" t="str">
        <x:v>de_09_medienkritik_043_kriterien.html</x:v>
      </x:c>
    </x:row>
    <x:row r="439" ht="42" customHeight="1">
      <x:c r="A439" s="114" t="n">
        <x:v>9</x:v>
      </x:c>
      <x:c r="B439" s="115" t="n">
        <x:v>44</x:v>
      </x:c>
      <x:c r="C439" s="115" t="str">
        <x:v>Lesen/Umgang mit Texten</x:v>
      </x:c>
      <x:c r="D439" s="115" t="str">
        <x:v>Medienkritik und soziale Netzwerke: Darstellungen vergleichen</x:v>
      </x:c>
      <x:c r="E439" s="115" t="str">
        <x:v>de_k9_st44_medienkritik_vergleichen</x:v>
      </x:c>
      <x:c r="F439" s="115" t="str">
        <x:v>schueler/de_k9_st44_medienkritik_vergleichen_app.html</x:v>
      </x:c>
      <x:c r="G439" s="115" t="str">
        <x:v>lehrer/de_k9_st44_medienkritik_vergleichen_orga.html</x:v>
      </x:c>
      <x:c r="H439" s="116" t="str">
        <x:v>de_09_medienkritik_044_vergleichen.html</x:v>
      </x:c>
    </x:row>
    <x:row r="440" ht="42" customHeight="1">
      <x:c r="A440" s="114" t="n">
        <x:v>9</x:v>
      </x:c>
      <x:c r="B440" s="115" t="n">
        <x:v>45</x:v>
      </x:c>
      <x:c r="C440" s="115" t="str">
        <x:v>Schreiben</x:v>
      </x:c>
      <x:c r="D440" s="115" t="str">
        <x:v>Medienkritik und soziale Netzwerke: Informationen prüfen und ordnen</x:v>
      </x:c>
      <x:c r="E440" s="115" t="str">
        <x:v>de_k9_st45_medienkritik_recherche</x:v>
      </x:c>
      <x:c r="F440" s="115" t="str">
        <x:v>schueler/de_k9_st45_medienkritik_recherche_app.html</x:v>
      </x:c>
      <x:c r="G440" s="115" t="str">
        <x:v>lehrer/de_k9_st45_medienkritik_recherche_orga.html</x:v>
      </x:c>
      <x:c r="H440" s="116" t="str">
        <x:v>de_09_medienkritik_045_recherche.html</x:v>
      </x:c>
    </x:row>
    <x:row r="441" ht="42" customHeight="1">
      <x:c r="A441" s="114" t="n">
        <x:v>9</x:v>
      </x:c>
      <x:c r="B441" s="115" t="n">
        <x:v>46</x:v>
      </x:c>
      <x:c r="C441" s="115" t="str">
        <x:v>Schreiben</x:v>
      </x:c>
      <x:c r="D441" s="115" t="str">
        <x:v>Medienkritik und soziale Netzwerke: Produkt planen</x:v>
      </x:c>
      <x:c r="E441" s="115" t="str">
        <x:v>de_k9_st46_medienkritik_planen</x:v>
      </x:c>
      <x:c r="F441" s="115" t="str">
        <x:v>schueler/de_k9_st46_medienkritik_planen_app.html</x:v>
      </x:c>
      <x:c r="G441" s="115" t="str">
        <x:v>lehrer/de_k9_st46_medienkritik_planen_orga.html</x:v>
      </x:c>
      <x:c r="H441" s="116" t="str">
        <x:v>de_09_medienkritik_046_planen.html</x:v>
      </x:c>
    </x:row>
    <x:row r="442" ht="42" customHeight="1">
      <x:c r="A442" s="114" t="n">
        <x:v>9</x:v>
      </x:c>
      <x:c r="B442" s="115" t="n">
        <x:v>47</x:v>
      </x:c>
      <x:c r="C442" s="115" t="str">
        <x:v>Schreiben</x:v>
      </x:c>
      <x:c r="D442" s="115" t="str">
        <x:v>Medienkritik und soziale Netzwerke: Produkt erstellen</x:v>
      </x:c>
      <x:c r="E442" s="115" t="str">
        <x:v>de_k9_st47_medienkritik_erstellen</x:v>
      </x:c>
      <x:c r="F442" s="115" t="str">
        <x:v>schueler/de_k9_st47_medienkritik_erstellen_app.html</x:v>
      </x:c>
      <x:c r="G442" s="115" t="str">
        <x:v>lehrer/de_k9_st47_medienkritik_erstellen_orga.html</x:v>
      </x:c>
      <x:c r="H442" s="116" t="str">
        <x:v>de_09_medienkritik_047_erstellen.html</x:v>
      </x:c>
    </x:row>
    <x:row r="443" ht="42" customHeight="1">
      <x:c r="A443" s="114" t="n">
        <x:v>9</x:v>
      </x:c>
      <x:c r="B443" s="115" t="n">
        <x:v>48</x:v>
      </x:c>
      <x:c r="C443" s="115" t="str">
        <x:v>Sprechen und Zuhören</x:v>
      </x:c>
      <x:c r="D443" s="115" t="str">
        <x:v>Medienkritik und soziale Netzwerke: Präsentieren und reflektieren</x:v>
      </x:c>
      <x:c r="E443" s="115" t="str">
        <x:v>de_k9_st48_medienkritik_reflexion</x:v>
      </x:c>
      <x:c r="F443" s="115" t="str">
        <x:v>schueler/de_k9_st48_medienkritik_reflexion_app.html</x:v>
      </x:c>
      <x:c r="G443" s="115" t="str">
        <x:v>lehrer/de_k9_st48_medienkritik_reflexion_orga.html</x:v>
      </x:c>
      <x:c r="H443" s="116" t="str">
        <x:v>de_09_medienkritik_048_reflexion.html</x:v>
      </x:c>
    </x:row>
    <x:row r="444" ht="42" customHeight="1">
      <x:c r="A444" s="114" t="n">
        <x:v>9</x:v>
      </x:c>
      <x:c r="B444" s="115" t="n">
        <x:v>81</x:v>
      </x:c>
      <x:c r="C444" s="115" t="str">
        <x:v>Sprechen und Zuhören</x:v>
      </x:c>
      <x:c r="D444" s="115" t="str">
        <x:v>Debatte, Referat und mündliche Prüfung: Vorwissen und Positionen klären</x:v>
      </x:c>
      <x:c r="E444" s="115" t="str">
        <x:v>de_k9_st81_muendlich_einstieg</x:v>
      </x:c>
      <x:c r="F444" s="115" t="str">
        <x:v>schueler/de_k9_st81_muendlich_einstieg_app.html</x:v>
      </x:c>
      <x:c r="G444" s="115" t="str">
        <x:v>lehrer/de_k9_st81_muendlich_einstieg_orga.html</x:v>
      </x:c>
      <x:c r="H444" s="116" t="str">
        <x:v>de_09_muendlich_081_einstieg.html</x:v>
      </x:c>
    </x:row>
    <x:row r="445" ht="42" customHeight="1">
      <x:c r="A445" s="114" t="n">
        <x:v>9</x:v>
      </x:c>
      <x:c r="B445" s="115" t="n">
        <x:v>82</x:v>
      </x:c>
      <x:c r="C445" s="115" t="str">
        <x:v>Lesen/Umgang mit Texten</x:v>
      </x:c>
      <x:c r="D445" s="115" t="str">
        <x:v>Debatte, Referat und mündliche Prüfung: Quellen und Materialien erschließen</x:v>
      </x:c>
      <x:c r="E445" s="115" t="str">
        <x:v>de_k9_st82_muendlich_quellen</x:v>
      </x:c>
      <x:c r="F445" s="115" t="str">
        <x:v>schueler/de_k9_st82_muendlich_quellen_app.html</x:v>
      </x:c>
      <x:c r="G445" s="115" t="str">
        <x:v>lehrer/de_k9_st82_muendlich_quellen_orga.html</x:v>
      </x:c>
      <x:c r="H445" s="116" t="str">
        <x:v>de_09_muendlich_082_quellen.html</x:v>
      </x:c>
    </x:row>
    <x:row r="446" ht="42" customHeight="1">
      <x:c r="A446" s="114" t="n">
        <x:v>9</x:v>
      </x:c>
      <x:c r="B446" s="115" t="n">
        <x:v>83</x:v>
      </x:c>
      <x:c r="C446" s="115" t="str">
        <x:v>Lesen/Umgang mit Texten</x:v>
      </x:c>
      <x:c r="D446" s="115" t="str">
        <x:v>Debatte, Referat und mündliche Prüfung: Qualitätskriterien anwenden</x:v>
      </x:c>
      <x:c r="E446" s="115" t="str">
        <x:v>de_k9_st83_muendlich_kriterien</x:v>
      </x:c>
      <x:c r="F446" s="115" t="str">
        <x:v>schueler/de_k9_st83_muendlich_kriterien_app.html</x:v>
      </x:c>
      <x:c r="G446" s="115" t="str">
        <x:v>lehrer/de_k9_st83_muendlich_kriterien_orga.html</x:v>
      </x:c>
      <x:c r="H446" s="116" t="str">
        <x:v>de_09_muendlich_083_kriterien.html</x:v>
      </x:c>
    </x:row>
    <x:row r="447" ht="42" customHeight="1">
      <x:c r="A447" s="114" t="n">
        <x:v>9</x:v>
      </x:c>
      <x:c r="B447" s="115" t="n">
        <x:v>84</x:v>
      </x:c>
      <x:c r="C447" s="115" t="str">
        <x:v>Lesen/Umgang mit Texten</x:v>
      </x:c>
      <x:c r="D447" s="115" t="str">
        <x:v>Debatte, Referat und mündliche Prüfung: Darstellungen vergleichen</x:v>
      </x:c>
      <x:c r="E447" s="115" t="str">
        <x:v>de_k9_st84_muendlich_vergleichen</x:v>
      </x:c>
      <x:c r="F447" s="115" t="str">
        <x:v>schueler/de_k9_st84_muendlich_vergleichen_app.html</x:v>
      </x:c>
      <x:c r="G447" s="115" t="str">
        <x:v>lehrer/de_k9_st84_muendlich_vergleichen_orga.html</x:v>
      </x:c>
      <x:c r="H447" s="116" t="str">
        <x:v>de_09_muendlich_084_vergleichen.html</x:v>
      </x:c>
    </x:row>
    <x:row r="448" ht="42" customHeight="1">
      <x:c r="A448" s="114" t="n">
        <x:v>9</x:v>
      </x:c>
      <x:c r="B448" s="115" t="n">
        <x:v>85</x:v>
      </x:c>
      <x:c r="C448" s="115" t="str">
        <x:v>Schreiben</x:v>
      </x:c>
      <x:c r="D448" s="115" t="str">
        <x:v>Debatte, Referat und mündliche Prüfung: Informationen prüfen und ordnen</x:v>
      </x:c>
      <x:c r="E448" s="115" t="str">
        <x:v>de_k9_st85_muendlich_recherche</x:v>
      </x:c>
      <x:c r="F448" s="115" t="str">
        <x:v>schueler/de_k9_st85_muendlich_recherche_app.html</x:v>
      </x:c>
      <x:c r="G448" s="115" t="str">
        <x:v>lehrer/de_k9_st85_muendlich_recherche_orga.html</x:v>
      </x:c>
      <x:c r="H448" s="116" t="str">
        <x:v>de_09_muendlich_085_recherche.html</x:v>
      </x:c>
    </x:row>
    <x:row r="449" ht="42" customHeight="1">
      <x:c r="A449" s="114" t="n">
        <x:v>9</x:v>
      </x:c>
      <x:c r="B449" s="115" t="n">
        <x:v>86</x:v>
      </x:c>
      <x:c r="C449" s="115" t="str">
        <x:v>Schreiben</x:v>
      </x:c>
      <x:c r="D449" s="115" t="str">
        <x:v>Debatte, Referat und mündliche Prüfung: Produkt planen</x:v>
      </x:c>
      <x:c r="E449" s="115" t="str">
        <x:v>de_k9_st86_muendlich_planen</x:v>
      </x:c>
      <x:c r="F449" s="115" t="str">
        <x:v>schueler/de_k9_st86_muendlich_planen_app.html</x:v>
      </x:c>
      <x:c r="G449" s="115" t="str">
        <x:v>lehrer/de_k9_st86_muendlich_planen_orga.html</x:v>
      </x:c>
      <x:c r="H449" s="116" t="str">
        <x:v>de_09_muendlich_086_planen.html</x:v>
      </x:c>
    </x:row>
    <x:row r="450" ht="42" customHeight="1">
      <x:c r="A450" s="114" t="n">
        <x:v>9</x:v>
      </x:c>
      <x:c r="B450" s="115" t="n">
        <x:v>87</x:v>
      </x:c>
      <x:c r="C450" s="115" t="str">
        <x:v>Schreiben</x:v>
      </x:c>
      <x:c r="D450" s="115" t="str">
        <x:v>Debatte, Referat und mündliche Prüfung: Produkt erstellen</x:v>
      </x:c>
      <x:c r="E450" s="115" t="str">
        <x:v>de_k9_st87_muendlich_erstellen</x:v>
      </x:c>
      <x:c r="F450" s="115" t="str">
        <x:v>schueler/de_k9_st87_muendlich_erstellen_app.html</x:v>
      </x:c>
      <x:c r="G450" s="115" t="str">
        <x:v>lehrer/de_k9_st87_muendlich_erstellen_orga.html</x:v>
      </x:c>
      <x:c r="H450" s="116" t="str">
        <x:v>de_09_muendlich_087_erstellen.html</x:v>
      </x:c>
    </x:row>
    <x:row r="451" ht="42" customHeight="1">
      <x:c r="A451" s="114" t="n">
        <x:v>9</x:v>
      </x:c>
      <x:c r="B451" s="115" t="n">
        <x:v>88</x:v>
      </x:c>
      <x:c r="C451" s="115" t="str">
        <x:v>Sprechen und Zuhören</x:v>
      </x:c>
      <x:c r="D451" s="115" t="str">
        <x:v>Debatte, Referat und mündliche Prüfung: Präsentieren und reflektieren</x:v>
      </x:c>
      <x:c r="E451" s="115" t="str">
        <x:v>de_k9_st88_muendlich_reflexion</x:v>
      </x:c>
      <x:c r="F451" s="115" t="str">
        <x:v>schueler/de_k9_st88_muendlich_reflexion_app.html</x:v>
      </x:c>
      <x:c r="G451" s="115" t="str">
        <x:v>lehrer/de_k9_st88_muendlich_reflexion_orga.html</x:v>
      </x:c>
      <x:c r="H451" s="116" t="str">
        <x:v>de_09_muendlich_088_reflexion.html</x:v>
      </x:c>
    </x:row>
    <x:row r="452" ht="42" customHeight="1">
      <x:c r="A452" s="114" t="n">
        <x:v>9</x:v>
      </x:c>
      <x:c r="B452" s="115" t="n">
        <x:v>9</x:v>
      </x:c>
      <x:c r="C452" s="115" t="str">
        <x:v>Sprechen und Zuhören</x:v>
      </x:c>
      <x:c r="D452" s="115" t="str">
        <x:v>Kurzgeschichte und Parabel: Hör- oder Leseeinstieg gestalten</x:v>
      </x:c>
      <x:c r="E452" s="115" t="str">
        <x:v>de_k9_st09_parabel_einstieg</x:v>
      </x:c>
      <x:c r="F452" s="115" t="str">
        <x:v>schueler/de_k9_st09_parabel_einstieg_app.html</x:v>
      </x:c>
      <x:c r="G452" s="115" t="str">
        <x:v>lehrer/de_k9_st09_parabel_einstieg_orga.html</x:v>
      </x:c>
      <x:c r="H452" s="116" t="str">
        <x:v>de_09_parabel_009_einstieg.html</x:v>
      </x:c>
    </x:row>
    <x:row r="453" ht="42" customHeight="1">
      <x:c r="A453" s="114" t="n">
        <x:v>9</x:v>
      </x:c>
      <x:c r="B453" s="115" t="n">
        <x:v>10</x:v>
      </x:c>
      <x:c r="C453" s="115" t="str">
        <x:v>Lesen/Umgang mit Texten</x:v>
      </x:c>
      <x:c r="D453" s="115" t="str">
        <x:v>Kurzgeschichte und Parabel: Den Text mit Lesestrategien erschließen</x:v>
      </x:c>
      <x:c r="E453" s="115" t="str">
        <x:v>de_k9_st10_parabel_erschliessen</x:v>
      </x:c>
      <x:c r="F453" s="115" t="str">
        <x:v>schueler/de_k9_st10_parabel_erschliessen_app.html</x:v>
      </x:c>
      <x:c r="G453" s="115" t="str">
        <x:v>lehrer/de_k9_st10_parabel_erschliessen_orga.html</x:v>
      </x:c>
      <x:c r="H453" s="116" t="str">
        <x:v>de_09_parabel_010_erschliessen.html</x:v>
      </x:c>
    </x:row>
    <x:row r="454" ht="42" customHeight="1">
      <x:c r="A454" s="114" t="n">
        <x:v>9</x:v>
      </x:c>
      <x:c r="B454" s="115" t="n">
        <x:v>11</x:v>
      </x:c>
      <x:c r="C454" s="115" t="str">
        <x:v>Lesen/Umgang mit Texten</x:v>
      </x:c>
      <x:c r="D454" s="115" t="str">
        <x:v>Kurzgeschichte und Parabel: Gattungsmerkmale erkennen</x:v>
      </x:c>
      <x:c r="E454" s="115" t="str">
        <x:v>de_k9_st11_parabel_merkmale</x:v>
      </x:c>
      <x:c r="F454" s="115" t="str">
        <x:v>schueler/de_k9_st11_parabel_merkmale_app.html</x:v>
      </x:c>
      <x:c r="G454" s="115" t="str">
        <x:v>lehrer/de_k9_st11_parabel_merkmale_orga.html</x:v>
      </x:c>
      <x:c r="H454" s="116" t="str">
        <x:v>de_09_parabel_011_merkmale.html</x:v>
      </x:c>
    </x:row>
    <x:row r="455" ht="42" customHeight="1">
      <x:c r="A455" s="114" t="n">
        <x:v>9</x:v>
      </x:c>
      <x:c r="B455" s="115" t="n">
        <x:v>12</x:v>
      </x:c>
      <x:c r="C455" s="115" t="str">
        <x:v>Lesen/Umgang mit Texten</x:v>
      </x:c>
      <x:c r="D455" s="115" t="str">
        <x:v>Kurzgeschichte und Parabel: Figuren, Handlung und Konflikt untersuchen</x:v>
      </x:c>
      <x:c r="E455" s="115" t="str">
        <x:v>de_k9_st12_parabel_figuren_handlung</x:v>
      </x:c>
      <x:c r="F455" s="115" t="str">
        <x:v>schueler/de_k9_st12_parabel_figuren_handlung_app.html</x:v>
      </x:c>
      <x:c r="G455" s="115" t="str">
        <x:v>lehrer/de_k9_st12_parabel_figuren_handlung_orga.html</x:v>
      </x:c>
      <x:c r="H455" s="116" t="str">
        <x:v>de_09_parabel_012_figuren_handlung.html</x:v>
      </x:c>
    </x:row>
    <x:row r="456" ht="42" customHeight="1">
      <x:c r="A456" s="114" t="n">
        <x:v>9</x:v>
      </x:c>
      <x:c r="B456" s="115" t="n">
        <x:v>13</x:v>
      </x:c>
      <x:c r="C456" s="115" t="str">
        <x:v>Sprache untersuchen</x:v>
      </x:c>
      <x:c r="D456" s="115" t="str">
        <x:v>Kurzgeschichte und Parabel: Sprache und Wirkung untersuchen</x:v>
      </x:c>
      <x:c r="E456" s="115" t="str">
        <x:v>de_k9_st13_parabel_sprache_wirkung</x:v>
      </x:c>
      <x:c r="F456" s="115" t="str">
        <x:v>schueler/de_k9_st13_parabel_sprache_wirkung_app.html</x:v>
      </x:c>
      <x:c r="G456" s="115" t="str">
        <x:v>lehrer/de_k9_st13_parabel_sprache_wirkung_orga.html</x:v>
      </x:c>
      <x:c r="H456" s="116" t="str">
        <x:v>de_09_parabel_013_sprache_wirkung.html</x:v>
      </x:c>
    </x:row>
    <x:row r="457" ht="42" customHeight="1">
      <x:c r="A457" s="114" t="n">
        <x:v>9</x:v>
      </x:c>
      <x:c r="B457" s="115" t="n">
        <x:v>14</x:v>
      </x:c>
      <x:c r="C457" s="115" t="str">
        <x:v>Schreiben</x:v>
      </x:c>
      <x:c r="D457" s="115" t="str">
        <x:v>Kurzgeschichte und Parabel: Eine Deutung oder Perspektive vorbereiten</x:v>
      </x:c>
      <x:c r="E457" s="115" t="str">
        <x:v>de_k9_st14_parabel_deutung_planen</x:v>
      </x:c>
      <x:c r="F457" s="115" t="str">
        <x:v>schueler/de_k9_st14_parabel_deutung_planen_app.html</x:v>
      </x:c>
      <x:c r="G457" s="115" t="str">
        <x:v>lehrer/de_k9_st14_parabel_deutung_planen_orga.html</x:v>
      </x:c>
      <x:c r="H457" s="116" t="str">
        <x:v>de_09_parabel_014_deutung_planen.html</x:v>
      </x:c>
    </x:row>
    <x:row r="458" ht="42" customHeight="1">
      <x:c r="A458" s="114" t="n">
        <x:v>9</x:v>
      </x:c>
      <x:c r="B458" s="115" t="n">
        <x:v>15</x:v>
      </x:c>
      <x:c r="C458" s="115" t="str">
        <x:v>Schreiben</x:v>
      </x:c>
      <x:c r="D458" s="115" t="str">
        <x:v>Kurzgeschichte und Parabel: Interpretationsabschnitt gestalten</x:v>
      </x:c>
      <x:c r="E458" s="115" t="str">
        <x:v>de_k9_st15_parabel_produkt</x:v>
      </x:c>
      <x:c r="F458" s="115" t="str">
        <x:v>schueler/de_k9_st15_parabel_produkt_app.html</x:v>
      </x:c>
      <x:c r="G458" s="115" t="str">
        <x:v>lehrer/de_k9_st15_parabel_produkt_orga.html</x:v>
      </x:c>
      <x:c r="H458" s="116" t="str">
        <x:v>de_09_parabel_015_produkt.html</x:v>
      </x:c>
    </x:row>
    <x:row r="459" ht="42" customHeight="1">
      <x:c r="A459" s="114" t="n">
        <x:v>9</x:v>
      </x:c>
      <x:c r="B459" s="115" t="n">
        <x:v>16</x:v>
      </x:c>
      <x:c r="C459" s="115" t="str">
        <x:v>Sprechen und Zuhören</x:v>
      </x:c>
      <x:c r="D459" s="115" t="str">
        <x:v>Kurzgeschichte und Parabel: Ergebnisse präsentieren und reflektieren</x:v>
      </x:c>
      <x:c r="E459" s="115" t="str">
        <x:v>de_k9_st16_parabel_praesentieren</x:v>
      </x:c>
      <x:c r="F459" s="115" t="str">
        <x:v>schueler/de_k9_st16_parabel_praesentieren_app.html</x:v>
      </x:c>
      <x:c r="G459" s="115" t="str">
        <x:v>lehrer/de_k9_st16_parabel_praesentieren_orga.html</x:v>
      </x:c>
      <x:c r="H459" s="116" t="str">
        <x:v>de_09_parabel_016_praesentieren.html</x:v>
      </x:c>
    </x:row>
    <x:row r="460" ht="42" customHeight="1">
      <x:c r="A460" s="114" t="n">
        <x:v>9</x:v>
      </x:c>
      <x:c r="B460" s="115" t="n">
        <x:v>89</x:v>
      </x:c>
      <x:c r="C460" s="115" t="str">
        <x:v>Sprechen und Zuhören</x:v>
      </x:c>
      <x:c r="D460" s="115" t="str">
        <x:v>Prüfungsvorbereitung HSA/RSA: Vorwissen und Positionen klären</x:v>
      </x:c>
      <x:c r="E460" s="115" t="str">
        <x:v>de_k9_st89_pruefung_einstieg</x:v>
      </x:c>
      <x:c r="F460" s="115" t="str">
        <x:v>schueler/de_k9_st89_pruefung_einstieg_app.html</x:v>
      </x:c>
      <x:c r="G460" s="115" t="str">
        <x:v>lehrer/de_k9_st89_pruefung_einstieg_orga.html</x:v>
      </x:c>
      <x:c r="H460" s="116" t="str">
        <x:v>de_09_pruefung_089_einstieg.html</x:v>
      </x:c>
    </x:row>
    <x:row r="461" ht="42" customHeight="1">
      <x:c r="A461" s="114" t="n">
        <x:v>9</x:v>
      </x:c>
      <x:c r="B461" s="115" t="n">
        <x:v>90</x:v>
      </x:c>
      <x:c r="C461" s="115" t="str">
        <x:v>Lesen/Umgang mit Texten</x:v>
      </x:c>
      <x:c r="D461" s="115" t="str">
        <x:v>Prüfungsvorbereitung HSA/RSA: Quellen und Materialien erschließen</x:v>
      </x:c>
      <x:c r="E461" s="115" t="str">
        <x:v>de_k9_st90_pruefung_quellen</x:v>
      </x:c>
      <x:c r="F461" s="115" t="str">
        <x:v>schueler/de_k9_st90_pruefung_quellen_app.html</x:v>
      </x:c>
      <x:c r="G461" s="115" t="str">
        <x:v>lehrer/de_k9_st90_pruefung_quellen_orga.html</x:v>
      </x:c>
      <x:c r="H461" s="116" t="str">
        <x:v>de_09_pruefung_090_quellen.html</x:v>
      </x:c>
    </x:row>
    <x:row r="462" ht="42" customHeight="1">
      <x:c r="A462" s="114" t="n">
        <x:v>9</x:v>
      </x:c>
      <x:c r="B462" s="115" t="n">
        <x:v>91</x:v>
      </x:c>
      <x:c r="C462" s="115" t="str">
        <x:v>Lesen/Umgang mit Texten</x:v>
      </x:c>
      <x:c r="D462" s="115" t="str">
        <x:v>Prüfungsvorbereitung HSA/RSA: Qualitätskriterien anwenden</x:v>
      </x:c>
      <x:c r="E462" s="115" t="str">
        <x:v>de_k9_st91_pruefung_kriterien</x:v>
      </x:c>
      <x:c r="F462" s="115" t="str">
        <x:v>schueler/de_k9_st91_pruefung_kriterien_app.html</x:v>
      </x:c>
      <x:c r="G462" s="115" t="str">
        <x:v>lehrer/de_k9_st91_pruefung_kriterien_orga.html</x:v>
      </x:c>
      <x:c r="H462" s="116" t="str">
        <x:v>de_09_pruefung_091_kriterien.html</x:v>
      </x:c>
    </x:row>
    <x:row r="463" ht="42" customHeight="1">
      <x:c r="A463" s="114" t="n">
        <x:v>9</x:v>
      </x:c>
      <x:c r="B463" s="115" t="n">
        <x:v>92</x:v>
      </x:c>
      <x:c r="C463" s="115" t="str">
        <x:v>Lesen/Umgang mit Texten</x:v>
      </x:c>
      <x:c r="D463" s="115" t="str">
        <x:v>Prüfungsvorbereitung HSA/RSA: Darstellungen vergleichen</x:v>
      </x:c>
      <x:c r="E463" s="115" t="str">
        <x:v>de_k9_st92_pruefung_vergleichen</x:v>
      </x:c>
      <x:c r="F463" s="115" t="str">
        <x:v>schueler/de_k9_st92_pruefung_vergleichen_app.html</x:v>
      </x:c>
      <x:c r="G463" s="115" t="str">
        <x:v>lehrer/de_k9_st92_pruefung_vergleichen_orga.html</x:v>
      </x:c>
      <x:c r="H463" s="116" t="str">
        <x:v>de_09_pruefung_092_vergleichen.html</x:v>
      </x:c>
    </x:row>
    <x:row r="464" ht="42" customHeight="1">
      <x:c r="A464" s="114" t="n">
        <x:v>9</x:v>
      </x:c>
      <x:c r="B464" s="115" t="n">
        <x:v>93</x:v>
      </x:c>
      <x:c r="C464" s="115" t="str">
        <x:v>Schreiben</x:v>
      </x:c>
      <x:c r="D464" s="115" t="str">
        <x:v>Prüfungsvorbereitung HSA/RSA: Informationen prüfen und ordnen</x:v>
      </x:c>
      <x:c r="E464" s="115" t="str">
        <x:v>de_k9_st93_pruefung_recherche</x:v>
      </x:c>
      <x:c r="F464" s="115" t="str">
        <x:v>schueler/de_k9_st93_pruefung_recherche_app.html</x:v>
      </x:c>
      <x:c r="G464" s="115" t="str">
        <x:v>lehrer/de_k9_st93_pruefung_recherche_orga.html</x:v>
      </x:c>
      <x:c r="H464" s="116" t="str">
        <x:v>de_09_pruefung_093_recherche.html</x:v>
      </x:c>
    </x:row>
    <x:row r="465" ht="42" customHeight="1">
      <x:c r="A465" s="114" t="n">
        <x:v>9</x:v>
      </x:c>
      <x:c r="B465" s="115" t="n">
        <x:v>94</x:v>
      </x:c>
      <x:c r="C465" s="115" t="str">
        <x:v>Schreiben</x:v>
      </x:c>
      <x:c r="D465" s="115" t="str">
        <x:v>Prüfungsvorbereitung HSA/RSA: Produkt planen</x:v>
      </x:c>
      <x:c r="E465" s="115" t="str">
        <x:v>de_k9_st94_pruefung_planen</x:v>
      </x:c>
      <x:c r="F465" s="115" t="str">
        <x:v>schueler/de_k9_st94_pruefung_planen_app.html</x:v>
      </x:c>
      <x:c r="G465" s="115" t="str">
        <x:v>lehrer/de_k9_st94_pruefung_planen_orga.html</x:v>
      </x:c>
      <x:c r="H465" s="116" t="str">
        <x:v>de_09_pruefung_094_planen.html</x:v>
      </x:c>
    </x:row>
    <x:row r="466" ht="42" customHeight="1">
      <x:c r="A466" s="114" t="n">
        <x:v>9</x:v>
      </x:c>
      <x:c r="B466" s="115" t="n">
        <x:v>95</x:v>
      </x:c>
      <x:c r="C466" s="115" t="str">
        <x:v>Schreiben</x:v>
      </x:c>
      <x:c r="D466" s="115" t="str">
        <x:v>Prüfungsvorbereitung HSA/RSA: Produkt erstellen</x:v>
      </x:c>
      <x:c r="E466" s="115" t="str">
        <x:v>de_k9_st95_pruefung_erstellen</x:v>
      </x:c>
      <x:c r="F466" s="115" t="str">
        <x:v>schueler/de_k9_st95_pruefung_erstellen_app.html</x:v>
      </x:c>
      <x:c r="G466" s="115" t="str">
        <x:v>lehrer/de_k9_st95_pruefung_erstellen_orga.html</x:v>
      </x:c>
      <x:c r="H466" s="116" t="str">
        <x:v>de_09_pruefung_095_erstellen.html</x:v>
      </x:c>
    </x:row>
    <x:row r="467" ht="42" customHeight="1">
      <x:c r="A467" s="114" t="n">
        <x:v>9</x:v>
      </x:c>
      <x:c r="B467" s="115" t="n">
        <x:v>96</x:v>
      </x:c>
      <x:c r="C467" s="115" t="str">
        <x:v>Sprechen und Zuhören</x:v>
      </x:c>
      <x:c r="D467" s="115" t="str">
        <x:v>Prüfungsvorbereitung HSA/RSA: Präsentieren und reflektieren</x:v>
      </x:c>
      <x:c r="E467" s="115" t="str">
        <x:v>de_k9_st96_pruefung_reflexion</x:v>
      </x:c>
      <x:c r="F467" s="115" t="str">
        <x:v>schueler/de_k9_st96_pruefung_reflexion_app.html</x:v>
      </x:c>
      <x:c r="G467" s="115" t="str">
        <x:v>lehrer/de_k9_st96_pruefung_reflexion_orga.html</x:v>
      </x:c>
      <x:c r="H467" s="116" t="str">
        <x:v>de_09_pruefung_096_reflexion.html</x:v>
      </x:c>
    </x:row>
    <x:row r="468" ht="42" customHeight="1">
      <x:c r="A468" s="114" t="n">
        <x:v>9</x:v>
      </x:c>
      <x:c r="B468" s="115" t="n">
        <x:v>73</x:v>
      </x:c>
      <x:c r="C468" s="115" t="str">
        <x:v>Sprechen und Zuhören</x:v>
      </x:c>
      <x:c r="D468" s="115" t="str">
        <x:v>Sachtexte, Diagramme und Exzerpte: Vorwissen und Positionen klären</x:v>
      </x:c>
      <x:c r="E468" s="115" t="str">
        <x:v>de_k9_st73_sachtexte_einstieg</x:v>
      </x:c>
      <x:c r="F468" s="115" t="str">
        <x:v>schueler/de_k9_st73_sachtexte_einstieg_app.html</x:v>
      </x:c>
      <x:c r="G468" s="115" t="str">
        <x:v>lehrer/de_k9_st73_sachtexte_einstieg_orga.html</x:v>
      </x:c>
      <x:c r="H468" s="116" t="str">
        <x:v>de_09_sachtexte_073_einstieg.html</x:v>
      </x:c>
    </x:row>
    <x:row r="469" ht="42" customHeight="1">
      <x:c r="A469" s="114" t="n">
        <x:v>9</x:v>
      </x:c>
      <x:c r="B469" s="115" t="n">
        <x:v>74</x:v>
      </x:c>
      <x:c r="C469" s="115" t="str">
        <x:v>Lesen/Umgang mit Texten</x:v>
      </x:c>
      <x:c r="D469" s="115" t="str">
        <x:v>Sachtexte, Diagramme und Exzerpte: Quellen und Materialien erschließen</x:v>
      </x:c>
      <x:c r="E469" s="115" t="str">
        <x:v>de_k9_st74_sachtexte_quellen</x:v>
      </x:c>
      <x:c r="F469" s="115" t="str">
        <x:v>schueler/de_k9_st74_sachtexte_quellen_app.html</x:v>
      </x:c>
      <x:c r="G469" s="115" t="str">
        <x:v>lehrer/de_k9_st74_sachtexte_quellen_orga.html</x:v>
      </x:c>
      <x:c r="H469" s="116" t="str">
        <x:v>de_09_sachtexte_074_quellen.html</x:v>
      </x:c>
    </x:row>
    <x:row r="470" ht="42" customHeight="1">
      <x:c r="A470" s="114" t="n">
        <x:v>9</x:v>
      </x:c>
      <x:c r="B470" s="115" t="n">
        <x:v>75</x:v>
      </x:c>
      <x:c r="C470" s="115" t="str">
        <x:v>Lesen/Umgang mit Texten</x:v>
      </x:c>
      <x:c r="D470" s="115" t="str">
        <x:v>Sachtexte, Diagramme und Exzerpte: Qualitätskriterien anwenden</x:v>
      </x:c>
      <x:c r="E470" s="115" t="str">
        <x:v>de_k9_st75_sachtexte_kriterien</x:v>
      </x:c>
      <x:c r="F470" s="115" t="str">
        <x:v>schueler/de_k9_st75_sachtexte_kriterien_app.html</x:v>
      </x:c>
      <x:c r="G470" s="115" t="str">
        <x:v>lehrer/de_k9_st75_sachtexte_kriterien_orga.html</x:v>
      </x:c>
      <x:c r="H470" s="116" t="str">
        <x:v>de_09_sachtexte_075_kriterien.html</x:v>
      </x:c>
    </x:row>
    <x:row r="471" ht="42" customHeight="1">
      <x:c r="A471" s="114" t="n">
        <x:v>9</x:v>
      </x:c>
      <x:c r="B471" s="115" t="n">
        <x:v>76</x:v>
      </x:c>
      <x:c r="C471" s="115" t="str">
        <x:v>Lesen/Umgang mit Texten</x:v>
      </x:c>
      <x:c r="D471" s="115" t="str">
        <x:v>Sachtexte, Diagramme und Exzerpte: Darstellungen vergleichen</x:v>
      </x:c>
      <x:c r="E471" s="115" t="str">
        <x:v>de_k9_st76_sachtexte_vergleichen</x:v>
      </x:c>
      <x:c r="F471" s="115" t="str">
        <x:v>schueler/de_k9_st76_sachtexte_vergleichen_app.html</x:v>
      </x:c>
      <x:c r="G471" s="115" t="str">
        <x:v>lehrer/de_k9_st76_sachtexte_vergleichen_orga.html</x:v>
      </x:c>
      <x:c r="H471" s="116" t="str">
        <x:v>de_09_sachtexte_076_vergleichen.html</x:v>
      </x:c>
    </x:row>
    <x:row r="472" ht="42" customHeight="1">
      <x:c r="A472" s="114" t="n">
        <x:v>9</x:v>
      </x:c>
      <x:c r="B472" s="115" t="n">
        <x:v>77</x:v>
      </x:c>
      <x:c r="C472" s="115" t="str">
        <x:v>Schreiben</x:v>
      </x:c>
      <x:c r="D472" s="115" t="str">
        <x:v>Sachtexte, Diagramme und Exzerpte: Informationen prüfen und ordnen</x:v>
      </x:c>
      <x:c r="E472" s="115" t="str">
        <x:v>de_k9_st77_sachtexte_recherche</x:v>
      </x:c>
      <x:c r="F472" s="115" t="str">
        <x:v>schueler/de_k9_st77_sachtexte_recherche_app.html</x:v>
      </x:c>
      <x:c r="G472" s="115" t="str">
        <x:v>lehrer/de_k9_st77_sachtexte_recherche_orga.html</x:v>
      </x:c>
      <x:c r="H472" s="116" t="str">
        <x:v>de_09_sachtexte_077_recherche.html</x:v>
      </x:c>
    </x:row>
    <x:row r="473" ht="42" customHeight="1">
      <x:c r="A473" s="114" t="n">
        <x:v>9</x:v>
      </x:c>
      <x:c r="B473" s="115" t="n">
        <x:v>78</x:v>
      </x:c>
      <x:c r="C473" s="115" t="str">
        <x:v>Schreiben</x:v>
      </x:c>
      <x:c r="D473" s="115" t="str">
        <x:v>Sachtexte, Diagramme und Exzerpte: Produkt planen</x:v>
      </x:c>
      <x:c r="E473" s="115" t="str">
        <x:v>de_k9_st78_sachtexte_planen</x:v>
      </x:c>
      <x:c r="F473" s="115" t="str">
        <x:v>schueler/de_k9_st78_sachtexte_planen_app.html</x:v>
      </x:c>
      <x:c r="G473" s="115" t="str">
        <x:v>lehrer/de_k9_st78_sachtexte_planen_orga.html</x:v>
      </x:c>
      <x:c r="H473" s="116" t="str">
        <x:v>de_09_sachtexte_078_planen.html</x:v>
      </x:c>
    </x:row>
    <x:row r="474" ht="42" customHeight="1">
      <x:c r="A474" s="114" t="n">
        <x:v>9</x:v>
      </x:c>
      <x:c r="B474" s="115" t="n">
        <x:v>79</x:v>
      </x:c>
      <x:c r="C474" s="115" t="str">
        <x:v>Schreiben</x:v>
      </x:c>
      <x:c r="D474" s="115" t="str">
        <x:v>Sachtexte, Diagramme und Exzerpte: Produkt erstellen</x:v>
      </x:c>
      <x:c r="E474" s="115" t="str">
        <x:v>de_k9_st79_sachtexte_erstellen</x:v>
      </x:c>
      <x:c r="F474" s="115" t="str">
        <x:v>schueler/de_k9_st79_sachtexte_erstellen_app.html</x:v>
      </x:c>
      <x:c r="G474" s="115" t="str">
        <x:v>lehrer/de_k9_st79_sachtexte_erstellen_orga.html</x:v>
      </x:c>
      <x:c r="H474" s="116" t="str">
        <x:v>de_09_sachtexte_079_erstellen.html</x:v>
      </x:c>
    </x:row>
    <x:row r="475" ht="42" customHeight="1">
      <x:c r="A475" s="114" t="n">
        <x:v>9</x:v>
      </x:c>
      <x:c r="B475" s="115" t="n">
        <x:v>80</x:v>
      </x:c>
      <x:c r="C475" s="115" t="str">
        <x:v>Sprechen und Zuhören</x:v>
      </x:c>
      <x:c r="D475" s="115" t="str">
        <x:v>Sachtexte, Diagramme und Exzerpte: Präsentieren und reflektieren</x:v>
      </x:c>
      <x:c r="E475" s="115" t="str">
        <x:v>de_k9_st80_sachtexte_reflexion</x:v>
      </x:c>
      <x:c r="F475" s="115" t="str">
        <x:v>schueler/de_k9_st80_sachtexte_reflexion_app.html</x:v>
      </x:c>
      <x:c r="G475" s="115" t="str">
        <x:v>lehrer/de_k9_st80_sachtexte_reflexion_orga.html</x:v>
      </x:c>
      <x:c r="H475" s="116" t="str">
        <x:v>de_09_sachtexte_080_reflexion.html</x:v>
      </x:c>
    </x:row>
    <x:row r="476" ht="42" customHeight="1">
      <x:c r="A476" s="114" t="n">
        <x:v>9</x:v>
      </x:c>
      <x:c r="B476" s="115" t="n">
        <x:v>49</x:v>
      </x:c>
      <x:c r="C476" s="115" t="str">
        <x:v>Sprache untersuchen</x:v>
      </x:c>
      <x:c r="D476" s="115" t="str">
        <x:v>Grammatik, Stil und Zeichensetzung: Lernstand feststellen</x:v>
      </x:c>
      <x:c r="E476" s="115" t="str">
        <x:v>de_k9_st49_sprache_diagnose</x:v>
      </x:c>
      <x:c r="F476" s="115" t="str">
        <x:v>schueler/de_k9_st49_sprache_diagnose_app.html</x:v>
      </x:c>
      <x:c r="G476" s="115" t="str">
        <x:v>lehrer/de_k9_st49_sprache_diagnose_orga.html</x:v>
      </x:c>
      <x:c r="H476" s="116" t="str">
        <x:v>de_09_sprache_049_diagnose.html</x:v>
      </x:c>
    </x:row>
    <x:row r="477" ht="42" customHeight="1">
      <x:c r="A477" s="114" t="n">
        <x:v>9</x:v>
      </x:c>
      <x:c r="B477" s="115" t="n">
        <x:v>50</x:v>
      </x:c>
      <x:c r="C477" s="115" t="str">
        <x:v>Sprache untersuchen</x:v>
      </x:c>
      <x:c r="D477" s="115" t="str">
        <x:v>Grammatik, Stil und Zeichensetzung: Grundbegriffe sichern</x:v>
      </x:c>
      <x:c r="E477" s="115" t="str">
        <x:v>de_k9_st50_sprache_grundbegriffe</x:v>
      </x:c>
      <x:c r="F477" s="115" t="str">
        <x:v>schueler/de_k9_st50_sprache_grundbegriffe_app.html</x:v>
      </x:c>
      <x:c r="G477" s="115" t="str">
        <x:v>lehrer/de_k9_st50_sprache_grundbegriffe_orga.html</x:v>
      </x:c>
      <x:c r="H477" s="116" t="str">
        <x:v>de_09_sprache_050_grundbegriffe.html</x:v>
      </x:c>
    </x:row>
    <x:row r="478" ht="42" customHeight="1">
      <x:c r="A478" s="114" t="n">
        <x:v>9</x:v>
      </x:c>
      <x:c r="B478" s="115" t="n">
        <x:v>51</x:v>
      </x:c>
      <x:c r="C478" s="115" t="str">
        <x:v>Sprache untersuchen</x:v>
      </x:c>
      <x:c r="D478" s="115" t="str">
        <x:v>Grammatik, Stil und Zeichensetzung: Verfahren anwenden</x:v>
      </x:c>
      <x:c r="E478" s="115" t="str">
        <x:v>de_k9_st51_sprache_verfahren</x:v>
      </x:c>
      <x:c r="F478" s="115" t="str">
        <x:v>schueler/de_k9_st51_sprache_verfahren_app.html</x:v>
      </x:c>
      <x:c r="G478" s="115" t="str">
        <x:v>lehrer/de_k9_st51_sprache_verfahren_orga.html</x:v>
      </x:c>
      <x:c r="H478" s="116" t="str">
        <x:v>de_09_sprache_051_verfahren.html</x:v>
      </x:c>
    </x:row>
    <x:row r="479" ht="42" customHeight="1">
      <x:c r="A479" s="114" t="n">
        <x:v>9</x:v>
      </x:c>
      <x:c r="B479" s="115" t="n">
        <x:v>52</x:v>
      </x:c>
      <x:c r="C479" s="115" t="str">
        <x:v>Sprache untersuchen</x:v>
      </x:c>
      <x:c r="D479" s="115" t="str">
        <x:v>Grammatik, Stil und Zeichensetzung: Formen und Funktionen untersuchen</x:v>
      </x:c>
      <x:c r="E479" s="115" t="str">
        <x:v>de_k9_st52_sprache_funktion</x:v>
      </x:c>
      <x:c r="F479" s="115" t="str">
        <x:v>schueler/de_k9_st52_sprache_funktion_app.html</x:v>
      </x:c>
      <x:c r="G479" s="115" t="str">
        <x:v>lehrer/de_k9_st52_sprache_funktion_orga.html</x:v>
      </x:c>
      <x:c r="H479" s="116" t="str">
        <x:v>de_09_sprache_052_funktion.html</x:v>
      </x:c>
    </x:row>
    <x:row r="480" ht="42" customHeight="1">
      <x:c r="A480" s="114" t="n">
        <x:v>9</x:v>
      </x:c>
      <x:c r="B480" s="115" t="n">
        <x:v>53</x:v>
      </x:c>
      <x:c r="C480" s="115" t="str">
        <x:v>Schreiben</x:v>
      </x:c>
      <x:c r="D480" s="115" t="str">
        <x:v>Grammatik, Stil und Zeichensetzung: Wissen im eigenen Text nutzen</x:v>
      </x:c>
      <x:c r="E480" s="115" t="str">
        <x:v>de_k9_st53_sprache_anwenden</x:v>
      </x:c>
      <x:c r="F480" s="115" t="str">
        <x:v>schueler/de_k9_st53_sprache_anwenden_app.html</x:v>
      </x:c>
      <x:c r="G480" s="115" t="str">
        <x:v>lehrer/de_k9_st53_sprache_anwenden_orga.html</x:v>
      </x:c>
      <x:c r="H480" s="116" t="str">
        <x:v>de_09_sprache_053_anwenden.html</x:v>
      </x:c>
    </x:row>
    <x:row r="481" ht="42" customHeight="1">
      <x:c r="A481" s="114" t="n">
        <x:v>9</x:v>
      </x:c>
      <x:c r="B481" s="115" t="n">
        <x:v>54</x:v>
      </x:c>
      <x:c r="C481" s="115" t="str">
        <x:v>Sprache untersuchen</x:v>
      </x:c>
      <x:c r="D481" s="115" t="str">
        <x:v>Grammatik, Stil und Zeichensetzung: Fehler finden und korrigieren</x:v>
      </x:c>
      <x:c r="E481" s="115" t="str">
        <x:v>de_k9_st54_sprache_fehler</x:v>
      </x:c>
      <x:c r="F481" s="115" t="str">
        <x:v>schueler/de_k9_st54_sprache_fehler_app.html</x:v>
      </x:c>
      <x:c r="G481" s="115" t="str">
        <x:v>lehrer/de_k9_st54_sprache_fehler_orga.html</x:v>
      </x:c>
      <x:c r="H481" s="116" t="str">
        <x:v>de_09_sprache_054_fehler.html</x:v>
      </x:c>
    </x:row>
    <x:row r="482" ht="42" customHeight="1">
      <x:c r="A482" s="114" t="n">
        <x:v>9</x:v>
      </x:c>
      <x:c r="B482" s="115" t="n">
        <x:v>55</x:v>
      </x:c>
      <x:c r="C482" s="115" t="str">
        <x:v>Sprache untersuchen</x:v>
      </x:c>
      <x:c r="D482" s="115" t="str">
        <x:v>Grammatik, Stil und Zeichensetzung: Transfer auf unbekannte Beispiele</x:v>
      </x:c>
      <x:c r="E482" s="115" t="str">
        <x:v>de_k9_st55_sprache_transfer</x:v>
      </x:c>
      <x:c r="F482" s="115" t="str">
        <x:v>schueler/de_k9_st55_sprache_transfer_app.html</x:v>
      </x:c>
      <x:c r="G482" s="115" t="str">
        <x:v>lehrer/de_k9_st55_sprache_transfer_orga.html</x:v>
      </x:c>
      <x:c r="H482" s="116" t="str">
        <x:v>de_09_sprache_055_transfer.html</x:v>
      </x:c>
    </x:row>
    <x:row r="483" ht="42" customHeight="1">
      <x:c r="A483" s="114" t="n">
        <x:v>9</x:v>
      </x:c>
      <x:c r="B483" s="115" t="n">
        <x:v>56</x:v>
      </x:c>
      <x:c r="C483" s="115" t="str">
        <x:v>Schreiben</x:v>
      </x:c>
      <x:c r="D483" s="115" t="str">
        <x:v>Grammatik, Stil und Zeichensetzung: Lernprodukt und Kompetenzcheck</x:v>
      </x:c>
      <x:c r="E483" s="115" t="str">
        <x:v>de_k9_st56_sprache_kompetenzcheck</x:v>
      </x:c>
      <x:c r="F483" s="115" t="str">
        <x:v>schueler/de_k9_st56_sprache_kompetenzcheck_app.html</x:v>
      </x:c>
      <x:c r="G483" s="115" t="str">
        <x:v>lehrer/de_k9_st56_sprache_kompetenzcheck_orga.html</x:v>
      </x:c>
      <x:c r="H483" s="116" t="str">
        <x:v>de_09_sprache_056_kompetenzcheck.html</x:v>
      </x:c>
    </x:row>
    <x:row r="484" ht="42" customHeight="1">
      <x:c r="A484" s="114" t="n">
        <x:v>10</x:v>
      </x:c>
      <x:c r="B484" s="115" t="n">
        <x:v>89</x:v>
      </x:c>
      <x:c r="C484" s="115" t="str">
        <x:v>Sprechen und Zuhören</x:v>
      </x:c>
      <x:c r="D484" s="115" t="str">
        <x:v>Abschlussportfolio und Präsentation: Vorwissen und Positionen klären</x:v>
      </x:c>
      <x:c r="E484" s="115" t="str">
        <x:v>de_k10_st89_abschluss_einstieg</x:v>
      </x:c>
      <x:c r="F484" s="115" t="str">
        <x:v>schueler/de_k10_st89_abschluss_einstieg_app.html</x:v>
      </x:c>
      <x:c r="G484" s="115" t="str">
        <x:v>lehrer/de_k10_st89_abschluss_einstieg_orga.html</x:v>
      </x:c>
      <x:c r="H484" s="116" t="str">
        <x:v>de_10_abschluss_089_einstieg.html</x:v>
      </x:c>
    </x:row>
    <x:row r="485" ht="42" customHeight="1">
      <x:c r="A485" s="114" t="n">
        <x:v>10</x:v>
      </x:c>
      <x:c r="B485" s="115" t="n">
        <x:v>90</x:v>
      </x:c>
      <x:c r="C485" s="115" t="str">
        <x:v>Lesen/Umgang mit Texten</x:v>
      </x:c>
      <x:c r="D485" s="115" t="str">
        <x:v>Abschlussportfolio und Präsentation: Quellen und Materialien erschließen</x:v>
      </x:c>
      <x:c r="E485" s="115" t="str">
        <x:v>de_k10_st90_abschluss_quellen</x:v>
      </x:c>
      <x:c r="F485" s="115" t="str">
        <x:v>schueler/de_k10_st90_abschluss_quellen_app.html</x:v>
      </x:c>
      <x:c r="G485" s="115" t="str">
        <x:v>lehrer/de_k10_st90_abschluss_quellen_orga.html</x:v>
      </x:c>
      <x:c r="H485" s="116" t="str">
        <x:v>de_10_abschluss_090_quellen.html</x:v>
      </x:c>
    </x:row>
    <x:row r="486" ht="42" customHeight="1">
      <x:c r="A486" s="114" t="n">
        <x:v>10</x:v>
      </x:c>
      <x:c r="B486" s="115" t="n">
        <x:v>91</x:v>
      </x:c>
      <x:c r="C486" s="115" t="str">
        <x:v>Lesen/Umgang mit Texten</x:v>
      </x:c>
      <x:c r="D486" s="115" t="str">
        <x:v>Abschlussportfolio und Präsentation: Qualitätskriterien anwenden</x:v>
      </x:c>
      <x:c r="E486" s="115" t="str">
        <x:v>de_k10_st91_abschluss_kriterien</x:v>
      </x:c>
      <x:c r="F486" s="115" t="str">
        <x:v>schueler/de_k10_st91_abschluss_kriterien_app.html</x:v>
      </x:c>
      <x:c r="G486" s="115" t="str">
        <x:v>lehrer/de_k10_st91_abschluss_kriterien_orga.html</x:v>
      </x:c>
      <x:c r="H486" s="116" t="str">
        <x:v>de_10_abschluss_091_kriterien.html</x:v>
      </x:c>
    </x:row>
    <x:row r="487" ht="42" customHeight="1">
      <x:c r="A487" s="114" t="n">
        <x:v>10</x:v>
      </x:c>
      <x:c r="B487" s="115" t="n">
        <x:v>92</x:v>
      </x:c>
      <x:c r="C487" s="115" t="str">
        <x:v>Lesen/Umgang mit Texten</x:v>
      </x:c>
      <x:c r="D487" s="115" t="str">
        <x:v>Abschlussportfolio und Präsentation: Darstellungen vergleichen</x:v>
      </x:c>
      <x:c r="E487" s="115" t="str">
        <x:v>de_k10_st92_abschluss_vergleichen</x:v>
      </x:c>
      <x:c r="F487" s="115" t="str">
        <x:v>schueler/de_k10_st92_abschluss_vergleichen_app.html</x:v>
      </x:c>
      <x:c r="G487" s="115" t="str">
        <x:v>lehrer/de_k10_st92_abschluss_vergleichen_orga.html</x:v>
      </x:c>
      <x:c r="H487" s="116" t="str">
        <x:v>de_10_abschluss_092_vergleichen.html</x:v>
      </x:c>
    </x:row>
    <x:row r="488" ht="42" customHeight="1">
      <x:c r="A488" s="114" t="n">
        <x:v>10</x:v>
      </x:c>
      <x:c r="B488" s="115" t="n">
        <x:v>93</x:v>
      </x:c>
      <x:c r="C488" s="115" t="str">
        <x:v>Schreiben</x:v>
      </x:c>
      <x:c r="D488" s="115" t="str">
        <x:v>Abschlussportfolio und Präsentation: Informationen prüfen und ordnen</x:v>
      </x:c>
      <x:c r="E488" s="115" t="str">
        <x:v>de_k10_st93_abschluss_recherche</x:v>
      </x:c>
      <x:c r="F488" s="115" t="str">
        <x:v>schueler/de_k10_st93_abschluss_recherche_app.html</x:v>
      </x:c>
      <x:c r="G488" s="115" t="str">
        <x:v>lehrer/de_k10_st93_abschluss_recherche_orga.html</x:v>
      </x:c>
      <x:c r="H488" s="116" t="str">
        <x:v>de_10_abschluss_093_recherche.html</x:v>
      </x:c>
    </x:row>
    <x:row r="489" ht="42" customHeight="1">
      <x:c r="A489" s="114" t="n">
        <x:v>10</x:v>
      </x:c>
      <x:c r="B489" s="115" t="n">
        <x:v>94</x:v>
      </x:c>
      <x:c r="C489" s="115" t="str">
        <x:v>Schreiben</x:v>
      </x:c>
      <x:c r="D489" s="115" t="str">
        <x:v>Abschlussportfolio und Präsentation: Produkt planen</x:v>
      </x:c>
      <x:c r="E489" s="115" t="str">
        <x:v>de_k10_st94_abschluss_planen</x:v>
      </x:c>
      <x:c r="F489" s="115" t="str">
        <x:v>schueler/de_k10_st94_abschluss_planen_app.html</x:v>
      </x:c>
      <x:c r="G489" s="115" t="str">
        <x:v>lehrer/de_k10_st94_abschluss_planen_orga.html</x:v>
      </x:c>
      <x:c r="H489" s="116" t="str">
        <x:v>de_10_abschluss_094_planen.html</x:v>
      </x:c>
    </x:row>
    <x:row r="490" ht="42" customHeight="1">
      <x:c r="A490" s="114" t="n">
        <x:v>10</x:v>
      </x:c>
      <x:c r="B490" s="115" t="n">
        <x:v>95</x:v>
      </x:c>
      <x:c r="C490" s="115" t="str">
        <x:v>Schreiben</x:v>
      </x:c>
      <x:c r="D490" s="115" t="str">
        <x:v>Abschlussportfolio und Präsentation: Produkt erstellen</x:v>
      </x:c>
      <x:c r="E490" s="115" t="str">
        <x:v>de_k10_st95_abschluss_erstellen</x:v>
      </x:c>
      <x:c r="F490" s="115" t="str">
        <x:v>schueler/de_k10_st95_abschluss_erstellen_app.html</x:v>
      </x:c>
      <x:c r="G490" s="115" t="str">
        <x:v>lehrer/de_k10_st95_abschluss_erstellen_orga.html</x:v>
      </x:c>
      <x:c r="H490" s="116" t="str">
        <x:v>de_10_abschluss_095_erstellen.html</x:v>
      </x:c>
    </x:row>
    <x:row r="491" ht="42" customHeight="1">
      <x:c r="A491" s="114" t="n">
        <x:v>10</x:v>
      </x:c>
      <x:c r="B491" s="115" t="n">
        <x:v>96</x:v>
      </x:c>
      <x:c r="C491" s="115" t="str">
        <x:v>Sprechen und Zuhören</x:v>
      </x:c>
      <x:c r="D491" s="115" t="str">
        <x:v>Abschlussportfolio und Präsentation: Präsentieren und reflektieren</x:v>
      </x:c>
      <x:c r="E491" s="115" t="str">
        <x:v>de_k10_st96_abschluss_reflexion</x:v>
      </x:c>
      <x:c r="F491" s="115" t="str">
        <x:v>schueler/de_k10_st96_abschluss_reflexion_app.html</x:v>
      </x:c>
      <x:c r="G491" s="115" t="str">
        <x:v>lehrer/de_k10_st96_abschluss_reflexion_orga.html</x:v>
      </x:c>
      <x:c r="H491" s="116" t="str">
        <x:v>de_10_abschluss_096_reflexion.html</x:v>
      </x:c>
    </x:row>
    <x:row r="492" ht="42" customHeight="1">
      <x:c r="A492" s="114" t="n">
        <x:v>10</x:v>
      </x:c>
      <x:c r="B492" s="115" t="n">
        <x:v>65</x:v>
      </x:c>
      <x:c r="C492" s="115" t="str">
        <x:v>Lesen/Umgang mit Texten</x:v>
      </x:c>
      <x:c r="D492" s="115" t="str">
        <x:v>Berufliche Kommunikation: Beispieltexte untersuchen</x:v>
      </x:c>
      <x:c r="E492" s="115" t="str">
        <x:v>de_k10_st65_beruf_beispiel</x:v>
      </x:c>
      <x:c r="F492" s="115" t="str">
        <x:v>schueler/de_k10_st65_beruf_beispiel_app.html</x:v>
      </x:c>
      <x:c r="G492" s="115" t="str">
        <x:v>lehrer/de_k10_st65_beruf_beispiel_orga.html</x:v>
      </x:c>
      <x:c r="H492" s="116" t="str">
        <x:v>de_10_beruf_065_beispiel.html</x:v>
      </x:c>
    </x:row>
    <x:row r="493" ht="42" customHeight="1">
      <x:c r="A493" s="114" t="n">
        <x:v>10</x:v>
      </x:c>
      <x:c r="B493" s="115" t="n">
        <x:v>66</x:v>
      </x:c>
      <x:c r="C493" s="115" t="str">
        <x:v>Schreiben</x:v>
      </x:c>
      <x:c r="D493" s="115" t="str">
        <x:v>Berufliche Kommunikation: Schreibziel und Kriterien klären</x:v>
      </x:c>
      <x:c r="E493" s="115" t="str">
        <x:v>de_k10_st66_beruf_kriterien</x:v>
      </x:c>
      <x:c r="F493" s="115" t="str">
        <x:v>schueler/de_k10_st66_beruf_kriterien_app.html</x:v>
      </x:c>
      <x:c r="G493" s="115" t="str">
        <x:v>lehrer/de_k10_st66_beruf_kriterien_orga.html</x:v>
      </x:c>
      <x:c r="H493" s="116" t="str">
        <x:v>de_10_beruf_066_kriterien.html</x:v>
      </x:c>
    </x:row>
    <x:row r="494" ht="42" customHeight="1">
      <x:c r="A494" s="114" t="n">
        <x:v>10</x:v>
      </x:c>
      <x:c r="B494" s="115" t="n">
        <x:v>67</x:v>
      </x:c>
      <x:c r="C494" s="115" t="str">
        <x:v>Lesen/Umgang mit Texten</x:v>
      </x:c>
      <x:c r="D494" s="115" t="str">
        <x:v>Berufliche Kommunikation: Inhalte auswählen und ordnen</x:v>
      </x:c>
      <x:c r="E494" s="115" t="str">
        <x:v>de_k10_st67_beruf_inhalte_ordnen</x:v>
      </x:c>
      <x:c r="F494" s="115" t="str">
        <x:v>schueler/de_k10_st67_beruf_inhalte_ordnen_app.html</x:v>
      </x:c>
      <x:c r="G494" s="115" t="str">
        <x:v>lehrer/de_k10_st67_beruf_inhalte_ordnen_orga.html</x:v>
      </x:c>
      <x:c r="H494" s="116" t="str">
        <x:v>de_10_beruf_067_inhalte_ordnen.html</x:v>
      </x:c>
    </x:row>
    <x:row r="495" ht="42" customHeight="1">
      <x:c r="A495" s="114" t="n">
        <x:v>10</x:v>
      </x:c>
      <x:c r="B495" s="115" t="n">
        <x:v>68</x:v>
      </x:c>
      <x:c r="C495" s="115" t="str">
        <x:v>Sprache untersuchen</x:v>
      </x:c>
      <x:c r="D495" s="115" t="str">
        <x:v>Berufliche Kommunikation: Passende sprachliche Mittel verwenden</x:v>
      </x:c>
      <x:c r="E495" s="115" t="str">
        <x:v>de_k10_st68_beruf_sprachmittel</x:v>
      </x:c>
      <x:c r="F495" s="115" t="str">
        <x:v>schueler/de_k10_st68_beruf_sprachmittel_app.html</x:v>
      </x:c>
      <x:c r="G495" s="115" t="str">
        <x:v>lehrer/de_k10_st68_beruf_sprachmittel_orga.html</x:v>
      </x:c>
      <x:c r="H495" s="116" t="str">
        <x:v>de_10_beruf_068_sprachmittel.html</x:v>
      </x:c>
    </x:row>
    <x:row r="496" ht="42" customHeight="1">
      <x:c r="A496" s="114" t="n">
        <x:v>10</x:v>
      </x:c>
      <x:c r="B496" s="115" t="n">
        <x:v>69</x:v>
      </x:c>
      <x:c r="C496" s="115" t="str">
        <x:v>Schreiben</x:v>
      </x:c>
      <x:c r="D496" s="115" t="str">
        <x:v>Berufliche Kommunikation: Einen Schreibplan erstellen</x:v>
      </x:c>
      <x:c r="E496" s="115" t="str">
        <x:v>de_k10_st69_beruf_schreibplan</x:v>
      </x:c>
      <x:c r="F496" s="115" t="str">
        <x:v>schueler/de_k10_st69_beruf_schreibplan_app.html</x:v>
      </x:c>
      <x:c r="G496" s="115" t="str">
        <x:v>lehrer/de_k10_st69_beruf_schreibplan_orga.html</x:v>
      </x:c>
      <x:c r="H496" s="116" t="str">
        <x:v>de_10_beruf_069_schreibplan.html</x:v>
      </x:c>
    </x:row>
    <x:row r="497" ht="42" customHeight="1">
      <x:c r="A497" s="114" t="n">
        <x:v>10</x:v>
      </x:c>
      <x:c r="B497" s="115" t="n">
        <x:v>70</x:v>
      </x:c>
      <x:c r="C497" s="115" t="str">
        <x:v>Schreiben</x:v>
      </x:c>
      <x:c r="D497" s="115" t="str">
        <x:v>Berufliche Kommunikation: Einen ersten Textentwurf verfassen</x:v>
      </x:c>
      <x:c r="E497" s="115" t="str">
        <x:v>de_k10_st70_beruf_entwurf</x:v>
      </x:c>
      <x:c r="F497" s="115" t="str">
        <x:v>schueler/de_k10_st70_beruf_entwurf_app.html</x:v>
      </x:c>
      <x:c r="G497" s="115" t="str">
        <x:v>lehrer/de_k10_st70_beruf_entwurf_orga.html</x:v>
      </x:c>
      <x:c r="H497" s="116" t="str">
        <x:v>de_10_beruf_070_entwurf.html</x:v>
      </x:c>
    </x:row>
    <x:row r="498" ht="42" customHeight="1">
      <x:c r="A498" s="114" t="n">
        <x:v>10</x:v>
      </x:c>
      <x:c r="B498" s="115" t="n">
        <x:v>71</x:v>
      </x:c>
      <x:c r="C498" s="115" t="str">
        <x:v>Schreiben</x:v>
      </x:c>
      <x:c r="D498" s="115" t="str">
        <x:v>Berufliche Kommunikation: Text kriteriengeleitet überarbeiten</x:v>
      </x:c>
      <x:c r="E498" s="115" t="str">
        <x:v>de_k10_st71_beruf_ueberarbeiten</x:v>
      </x:c>
      <x:c r="F498" s="115" t="str">
        <x:v>schueler/de_k10_st71_beruf_ueberarbeiten_app.html</x:v>
      </x:c>
      <x:c r="G498" s="115" t="str">
        <x:v>lehrer/de_k10_st71_beruf_ueberarbeiten_orga.html</x:v>
      </x:c>
      <x:c r="H498" s="116" t="str">
        <x:v>de_10_beruf_071_ueberarbeiten.html</x:v>
      </x:c>
    </x:row>
    <x:row r="499" ht="42" customHeight="1">
      <x:c r="A499" s="114" t="n">
        <x:v>10</x:v>
      </x:c>
      <x:c r="B499" s="115" t="n">
        <x:v>72</x:v>
      </x:c>
      <x:c r="C499" s="115" t="str">
        <x:v>Sprechen und Zuhören</x:v>
      </x:c>
      <x:c r="D499" s="115" t="str">
        <x:v>Berufliche Kommunikation: Texte vorstellen und bewerten</x:v>
      </x:c>
      <x:c r="E499" s="115" t="str">
        <x:v>de_k10_st72_beruf_vorstellen</x:v>
      </x:c>
      <x:c r="F499" s="115" t="str">
        <x:v>schueler/de_k10_st72_beruf_vorstellen_app.html</x:v>
      </x:c>
      <x:c r="G499" s="115" t="str">
        <x:v>lehrer/de_k10_st72_beruf_vorstellen_orga.html</x:v>
      </x:c>
      <x:c r="H499" s="116" t="str">
        <x:v>de_10_beruf_072_vorstellen.html</x:v>
      </x:c>
    </x:row>
    <x:row r="500" ht="42" customHeight="1">
      <x:c r="A500" s="114" t="n">
        <x:v>10</x:v>
      </x:c>
      <x:c r="B500" s="115" t="n">
        <x:v>1</x:v>
      </x:c>
      <x:c r="C500" s="115" t="str">
        <x:v>Sprechen und Zuhören</x:v>
      </x:c>
      <x:c r="D500" s="115" t="str">
        <x:v>Diagnose und Prüfungsstrategie: Vorwissen und Positionen klären</x:v>
      </x:c>
      <x:c r="E500" s="115" t="str">
        <x:v>de_k10_st01_diagnose_einstieg</x:v>
      </x:c>
      <x:c r="F500" s="115" t="str">
        <x:v>schueler/de_k10_st01_diagnose_einstieg_app.html</x:v>
      </x:c>
      <x:c r="G500" s="115" t="str">
        <x:v>lehrer/de_k10_st01_diagnose_einstieg_orga.html</x:v>
      </x:c>
      <x:c r="H500" s="116" t="str">
        <x:v>de_10_diagnose_001_einstieg.html</x:v>
      </x:c>
    </x:row>
    <x:row r="501" ht="42" customHeight="1">
      <x:c r="A501" s="114" t="n">
        <x:v>10</x:v>
      </x:c>
      <x:c r="B501" s="115" t="n">
        <x:v>2</x:v>
      </x:c>
      <x:c r="C501" s="115" t="str">
        <x:v>Lesen/Umgang mit Texten</x:v>
      </x:c>
      <x:c r="D501" s="115" t="str">
        <x:v>Diagnose und Prüfungsstrategie: Quellen und Materialien erschließen</x:v>
      </x:c>
      <x:c r="E501" s="115" t="str">
        <x:v>de_k10_st02_diagnose_quellen</x:v>
      </x:c>
      <x:c r="F501" s="115" t="str">
        <x:v>schueler/de_k10_st02_diagnose_quellen_app.html</x:v>
      </x:c>
      <x:c r="G501" s="115" t="str">
        <x:v>lehrer/de_k10_st02_diagnose_quellen_orga.html</x:v>
      </x:c>
      <x:c r="H501" s="116" t="str">
        <x:v>de_10_diagnose_002_quellen.html</x:v>
      </x:c>
    </x:row>
    <x:row r="502" ht="42" customHeight="1">
      <x:c r="A502" s="114" t="n">
        <x:v>10</x:v>
      </x:c>
      <x:c r="B502" s="115" t="n">
        <x:v>3</x:v>
      </x:c>
      <x:c r="C502" s="115" t="str">
        <x:v>Lesen/Umgang mit Texten</x:v>
      </x:c>
      <x:c r="D502" s="115" t="str">
        <x:v>Diagnose und Prüfungsstrategie: Qualitätskriterien anwenden</x:v>
      </x:c>
      <x:c r="E502" s="115" t="str">
        <x:v>de_k10_st03_diagnose_kriterien</x:v>
      </x:c>
      <x:c r="F502" s="115" t="str">
        <x:v>schueler/de_k10_st03_diagnose_kriterien_app.html</x:v>
      </x:c>
      <x:c r="G502" s="115" t="str">
        <x:v>lehrer/de_k10_st03_diagnose_kriterien_orga.html</x:v>
      </x:c>
      <x:c r="H502" s="116" t="str">
        <x:v>de_10_diagnose_003_kriterien.html</x:v>
      </x:c>
    </x:row>
    <x:row r="503" ht="42" customHeight="1">
      <x:c r="A503" s="114" t="n">
        <x:v>10</x:v>
      </x:c>
      <x:c r="B503" s="115" t="n">
        <x:v>4</x:v>
      </x:c>
      <x:c r="C503" s="115" t="str">
        <x:v>Lesen/Umgang mit Texten</x:v>
      </x:c>
      <x:c r="D503" s="115" t="str">
        <x:v>Diagnose und Prüfungsstrategie: Darstellungen vergleichen</x:v>
      </x:c>
      <x:c r="E503" s="115" t="str">
        <x:v>de_k10_st04_diagnose_vergleichen</x:v>
      </x:c>
      <x:c r="F503" s="115" t="str">
        <x:v>schueler/de_k10_st04_diagnose_vergleichen_app.html</x:v>
      </x:c>
      <x:c r="G503" s="115" t="str">
        <x:v>lehrer/de_k10_st04_diagnose_vergleichen_orga.html</x:v>
      </x:c>
      <x:c r="H503" s="116" t="str">
        <x:v>de_10_diagnose_004_vergleichen.html</x:v>
      </x:c>
    </x:row>
    <x:row r="504" ht="42" customHeight="1">
      <x:c r="A504" s="114" t="n">
        <x:v>10</x:v>
      </x:c>
      <x:c r="B504" s="115" t="n">
        <x:v>5</x:v>
      </x:c>
      <x:c r="C504" s="115" t="str">
        <x:v>Schreiben</x:v>
      </x:c>
      <x:c r="D504" s="115" t="str">
        <x:v>Diagnose und Prüfungsstrategie: Informationen prüfen und ordnen</x:v>
      </x:c>
      <x:c r="E504" s="115" t="str">
        <x:v>de_k10_st05_diagnose_recherche</x:v>
      </x:c>
      <x:c r="F504" s="115" t="str">
        <x:v>schueler/de_k10_st05_diagnose_recherche_app.html</x:v>
      </x:c>
      <x:c r="G504" s="115" t="str">
        <x:v>lehrer/de_k10_st05_diagnose_recherche_orga.html</x:v>
      </x:c>
      <x:c r="H504" s="116" t="str">
        <x:v>de_10_diagnose_005_recherche.html</x:v>
      </x:c>
    </x:row>
    <x:row r="505" ht="42" customHeight="1">
      <x:c r="A505" s="114" t="n">
        <x:v>10</x:v>
      </x:c>
      <x:c r="B505" s="115" t="n">
        <x:v>6</x:v>
      </x:c>
      <x:c r="C505" s="115" t="str">
        <x:v>Schreiben</x:v>
      </x:c>
      <x:c r="D505" s="115" t="str">
        <x:v>Diagnose und Prüfungsstrategie: Produkt planen</x:v>
      </x:c>
      <x:c r="E505" s="115" t="str">
        <x:v>de_k10_st06_diagnose_planen</x:v>
      </x:c>
      <x:c r="F505" s="115" t="str">
        <x:v>schueler/de_k10_st06_diagnose_planen_app.html</x:v>
      </x:c>
      <x:c r="G505" s="115" t="str">
        <x:v>lehrer/de_k10_st06_diagnose_planen_orga.html</x:v>
      </x:c>
      <x:c r="H505" s="116" t="str">
        <x:v>de_10_diagnose_006_planen.html</x:v>
      </x:c>
    </x:row>
    <x:row r="506" ht="42" customHeight="1">
      <x:c r="A506" s="114" t="n">
        <x:v>10</x:v>
      </x:c>
      <x:c r="B506" s="115" t="n">
        <x:v>7</x:v>
      </x:c>
      <x:c r="C506" s="115" t="str">
        <x:v>Schreiben</x:v>
      </x:c>
      <x:c r="D506" s="115" t="str">
        <x:v>Diagnose und Prüfungsstrategie: Produkt erstellen</x:v>
      </x:c>
      <x:c r="E506" s="115" t="str">
        <x:v>de_k10_st07_diagnose_erstellen</x:v>
      </x:c>
      <x:c r="F506" s="115" t="str">
        <x:v>schueler/de_k10_st07_diagnose_erstellen_app.html</x:v>
      </x:c>
      <x:c r="G506" s="115" t="str">
        <x:v>lehrer/de_k10_st07_diagnose_erstellen_orga.html</x:v>
      </x:c>
      <x:c r="H506" s="116" t="str">
        <x:v>de_10_diagnose_007_erstellen.html</x:v>
      </x:c>
    </x:row>
    <x:row r="507" ht="42" customHeight="1">
      <x:c r="A507" s="114" t="n">
        <x:v>10</x:v>
      </x:c>
      <x:c r="B507" s="115" t="n">
        <x:v>8</x:v>
      </x:c>
      <x:c r="C507" s="115" t="str">
        <x:v>Sprechen und Zuhören</x:v>
      </x:c>
      <x:c r="D507" s="115" t="str">
        <x:v>Diagnose und Prüfungsstrategie: Präsentieren und reflektieren</x:v>
      </x:c>
      <x:c r="E507" s="115" t="str">
        <x:v>de_k10_st08_diagnose_reflexion</x:v>
      </x:c>
      <x:c r="F507" s="115" t="str">
        <x:v>schueler/de_k10_st08_diagnose_reflexion_app.html</x:v>
      </x:c>
      <x:c r="G507" s="115" t="str">
        <x:v>lehrer/de_k10_st08_diagnose_reflexion_orga.html</x:v>
      </x:c>
      <x:c r="H507" s="116" t="str">
        <x:v>de_10_diagnose_008_reflexion.html</x:v>
      </x:c>
    </x:row>
    <x:row r="508" ht="42" customHeight="1">
      <x:c r="A508" s="114" t="n">
        <x:v>10</x:v>
      </x:c>
      <x:c r="B508" s="115" t="n">
        <x:v>9</x:v>
      </x:c>
      <x:c r="C508" s="115" t="str">
        <x:v>Sprechen und Zuhören</x:v>
      </x:c>
      <x:c r="D508" s="115" t="str">
        <x:v>Klassisches Drama: Hör- oder Leseeinstieg gestalten</x:v>
      </x:c>
      <x:c r="E508" s="115" t="str">
        <x:v>de_k10_st09_drama_klassik_einstieg</x:v>
      </x:c>
      <x:c r="F508" s="115" t="str">
        <x:v>schueler/de_k10_st09_drama_klassik_einstieg_app.html</x:v>
      </x:c>
      <x:c r="G508" s="115" t="str">
        <x:v>lehrer/de_k10_st09_drama_klassik_einstieg_orga.html</x:v>
      </x:c>
      <x:c r="H508" s="116" t="str">
        <x:v>de_10_drama_klassik_009_einstieg.html</x:v>
      </x:c>
    </x:row>
    <x:row r="509" ht="42" customHeight="1">
      <x:c r="A509" s="114" t="n">
        <x:v>10</x:v>
      </x:c>
      <x:c r="B509" s="115" t="n">
        <x:v>10</x:v>
      </x:c>
      <x:c r="C509" s="115" t="str">
        <x:v>Lesen/Umgang mit Texten</x:v>
      </x:c>
      <x:c r="D509" s="115" t="str">
        <x:v>Klassisches Drama: Den Text mit Lesestrategien erschließen</x:v>
      </x:c>
      <x:c r="E509" s="115" t="str">
        <x:v>de_k10_st10_drama_klassik_erschliessen</x:v>
      </x:c>
      <x:c r="F509" s="115" t="str">
        <x:v>schueler/de_k10_st10_drama_klassik_erschliessen_app.html</x:v>
      </x:c>
      <x:c r="G509" s="115" t="str">
        <x:v>lehrer/de_k10_st10_drama_klassik_erschliessen_orga.html</x:v>
      </x:c>
      <x:c r="H509" s="116" t="str">
        <x:v>de_10_drama_klassik_010_erschliessen.html</x:v>
      </x:c>
    </x:row>
    <x:row r="510" ht="42" customHeight="1">
      <x:c r="A510" s="114" t="n">
        <x:v>10</x:v>
      </x:c>
      <x:c r="B510" s="115" t="n">
        <x:v>11</x:v>
      </x:c>
      <x:c r="C510" s="115" t="str">
        <x:v>Lesen/Umgang mit Texten</x:v>
      </x:c>
      <x:c r="D510" s="115" t="str">
        <x:v>Klassisches Drama: Gattungsmerkmale erkennen</x:v>
      </x:c>
      <x:c r="E510" s="115" t="str">
        <x:v>de_k10_st11_drama_klassik_merkmale</x:v>
      </x:c>
      <x:c r="F510" s="115" t="str">
        <x:v>schueler/de_k10_st11_drama_klassik_merkmale_app.html</x:v>
      </x:c>
      <x:c r="G510" s="115" t="str">
        <x:v>lehrer/de_k10_st11_drama_klassik_merkmale_orga.html</x:v>
      </x:c>
      <x:c r="H510" s="116" t="str">
        <x:v>de_10_drama_klassik_011_merkmale.html</x:v>
      </x:c>
    </x:row>
    <x:row r="511" ht="42" customHeight="1">
      <x:c r="A511" s="114" t="n">
        <x:v>10</x:v>
      </x:c>
      <x:c r="B511" s="115" t="n">
        <x:v>12</x:v>
      </x:c>
      <x:c r="C511" s="115" t="str">
        <x:v>Lesen/Umgang mit Texten</x:v>
      </x:c>
      <x:c r="D511" s="115" t="str">
        <x:v>Klassisches Drama: Figuren, Handlung und Konflikt untersuchen</x:v>
      </x:c>
      <x:c r="E511" s="115" t="str">
        <x:v>de_k10_st12_drama_klassik_figuren_handlung</x:v>
      </x:c>
      <x:c r="F511" s="115" t="str">
        <x:v>schueler/de_k10_st12_drama_klassik_figuren_handlung_app.html</x:v>
      </x:c>
      <x:c r="G511" s="115" t="str">
        <x:v>lehrer/de_k10_st12_drama_klassik_figuren_handlung_orga.html</x:v>
      </x:c>
      <x:c r="H511" s="116" t="str">
        <x:v>de_10_drama_klassik_012_figuren_handlung.html</x:v>
      </x:c>
    </x:row>
    <x:row r="512" ht="42" customHeight="1">
      <x:c r="A512" s="114" t="n">
        <x:v>10</x:v>
      </x:c>
      <x:c r="B512" s="115" t="n">
        <x:v>13</x:v>
      </x:c>
      <x:c r="C512" s="115" t="str">
        <x:v>Sprache untersuchen</x:v>
      </x:c>
      <x:c r="D512" s="115" t="str">
        <x:v>Klassisches Drama: Sprache und Wirkung untersuchen</x:v>
      </x:c>
      <x:c r="E512" s="115" t="str">
        <x:v>de_k10_st13_drama_klassik_sprache_wirkung</x:v>
      </x:c>
      <x:c r="F512" s="115" t="str">
        <x:v>schueler/de_k10_st13_drama_klassik_sprache_wirkung_app.html</x:v>
      </x:c>
      <x:c r="G512" s="115" t="str">
        <x:v>lehrer/de_k10_st13_drama_klassik_sprache_wirkung_orga.html</x:v>
      </x:c>
      <x:c r="H512" s="116" t="str">
        <x:v>de_10_drama_klassik_013_sprache_wirkung.html</x:v>
      </x:c>
    </x:row>
    <x:row r="513" ht="42" customHeight="1">
      <x:c r="A513" s="114" t="n">
        <x:v>10</x:v>
      </x:c>
      <x:c r="B513" s="115" t="n">
        <x:v>14</x:v>
      </x:c>
      <x:c r="C513" s="115" t="str">
        <x:v>Schreiben</x:v>
      </x:c>
      <x:c r="D513" s="115" t="str">
        <x:v>Klassisches Drama: Eine Deutung oder Perspektive vorbereiten</x:v>
      </x:c>
      <x:c r="E513" s="115" t="str">
        <x:v>de_k10_st14_drama_klassik_deutung_planen</x:v>
      </x:c>
      <x:c r="F513" s="115" t="str">
        <x:v>schueler/de_k10_st14_drama_klassik_deutung_planen_app.html</x:v>
      </x:c>
      <x:c r="G513" s="115" t="str">
        <x:v>lehrer/de_k10_st14_drama_klassik_deutung_planen_orga.html</x:v>
      </x:c>
      <x:c r="H513" s="116" t="str">
        <x:v>de_10_drama_klassik_014_deutung_planen.html</x:v>
      </x:c>
    </x:row>
    <x:row r="514" ht="42" customHeight="1">
      <x:c r="A514" s="114" t="n">
        <x:v>10</x:v>
      </x:c>
      <x:c r="B514" s="115" t="n">
        <x:v>15</x:v>
      </x:c>
      <x:c r="C514" s="115" t="str">
        <x:v>Schreiben</x:v>
      </x:c>
      <x:c r="D514" s="115" t="str">
        <x:v>Klassisches Drama: Szenenanalyse gestalten</x:v>
      </x:c>
      <x:c r="E514" s="115" t="str">
        <x:v>de_k10_st15_drama_klassik_produkt</x:v>
      </x:c>
      <x:c r="F514" s="115" t="str">
        <x:v>schueler/de_k10_st15_drama_klassik_produkt_app.html</x:v>
      </x:c>
      <x:c r="G514" s="115" t="str">
        <x:v>lehrer/de_k10_st15_drama_klassik_produkt_orga.html</x:v>
      </x:c>
      <x:c r="H514" s="116" t="str">
        <x:v>de_10_drama_klassik_015_produkt.html</x:v>
      </x:c>
    </x:row>
    <x:row r="515" ht="42" customHeight="1">
      <x:c r="A515" s="114" t="n">
        <x:v>10</x:v>
      </x:c>
      <x:c r="B515" s="115" t="n">
        <x:v>16</x:v>
      </x:c>
      <x:c r="C515" s="115" t="str">
        <x:v>Sprechen und Zuhören</x:v>
      </x:c>
      <x:c r="D515" s="115" t="str">
        <x:v>Klassisches Drama: Ergebnisse präsentieren und reflektieren</x:v>
      </x:c>
      <x:c r="E515" s="115" t="str">
        <x:v>de_k10_st16_drama_klassik_praesentieren</x:v>
      </x:c>
      <x:c r="F515" s="115" t="str">
        <x:v>schueler/de_k10_st16_drama_klassik_praesentieren_app.html</x:v>
      </x:c>
      <x:c r="G515" s="115" t="str">
        <x:v>lehrer/de_k10_st16_drama_klassik_praesentieren_orga.html</x:v>
      </x:c>
      <x:c r="H515" s="116" t="str">
        <x:v>de_10_drama_klassik_016_praesentieren.html</x:v>
      </x:c>
    </x:row>
    <x:row r="516" ht="42" customHeight="1">
      <x:c r="A516" s="114" t="n">
        <x:v>10</x:v>
      </x:c>
      <x:c r="B516" s="115" t="n">
        <x:v>17</x:v>
      </x:c>
      <x:c r="C516" s="115" t="str">
        <x:v>Sprechen und Zuhören</x:v>
      </x:c>
      <x:c r="D516" s="115" t="str">
        <x:v>Modernes oder episches Drama: Hör- oder Leseeinstieg gestalten</x:v>
      </x:c>
      <x:c r="E516" s="115" t="str">
        <x:v>de_k10_st17_drama_modern_einstieg</x:v>
      </x:c>
      <x:c r="F516" s="115" t="str">
        <x:v>schueler/de_k10_st17_drama_modern_einstieg_app.html</x:v>
      </x:c>
      <x:c r="G516" s="115" t="str">
        <x:v>lehrer/de_k10_st17_drama_modern_einstieg_orga.html</x:v>
      </x:c>
      <x:c r="H516" s="116" t="str">
        <x:v>de_10_drama_modern_017_einstieg.html</x:v>
      </x:c>
    </x:row>
    <x:row r="517" ht="42" customHeight="1">
      <x:c r="A517" s="114" t="n">
        <x:v>10</x:v>
      </x:c>
      <x:c r="B517" s="115" t="n">
        <x:v>18</x:v>
      </x:c>
      <x:c r="C517" s="115" t="str">
        <x:v>Lesen/Umgang mit Texten</x:v>
      </x:c>
      <x:c r="D517" s="115" t="str">
        <x:v>Modernes oder episches Drama: Den Text mit Lesestrategien erschließen</x:v>
      </x:c>
      <x:c r="E517" s="115" t="str">
        <x:v>de_k10_st18_drama_modern_erschliessen</x:v>
      </x:c>
      <x:c r="F517" s="115" t="str">
        <x:v>schueler/de_k10_st18_drama_modern_erschliessen_app.html</x:v>
      </x:c>
      <x:c r="G517" s="115" t="str">
        <x:v>lehrer/de_k10_st18_drama_modern_erschliessen_orga.html</x:v>
      </x:c>
      <x:c r="H517" s="116" t="str">
        <x:v>de_10_drama_modern_018_erschliessen.html</x:v>
      </x:c>
    </x:row>
    <x:row r="518" ht="42" customHeight="1">
      <x:c r="A518" s="114" t="n">
        <x:v>10</x:v>
      </x:c>
      <x:c r="B518" s="115" t="n">
        <x:v>19</x:v>
      </x:c>
      <x:c r="C518" s="115" t="str">
        <x:v>Lesen/Umgang mit Texten</x:v>
      </x:c>
      <x:c r="D518" s="115" t="str">
        <x:v>Modernes oder episches Drama: Gattungsmerkmale erkennen</x:v>
      </x:c>
      <x:c r="E518" s="115" t="str">
        <x:v>de_k10_st19_drama_modern_merkmale</x:v>
      </x:c>
      <x:c r="F518" s="115" t="str">
        <x:v>schueler/de_k10_st19_drama_modern_merkmale_app.html</x:v>
      </x:c>
      <x:c r="G518" s="115" t="str">
        <x:v>lehrer/de_k10_st19_drama_modern_merkmale_orga.html</x:v>
      </x:c>
      <x:c r="H518" s="116" t="str">
        <x:v>de_10_drama_modern_019_merkmale.html</x:v>
      </x:c>
    </x:row>
    <x:row r="519" ht="42" customHeight="1">
      <x:c r="A519" s="114" t="n">
        <x:v>10</x:v>
      </x:c>
      <x:c r="B519" s="115" t="n">
        <x:v>20</x:v>
      </x:c>
      <x:c r="C519" s="115" t="str">
        <x:v>Lesen/Umgang mit Texten</x:v>
      </x:c>
      <x:c r="D519" s="115" t="str">
        <x:v>Modernes oder episches Drama: Figuren, Handlung und Konflikt untersuchen</x:v>
      </x:c>
      <x:c r="E519" s="115" t="str">
        <x:v>de_k10_st20_drama_modern_figuren_handlung</x:v>
      </x:c>
      <x:c r="F519" s="115" t="str">
        <x:v>schueler/de_k10_st20_drama_modern_figuren_handlung_app.html</x:v>
      </x:c>
      <x:c r="G519" s="115" t="str">
        <x:v>lehrer/de_k10_st20_drama_modern_figuren_handlung_orga.html</x:v>
      </x:c>
      <x:c r="H519" s="116" t="str">
        <x:v>de_10_drama_modern_020_figuren_handlung.html</x:v>
      </x:c>
    </x:row>
    <x:row r="520" ht="42" customHeight="1">
      <x:c r="A520" s="114" t="n">
        <x:v>10</x:v>
      </x:c>
      <x:c r="B520" s="115" t="n">
        <x:v>21</x:v>
      </x:c>
      <x:c r="C520" s="115" t="str">
        <x:v>Sprache untersuchen</x:v>
      </x:c>
      <x:c r="D520" s="115" t="str">
        <x:v>Modernes oder episches Drama: Sprache und Wirkung untersuchen</x:v>
      </x:c>
      <x:c r="E520" s="115" t="str">
        <x:v>de_k10_st21_drama_modern_sprache_wirkung</x:v>
      </x:c>
      <x:c r="F520" s="115" t="str">
        <x:v>schueler/de_k10_st21_drama_modern_sprache_wirkung_app.html</x:v>
      </x:c>
      <x:c r="G520" s="115" t="str">
        <x:v>lehrer/de_k10_st21_drama_modern_sprache_wirkung_orga.html</x:v>
      </x:c>
      <x:c r="H520" s="116" t="str">
        <x:v>de_10_drama_modern_021_sprache_wirkung.html</x:v>
      </x:c>
    </x:row>
    <x:row r="521" ht="42" customHeight="1">
      <x:c r="A521" s="114" t="n">
        <x:v>10</x:v>
      </x:c>
      <x:c r="B521" s="115" t="n">
        <x:v>22</x:v>
      </x:c>
      <x:c r="C521" s="115" t="str">
        <x:v>Schreiben</x:v>
      </x:c>
      <x:c r="D521" s="115" t="str">
        <x:v>Modernes oder episches Drama: Eine Deutung oder Perspektive vorbereiten</x:v>
      </x:c>
      <x:c r="E521" s="115" t="str">
        <x:v>de_k10_st22_drama_modern_deutung_planen</x:v>
      </x:c>
      <x:c r="F521" s="115" t="str">
        <x:v>schueler/de_k10_st22_drama_modern_deutung_planen_app.html</x:v>
      </x:c>
      <x:c r="G521" s="115" t="str">
        <x:v>lehrer/de_k10_st22_drama_modern_deutung_planen_orga.html</x:v>
      </x:c>
      <x:c r="H521" s="116" t="str">
        <x:v>de_10_drama_modern_022_deutung_planen.html</x:v>
      </x:c>
    </x:row>
    <x:row r="522" ht="42" customHeight="1">
      <x:c r="A522" s="114" t="n">
        <x:v>10</x:v>
      </x:c>
      <x:c r="B522" s="115" t="n">
        <x:v>23</x:v>
      </x:c>
      <x:c r="C522" s="115" t="str">
        <x:v>Schreiben</x:v>
      </x:c>
      <x:c r="D522" s="115" t="str">
        <x:v>Modernes oder episches Drama: Inszenierungsvergleich gestalten</x:v>
      </x:c>
      <x:c r="E522" s="115" t="str">
        <x:v>de_k10_st23_drama_modern_produkt</x:v>
      </x:c>
      <x:c r="F522" s="115" t="str">
        <x:v>schueler/de_k10_st23_drama_modern_produkt_app.html</x:v>
      </x:c>
      <x:c r="G522" s="115" t="str">
        <x:v>lehrer/de_k10_st23_drama_modern_produkt_orga.html</x:v>
      </x:c>
      <x:c r="H522" s="116" t="str">
        <x:v>de_10_drama_modern_023_produkt.html</x:v>
      </x:c>
    </x:row>
    <x:row r="523" ht="42" customHeight="1">
      <x:c r="A523" s="114" t="n">
        <x:v>10</x:v>
      </x:c>
      <x:c r="B523" s="115" t="n">
        <x:v>24</x:v>
      </x:c>
      <x:c r="C523" s="115" t="str">
        <x:v>Sprechen und Zuhören</x:v>
      </x:c>
      <x:c r="D523" s="115" t="str">
        <x:v>Modernes oder episches Drama: Ergebnisse präsentieren und reflektieren</x:v>
      </x:c>
      <x:c r="E523" s="115" t="str">
        <x:v>de_k10_st24_drama_modern_praesentieren</x:v>
      </x:c>
      <x:c r="F523" s="115" t="str">
        <x:v>schueler/de_k10_st24_drama_modern_praesentieren_app.html</x:v>
      </x:c>
      <x:c r="G523" s="115" t="str">
        <x:v>lehrer/de_k10_st24_drama_modern_praesentieren_orga.html</x:v>
      </x:c>
      <x:c r="H523" s="116" t="str">
        <x:v>de_10_drama_modern_024_praesentieren.html</x:v>
      </x:c>
    </x:row>
    <x:row r="524" ht="42" customHeight="1">
      <x:c r="A524" s="114" t="n">
        <x:v>10</x:v>
      </x:c>
      <x:c r="B524" s="115" t="n">
        <x:v>25</x:v>
      </x:c>
      <x:c r="C524" s="115" t="str">
        <x:v>Lesen/Umgang mit Texten</x:v>
      </x:c>
      <x:c r="D524" s="115" t="str">
        <x:v>Dialektisch erörtern: Beispieltexte untersuchen</x:v>
      </x:c>
      <x:c r="E524" s="115" t="str">
        <x:v>de_k10_st25_eroerterung_dialektisch_beispiel</x:v>
      </x:c>
      <x:c r="F524" s="115" t="str">
        <x:v>schueler/de_k10_st25_eroerterung_dialektisch_beispiel_app.html</x:v>
      </x:c>
      <x:c r="G524" s="115" t="str">
        <x:v>lehrer/de_k10_st25_eroerterung_dialektisch_beispiel_orga.html</x:v>
      </x:c>
      <x:c r="H524" s="116" t="str">
        <x:v>de_10_eroerterung_dialektisch_025_beispiel.html</x:v>
      </x:c>
    </x:row>
    <x:row r="525" ht="42" customHeight="1">
      <x:c r="A525" s="114" t="n">
        <x:v>10</x:v>
      </x:c>
      <x:c r="B525" s="115" t="n">
        <x:v>26</x:v>
      </x:c>
      <x:c r="C525" s="115" t="str">
        <x:v>Schreiben</x:v>
      </x:c>
      <x:c r="D525" s="115" t="str">
        <x:v>Dialektisch erörtern: Schreibziel und Kriterien klären</x:v>
      </x:c>
      <x:c r="E525" s="115" t="str">
        <x:v>de_k10_st26_eroerterung_dialektisch_kriterien</x:v>
      </x:c>
      <x:c r="F525" s="115" t="str">
        <x:v>schueler/de_k10_st26_eroerterung_dialektisch_kriterien_app.html</x:v>
      </x:c>
      <x:c r="G525" s="115" t="str">
        <x:v>lehrer/de_k10_st26_eroerterung_dialektisch_kriterien_orga.html</x:v>
      </x:c>
      <x:c r="H525" s="116" t="str">
        <x:v>de_10_eroerterung_dialektisch_026_kriterien.html</x:v>
      </x:c>
    </x:row>
    <x:row r="526" ht="42" customHeight="1">
      <x:c r="A526" s="114" t="n">
        <x:v>10</x:v>
      </x:c>
      <x:c r="B526" s="115" t="n">
        <x:v>27</x:v>
      </x:c>
      <x:c r="C526" s="115" t="str">
        <x:v>Lesen/Umgang mit Texten</x:v>
      </x:c>
      <x:c r="D526" s="115" t="str">
        <x:v>Dialektisch erörtern: Inhalte auswählen und ordnen</x:v>
      </x:c>
      <x:c r="E526" s="115" t="str">
        <x:v>de_k10_st27_eroerterung_dialektisch_inhalte_ordnen</x:v>
      </x:c>
      <x:c r="F526" s="115" t="str">
        <x:v>schueler/de_k10_st27_eroerterung_dialektisch_inhalte_ordnen_app.html</x:v>
      </x:c>
      <x:c r="G526" s="115" t="str">
        <x:v>lehrer/de_k10_st27_eroerterung_dialektisch_inhalte_ordnen_orga.html</x:v>
      </x:c>
      <x:c r="H526" s="116" t="str">
        <x:v>de_10_eroerterung_dialektisch_027_inhalte_ordnen.html</x:v>
      </x:c>
    </x:row>
    <x:row r="527" ht="42" customHeight="1">
      <x:c r="A527" s="114" t="n">
        <x:v>10</x:v>
      </x:c>
      <x:c r="B527" s="115" t="n">
        <x:v>28</x:v>
      </x:c>
      <x:c r="C527" s="115" t="str">
        <x:v>Sprache untersuchen</x:v>
      </x:c>
      <x:c r="D527" s="115" t="str">
        <x:v>Dialektisch erörtern: Passende sprachliche Mittel verwenden</x:v>
      </x:c>
      <x:c r="E527" s="115" t="str">
        <x:v>de_k10_st28_eroerterung_dialektisch_sprachmittel</x:v>
      </x:c>
      <x:c r="F527" s="115" t="str">
        <x:v>schueler/de_k10_st28_eroerterung_dialektisch_sprachmittel_app.html</x:v>
      </x:c>
      <x:c r="G527" s="115" t="str">
        <x:v>lehrer/de_k10_st28_eroerterung_dialektisch_sprachmittel_orga.html</x:v>
      </x:c>
      <x:c r="H527" s="116" t="str">
        <x:v>de_10_eroerterung_dialektisch_028_sprachmittel.html</x:v>
      </x:c>
    </x:row>
    <x:row r="528" ht="42" customHeight="1">
      <x:c r="A528" s="114" t="n">
        <x:v>10</x:v>
      </x:c>
      <x:c r="B528" s="115" t="n">
        <x:v>29</x:v>
      </x:c>
      <x:c r="C528" s="115" t="str">
        <x:v>Schreiben</x:v>
      </x:c>
      <x:c r="D528" s="115" t="str">
        <x:v>Dialektisch erörtern: Einen Schreibplan erstellen</x:v>
      </x:c>
      <x:c r="E528" s="115" t="str">
        <x:v>de_k10_st29_eroerterung_dialektisch_schreibplan</x:v>
      </x:c>
      <x:c r="F528" s="115" t="str">
        <x:v>schueler/de_k10_st29_eroerterung_dialektisch_schreibplan_app.html</x:v>
      </x:c>
      <x:c r="G528" s="115" t="str">
        <x:v>lehrer/de_k10_st29_eroerterung_dialektisch_schreibplan_orga.html</x:v>
      </x:c>
      <x:c r="H528" s="116" t="str">
        <x:v>de_10_eroerterung_dialektisch_029_schreibplan.html</x:v>
      </x:c>
    </x:row>
    <x:row r="529" ht="42" customHeight="1">
      <x:c r="A529" s="114" t="n">
        <x:v>10</x:v>
      </x:c>
      <x:c r="B529" s="115" t="n">
        <x:v>30</x:v>
      </x:c>
      <x:c r="C529" s="115" t="str">
        <x:v>Schreiben</x:v>
      </x:c>
      <x:c r="D529" s="115" t="str">
        <x:v>Dialektisch erörtern: Einen ersten Textentwurf verfassen</x:v>
      </x:c>
      <x:c r="E529" s="115" t="str">
        <x:v>de_k10_st30_eroerterung_dialektisch_entwurf</x:v>
      </x:c>
      <x:c r="F529" s="115" t="str">
        <x:v>schueler/de_k10_st30_eroerterung_dialektisch_entwurf_app.html</x:v>
      </x:c>
      <x:c r="G529" s="115" t="str">
        <x:v>lehrer/de_k10_st30_eroerterung_dialektisch_entwurf_orga.html</x:v>
      </x:c>
      <x:c r="H529" s="116" t="str">
        <x:v>de_10_eroerterung_dialektisch_030_entwurf.html</x:v>
      </x:c>
    </x:row>
    <x:row r="530" ht="42" customHeight="1">
      <x:c r="A530" s="114" t="n">
        <x:v>10</x:v>
      </x:c>
      <x:c r="B530" s="115" t="n">
        <x:v>31</x:v>
      </x:c>
      <x:c r="C530" s="115" t="str">
        <x:v>Schreiben</x:v>
      </x:c>
      <x:c r="D530" s="115" t="str">
        <x:v>Dialektisch erörtern: Text kriteriengeleitet überarbeiten</x:v>
      </x:c>
      <x:c r="E530" s="115" t="str">
        <x:v>de_k10_st31_eroerterung_dialektisch_ueberarbeiten</x:v>
      </x:c>
      <x:c r="F530" s="115" t="str">
        <x:v>schueler/de_k10_st31_eroerterung_dialektisch_ueberarbeiten_app.html</x:v>
      </x:c>
      <x:c r="G530" s="115" t="str">
        <x:v>lehrer/de_k10_st31_eroerterung_dialektisch_ueberarbeiten_orga.html</x:v>
      </x:c>
      <x:c r="H530" s="116" t="str">
        <x:v>de_10_eroerterung_dialektisch_031_ueberarbeiten.html</x:v>
      </x:c>
    </x:row>
    <x:row r="531" ht="42" customHeight="1">
      <x:c r="A531" s="114" t="n">
        <x:v>10</x:v>
      </x:c>
      <x:c r="B531" s="115" t="n">
        <x:v>32</x:v>
      </x:c>
      <x:c r="C531" s="115" t="str">
        <x:v>Sprechen und Zuhören</x:v>
      </x:c>
      <x:c r="D531" s="115" t="str">
        <x:v>Dialektisch erörtern: Texte vorstellen und bewerten</x:v>
      </x:c>
      <x:c r="E531" s="115" t="str">
        <x:v>de_k10_st32_eroerterung_dialektisch_vorstellen</x:v>
      </x:c>
      <x:c r="F531" s="115" t="str">
        <x:v>schueler/de_k10_st32_eroerterung_dialektisch_vorstellen_app.html</x:v>
      </x:c>
      <x:c r="G531" s="115" t="str">
        <x:v>lehrer/de_k10_st32_eroerterung_dialektisch_vorstellen_orga.html</x:v>
      </x:c>
      <x:c r="H531" s="116" t="str">
        <x:v>de_10_eroerterung_dialektisch_032_vorstellen.html</x:v>
      </x:c>
    </x:row>
    <x:row r="532" ht="42" customHeight="1">
      <x:c r="A532" s="114" t="n">
        <x:v>10</x:v>
      </x:c>
      <x:c r="B532" s="115" t="n">
        <x:v>49</x:v>
      </x:c>
      <x:c r="C532" s="115" t="str">
        <x:v>Sprechen und Zuhören</x:v>
      </x:c>
      <x:c r="D532" s="115" t="str">
        <x:v>Medienkritik: KI, Algorithmen und Öffentlichkeit: Vorwissen und Positionen klären</x:v>
      </x:c>
      <x:c r="E532" s="115" t="str">
        <x:v>de_k10_st49_ki_medien_einstieg</x:v>
      </x:c>
      <x:c r="F532" s="115" t="str">
        <x:v>schueler/de_k10_st49_ki_medien_einstieg_app.html</x:v>
      </x:c>
      <x:c r="G532" s="115" t="str">
        <x:v>lehrer/de_k10_st49_ki_medien_einstieg_orga.html</x:v>
      </x:c>
      <x:c r="H532" s="116" t="str">
        <x:v>de_10_ki_medien_049_einstieg.html</x:v>
      </x:c>
    </x:row>
    <x:row r="533" ht="42" customHeight="1">
      <x:c r="A533" s="114" t="n">
        <x:v>10</x:v>
      </x:c>
      <x:c r="B533" s="115" t="n">
        <x:v>50</x:v>
      </x:c>
      <x:c r="C533" s="115" t="str">
        <x:v>Lesen/Umgang mit Texten</x:v>
      </x:c>
      <x:c r="D533" s="115" t="str">
        <x:v>Medienkritik: KI, Algorithmen und Öffentlichkeit: Quellen und Materialien erschließen</x:v>
      </x:c>
      <x:c r="E533" s="115" t="str">
        <x:v>de_k10_st50_ki_medien_quellen</x:v>
      </x:c>
      <x:c r="F533" s="115" t="str">
        <x:v>schueler/de_k10_st50_ki_medien_quellen_app.html</x:v>
      </x:c>
      <x:c r="G533" s="115" t="str">
        <x:v>lehrer/de_k10_st50_ki_medien_quellen_orga.html</x:v>
      </x:c>
      <x:c r="H533" s="116" t="str">
        <x:v>de_10_ki_medien_050_quellen.html</x:v>
      </x:c>
    </x:row>
    <x:row r="534" ht="42" customHeight="1">
      <x:c r="A534" s="114" t="n">
        <x:v>10</x:v>
      </x:c>
      <x:c r="B534" s="115" t="n">
        <x:v>51</x:v>
      </x:c>
      <x:c r="C534" s="115" t="str">
        <x:v>Lesen/Umgang mit Texten</x:v>
      </x:c>
      <x:c r="D534" s="115" t="str">
        <x:v>Medienkritik: KI, Algorithmen und Öffentlichkeit: Qualitätskriterien anwenden</x:v>
      </x:c>
      <x:c r="E534" s="115" t="str">
        <x:v>de_k10_st51_ki_medien_kriterien</x:v>
      </x:c>
      <x:c r="F534" s="115" t="str">
        <x:v>schueler/de_k10_st51_ki_medien_kriterien_app.html</x:v>
      </x:c>
      <x:c r="G534" s="115" t="str">
        <x:v>lehrer/de_k10_st51_ki_medien_kriterien_orga.html</x:v>
      </x:c>
      <x:c r="H534" s="116" t="str">
        <x:v>de_10_ki_medien_051_kriterien.html</x:v>
      </x:c>
    </x:row>
    <x:row r="535" ht="42" customHeight="1">
      <x:c r="A535" s="114" t="n">
        <x:v>10</x:v>
      </x:c>
      <x:c r="B535" s="115" t="n">
        <x:v>52</x:v>
      </x:c>
      <x:c r="C535" s="115" t="str">
        <x:v>Lesen/Umgang mit Texten</x:v>
      </x:c>
      <x:c r="D535" s="115" t="str">
        <x:v>Medienkritik: KI, Algorithmen und Öffentlichkeit: Darstellungen vergleichen</x:v>
      </x:c>
      <x:c r="E535" s="115" t="str">
        <x:v>de_k10_st52_ki_medien_vergleichen</x:v>
      </x:c>
      <x:c r="F535" s="115" t="str">
        <x:v>schueler/de_k10_st52_ki_medien_vergleichen_app.html</x:v>
      </x:c>
      <x:c r="G535" s="115" t="str">
        <x:v>lehrer/de_k10_st52_ki_medien_vergleichen_orga.html</x:v>
      </x:c>
      <x:c r="H535" s="116" t="str">
        <x:v>de_10_ki_medien_052_vergleichen.html</x:v>
      </x:c>
    </x:row>
    <x:row r="536" ht="42" customHeight="1">
      <x:c r="A536" s="114" t="n">
        <x:v>10</x:v>
      </x:c>
      <x:c r="B536" s="115" t="n">
        <x:v>53</x:v>
      </x:c>
      <x:c r="C536" s="115" t="str">
        <x:v>Schreiben</x:v>
      </x:c>
      <x:c r="D536" s="115" t="str">
        <x:v>Medienkritik: KI, Algorithmen und Öffentlichkeit: Informationen prüfen und ordnen</x:v>
      </x:c>
      <x:c r="E536" s="115" t="str">
        <x:v>de_k10_st53_ki_medien_recherche</x:v>
      </x:c>
      <x:c r="F536" s="115" t="str">
        <x:v>schueler/de_k10_st53_ki_medien_recherche_app.html</x:v>
      </x:c>
      <x:c r="G536" s="115" t="str">
        <x:v>lehrer/de_k10_st53_ki_medien_recherche_orga.html</x:v>
      </x:c>
      <x:c r="H536" s="116" t="str">
        <x:v>de_10_ki_medien_053_recherche.html</x:v>
      </x:c>
    </x:row>
    <x:row r="537" ht="42" customHeight="1">
      <x:c r="A537" s="114" t="n">
        <x:v>10</x:v>
      </x:c>
      <x:c r="B537" s="115" t="n">
        <x:v>54</x:v>
      </x:c>
      <x:c r="C537" s="115" t="str">
        <x:v>Schreiben</x:v>
      </x:c>
      <x:c r="D537" s="115" t="str">
        <x:v>Medienkritik: KI, Algorithmen und Öffentlichkeit: Produkt planen</x:v>
      </x:c>
      <x:c r="E537" s="115" t="str">
        <x:v>de_k10_st54_ki_medien_planen</x:v>
      </x:c>
      <x:c r="F537" s="115" t="str">
        <x:v>schueler/de_k10_st54_ki_medien_planen_app.html</x:v>
      </x:c>
      <x:c r="G537" s="115" t="str">
        <x:v>lehrer/de_k10_st54_ki_medien_planen_orga.html</x:v>
      </x:c>
      <x:c r="H537" s="116" t="str">
        <x:v>de_10_ki_medien_054_planen.html</x:v>
      </x:c>
    </x:row>
    <x:row r="538" ht="42" customHeight="1">
      <x:c r="A538" s="114" t="n">
        <x:v>10</x:v>
      </x:c>
      <x:c r="B538" s="115" t="n">
        <x:v>55</x:v>
      </x:c>
      <x:c r="C538" s="115" t="str">
        <x:v>Schreiben</x:v>
      </x:c>
      <x:c r="D538" s="115" t="str">
        <x:v>Medienkritik: KI, Algorithmen und Öffentlichkeit: Produkt erstellen</x:v>
      </x:c>
      <x:c r="E538" s="115" t="str">
        <x:v>de_k10_st55_ki_medien_erstellen</x:v>
      </x:c>
      <x:c r="F538" s="115" t="str">
        <x:v>schueler/de_k10_st55_ki_medien_erstellen_app.html</x:v>
      </x:c>
      <x:c r="G538" s="115" t="str">
        <x:v>lehrer/de_k10_st55_ki_medien_erstellen_orga.html</x:v>
      </x:c>
      <x:c r="H538" s="116" t="str">
        <x:v>de_10_ki_medien_055_erstellen.html</x:v>
      </x:c>
    </x:row>
    <x:row r="539" ht="42" customHeight="1">
      <x:c r="A539" s="114" t="n">
        <x:v>10</x:v>
      </x:c>
      <x:c r="B539" s="115" t="n">
        <x:v>56</x:v>
      </x:c>
      <x:c r="C539" s="115" t="str">
        <x:v>Sprechen und Zuhören</x:v>
      </x:c>
      <x:c r="D539" s="115" t="str">
        <x:v>Medienkritik: KI, Algorithmen und Öffentlichkeit: präsentieren und reflektieren</x:v>
      </x:c>
      <x:c r="E539" s="115" t="str">
        <x:v>de_k10_st56_ki_medien_reflexion</x:v>
      </x:c>
      <x:c r="F539" s="115" t="str">
        <x:v>schueler/de_k10_st56_ki_medien_reflexion_app.html</x:v>
      </x:c>
      <x:c r="G539" s="115" t="str">
        <x:v>lehrer/de_k10_st56_ki_medien_reflexion_orga.html</x:v>
      </x:c>
      <x:c r="H539" s="116" t="str">
        <x:v>de_10_ki_medien_056_reflexion.html</x:v>
      </x:c>
    </x:row>
    <x:row r="540" ht="42" customHeight="1">
      <x:c r="A540" s="114" t="n">
        <x:v>10</x:v>
      </x:c>
      <x:c r="B540" s="115" t="n">
        <x:v>41</x:v>
      </x:c>
      <x:c r="C540" s="115" t="str">
        <x:v>Sprechen und Zuhören</x:v>
      </x:c>
      <x:c r="D540" s="115" t="str">
        <x:v>Literarische Texte vergleichen: Hör- oder Leseeinstieg gestalten</x:v>
      </x:c>
      <x:c r="E540" s="115" t="str">
        <x:v>de_k10_st41_literaturvergleich_einstieg</x:v>
      </x:c>
      <x:c r="F540" s="115" t="str">
        <x:v>schueler/de_k10_st41_literaturvergleich_einstieg_app.html</x:v>
      </x:c>
      <x:c r="G540" s="115" t="str">
        <x:v>lehrer/de_k10_st41_literaturvergleich_einstieg_orga.html</x:v>
      </x:c>
      <x:c r="H540" s="116" t="str">
        <x:v>de_10_literaturvergleich_041_einstieg.html</x:v>
      </x:c>
    </x:row>
    <x:row r="541" ht="42" customHeight="1">
      <x:c r="A541" s="114" t="n">
        <x:v>10</x:v>
      </x:c>
      <x:c r="B541" s="115" t="n">
        <x:v>42</x:v>
      </x:c>
      <x:c r="C541" s="115" t="str">
        <x:v>Lesen/Umgang mit Texten</x:v>
      </x:c>
      <x:c r="D541" s="115" t="str">
        <x:v>Literarische Texte vergleichen: Den Text mit Lesestrategien erschließen</x:v>
      </x:c>
      <x:c r="E541" s="115" t="str">
        <x:v>de_k10_st42_literaturvergleich_erschliessen</x:v>
      </x:c>
      <x:c r="F541" s="115" t="str">
        <x:v>schueler/de_k10_st42_literaturvergleich_erschliessen_app.html</x:v>
      </x:c>
      <x:c r="G541" s="115" t="str">
        <x:v>lehrer/de_k10_st42_literaturvergleich_erschliessen_orga.html</x:v>
      </x:c>
      <x:c r="H541" s="116" t="str">
        <x:v>de_10_literaturvergleich_042_erschliessen.html</x:v>
      </x:c>
    </x:row>
    <x:row r="542" ht="42" customHeight="1">
      <x:c r="A542" s="114" t="n">
        <x:v>10</x:v>
      </x:c>
      <x:c r="B542" s="115" t="n">
        <x:v>43</x:v>
      </x:c>
      <x:c r="C542" s="115" t="str">
        <x:v>Lesen/Umgang mit Texten</x:v>
      </x:c>
      <x:c r="D542" s="115" t="str">
        <x:v>Literarische Texte vergleichen: Gattungsmerkmale erkennen</x:v>
      </x:c>
      <x:c r="E542" s="115" t="str">
        <x:v>de_k10_st43_literaturvergleich_merkmale</x:v>
      </x:c>
      <x:c r="F542" s="115" t="str">
        <x:v>schueler/de_k10_st43_literaturvergleich_merkmale_app.html</x:v>
      </x:c>
      <x:c r="G542" s="115" t="str">
        <x:v>lehrer/de_k10_st43_literaturvergleich_merkmale_orga.html</x:v>
      </x:c>
      <x:c r="H542" s="116" t="str">
        <x:v>de_10_literaturvergleich_043_merkmale.html</x:v>
      </x:c>
    </x:row>
    <x:row r="543" ht="42" customHeight="1">
      <x:c r="A543" s="114" t="n">
        <x:v>10</x:v>
      </x:c>
      <x:c r="B543" s="115" t="n">
        <x:v>44</x:v>
      </x:c>
      <x:c r="C543" s="115" t="str">
        <x:v>Lesen/Umgang mit Texten</x:v>
      </x:c>
      <x:c r="D543" s="115" t="str">
        <x:v>Literarische Texte vergleichen: Figuren, Handlung und Konflikt untersuchen</x:v>
      </x:c>
      <x:c r="E543" s="115" t="str">
        <x:v>de_k10_st44_literaturvergleich_figuren_handlung</x:v>
      </x:c>
      <x:c r="F543" s="115" t="str">
        <x:v>schueler/de_k10_st44_literaturvergleich_figuren_handlung_app.html</x:v>
      </x:c>
      <x:c r="G543" s="115" t="str">
        <x:v>lehrer/de_k10_st44_literaturvergleich_figuren_handlung_orga.html</x:v>
      </x:c>
      <x:c r="H543" s="116" t="str">
        <x:v>de_10_literaturvergleich_044_figuren_handlung.html</x:v>
      </x:c>
    </x:row>
    <x:row r="544" ht="42" customHeight="1">
      <x:c r="A544" s="114" t="n">
        <x:v>10</x:v>
      </x:c>
      <x:c r="B544" s="115" t="n">
        <x:v>45</x:v>
      </x:c>
      <x:c r="C544" s="115" t="str">
        <x:v>Sprache untersuchen</x:v>
      </x:c>
      <x:c r="D544" s="115" t="str">
        <x:v>Literarische Texte vergleichen: Sprache und Wirkung untersuchen</x:v>
      </x:c>
      <x:c r="E544" s="115" t="str">
        <x:v>de_k10_st45_literaturvergleich_sprache_wirkung</x:v>
      </x:c>
      <x:c r="F544" s="115" t="str">
        <x:v>schueler/de_k10_st45_literaturvergleich_sprache_wirkung_app.html</x:v>
      </x:c>
      <x:c r="G544" s="115" t="str">
        <x:v>lehrer/de_k10_st45_literaturvergleich_sprache_wirkung_orga.html</x:v>
      </x:c>
      <x:c r="H544" s="116" t="str">
        <x:v>de_10_literaturvergleich_045_sprache_wirkung.html</x:v>
      </x:c>
    </x:row>
    <x:row r="545" ht="42" customHeight="1">
      <x:c r="A545" s="114" t="n">
        <x:v>10</x:v>
      </x:c>
      <x:c r="B545" s="115" t="n">
        <x:v>46</x:v>
      </x:c>
      <x:c r="C545" s="115" t="str">
        <x:v>Schreiben</x:v>
      </x:c>
      <x:c r="D545" s="115" t="str">
        <x:v>Literarische Texte vergleichen: Eine Deutung oder Perspektive vorbereiten</x:v>
      </x:c>
      <x:c r="E545" s="115" t="str">
        <x:v>de_k10_st46_literaturvergleich_deutung_planen</x:v>
      </x:c>
      <x:c r="F545" s="115" t="str">
        <x:v>schueler/de_k10_st46_literaturvergleich_deutung_planen_app.html</x:v>
      </x:c>
      <x:c r="G545" s="115" t="str">
        <x:v>lehrer/de_k10_st46_literaturvergleich_deutung_planen_orga.html</x:v>
      </x:c>
      <x:c r="H545" s="116" t="str">
        <x:v>de_10_literaturvergleich_046_deutung_planen.html</x:v>
      </x:c>
    </x:row>
    <x:row r="546" ht="42" customHeight="1">
      <x:c r="A546" s="114" t="n">
        <x:v>10</x:v>
      </x:c>
      <x:c r="B546" s="115" t="n">
        <x:v>47</x:v>
      </x:c>
      <x:c r="C546" s="115" t="str">
        <x:v>Schreiben</x:v>
      </x:c>
      <x:c r="D546" s="115" t="str">
        <x:v>Literarische Texte vergleichen: Vergleichende Interpretation gestalten</x:v>
      </x:c>
      <x:c r="E546" s="115" t="str">
        <x:v>de_k10_st47_literaturvergleich_produkt</x:v>
      </x:c>
      <x:c r="F546" s="115" t="str">
        <x:v>schueler/de_k10_st47_literaturvergleich_produkt_app.html</x:v>
      </x:c>
      <x:c r="G546" s="115" t="str">
        <x:v>lehrer/de_k10_st47_literaturvergleich_produkt_orga.html</x:v>
      </x:c>
      <x:c r="H546" s="116" t="str">
        <x:v>de_10_literaturvergleich_047_produkt.html</x:v>
      </x:c>
    </x:row>
    <x:row r="547" ht="42" customHeight="1">
      <x:c r="A547" s="114" t="n">
        <x:v>10</x:v>
      </x:c>
      <x:c r="B547" s="115" t="n">
        <x:v>48</x:v>
      </x:c>
      <x:c r="C547" s="115" t="str">
        <x:v>Sprechen und Zuhören</x:v>
      </x:c>
      <x:c r="D547" s="115" t="str">
        <x:v>Literarische Texte vergleichen: Ergebnisse präsentieren und reflektieren</x:v>
      </x:c>
      <x:c r="E547" s="115" t="str">
        <x:v>de_k10_st48_literaturvergleich_praesentieren</x:v>
      </x:c>
      <x:c r="F547" s="115" t="str">
        <x:v>schueler/de_k10_st48_literaturvergleich_praesentieren_app.html</x:v>
      </x:c>
      <x:c r="G547" s="115" t="str">
        <x:v>lehrer/de_k10_st48_literaturvergleich_praesentieren_orga.html</x:v>
      </x:c>
      <x:c r="H547" s="116" t="str">
        <x:v>de_10_literaturvergleich_048_praesentieren.html</x:v>
      </x:c>
    </x:row>
    <x:row r="548" ht="42" customHeight="1">
      <x:c r="A548" s="114" t="n">
        <x:v>10</x:v>
      </x:c>
      <x:c r="B548" s="115" t="n">
        <x:v>73</x:v>
      </x:c>
      <x:c r="C548" s="115" t="str">
        <x:v>Sprechen und Zuhören</x:v>
      </x:c>
      <x:c r="D548" s="115" t="str">
        <x:v>Liebeslyrik und politische Lyrik: Hör- oder Leseeinstieg gestalten</x:v>
      </x:c>
      <x:c r="E548" s="115" t="str">
        <x:v>de_k10_st73_lyrik_einstieg</x:v>
      </x:c>
      <x:c r="F548" s="115" t="str">
        <x:v>schueler/de_k10_st73_lyrik_einstieg_app.html</x:v>
      </x:c>
      <x:c r="G548" s="115" t="str">
        <x:v>lehrer/de_k10_st73_lyrik_einstieg_orga.html</x:v>
      </x:c>
      <x:c r="H548" s="116" t="str">
        <x:v>de_10_lyrik_073_einstieg.html</x:v>
      </x:c>
    </x:row>
    <x:row r="549" ht="42" customHeight="1">
      <x:c r="A549" s="114" t="n">
        <x:v>10</x:v>
      </x:c>
      <x:c r="B549" s="115" t="n">
        <x:v>74</x:v>
      </x:c>
      <x:c r="C549" s="115" t="str">
        <x:v>Lesen/Umgang mit Texten</x:v>
      </x:c>
      <x:c r="D549" s="115" t="str">
        <x:v>Liebeslyrik und politische Lyrik: Den Text mit Lesestrategien erschließen</x:v>
      </x:c>
      <x:c r="E549" s="115" t="str">
        <x:v>de_k10_st74_lyrik_erschliessen</x:v>
      </x:c>
      <x:c r="F549" s="115" t="str">
        <x:v>schueler/de_k10_st74_lyrik_erschliessen_app.html</x:v>
      </x:c>
      <x:c r="G549" s="115" t="str">
        <x:v>lehrer/de_k10_st74_lyrik_erschliessen_orga.html</x:v>
      </x:c>
      <x:c r="H549" s="116" t="str">
        <x:v>de_10_lyrik_074_erschliessen.html</x:v>
      </x:c>
    </x:row>
    <x:row r="550" ht="42" customHeight="1">
      <x:c r="A550" s="114" t="n">
        <x:v>10</x:v>
      </x:c>
      <x:c r="B550" s="115" t="n">
        <x:v>75</x:v>
      </x:c>
      <x:c r="C550" s="115" t="str">
        <x:v>Lesen/Umgang mit Texten</x:v>
      </x:c>
      <x:c r="D550" s="115" t="str">
        <x:v>Liebeslyrik und politische Lyrik: Gattungsmerkmale erkennen</x:v>
      </x:c>
      <x:c r="E550" s="115" t="str">
        <x:v>de_k10_st75_lyrik_merkmale</x:v>
      </x:c>
      <x:c r="F550" s="115" t="str">
        <x:v>schueler/de_k10_st75_lyrik_merkmale_app.html</x:v>
      </x:c>
      <x:c r="G550" s="115" t="str">
        <x:v>lehrer/de_k10_st75_lyrik_merkmale_orga.html</x:v>
      </x:c>
      <x:c r="H550" s="116" t="str">
        <x:v>de_10_lyrik_075_merkmale.html</x:v>
      </x:c>
    </x:row>
    <x:row r="551" ht="42" customHeight="1">
      <x:c r="A551" s="114" t="n">
        <x:v>10</x:v>
      </x:c>
      <x:c r="B551" s="115" t="n">
        <x:v>76</x:v>
      </x:c>
      <x:c r="C551" s="115" t="str">
        <x:v>Lesen/Umgang mit Texten</x:v>
      </x:c>
      <x:c r="D551" s="115" t="str">
        <x:v>Liebeslyrik und politische Lyrik: Figuren, Handlung und Konflikt untersuchen</x:v>
      </x:c>
      <x:c r="E551" s="115" t="str">
        <x:v>de_k10_st76_lyrik_figuren_handlung</x:v>
      </x:c>
      <x:c r="F551" s="115" t="str">
        <x:v>schueler/de_k10_st76_lyrik_figuren_handlung_app.html</x:v>
      </x:c>
      <x:c r="G551" s="115" t="str">
        <x:v>lehrer/de_k10_st76_lyrik_figuren_handlung_orga.html</x:v>
      </x:c>
      <x:c r="H551" s="116" t="str">
        <x:v>de_10_lyrik_076_figuren_handlung.html</x:v>
      </x:c>
    </x:row>
    <x:row r="552" ht="42" customHeight="1">
      <x:c r="A552" s="114" t="n">
        <x:v>10</x:v>
      </x:c>
      <x:c r="B552" s="115" t="n">
        <x:v>77</x:v>
      </x:c>
      <x:c r="C552" s="115" t="str">
        <x:v>Sprache untersuchen</x:v>
      </x:c>
      <x:c r="D552" s="115" t="str">
        <x:v>Liebeslyrik und politische Lyrik: Sprache und Wirkung untersuchen</x:v>
      </x:c>
      <x:c r="E552" s="115" t="str">
        <x:v>de_k10_st77_lyrik_sprache_wirkung</x:v>
      </x:c>
      <x:c r="F552" s="115" t="str">
        <x:v>schueler/de_k10_st77_lyrik_sprache_wirkung_app.html</x:v>
      </x:c>
      <x:c r="G552" s="115" t="str">
        <x:v>lehrer/de_k10_st77_lyrik_sprache_wirkung_orga.html</x:v>
      </x:c>
      <x:c r="H552" s="116" t="str">
        <x:v>de_10_lyrik_077_sprache_wirkung.html</x:v>
      </x:c>
    </x:row>
    <x:row r="553" ht="42" customHeight="1">
      <x:c r="A553" s="114" t="n">
        <x:v>10</x:v>
      </x:c>
      <x:c r="B553" s="115" t="n">
        <x:v>78</x:v>
      </x:c>
      <x:c r="C553" s="115" t="str">
        <x:v>Schreiben</x:v>
      </x:c>
      <x:c r="D553" s="115" t="str">
        <x:v>Liebeslyrik und politische Lyrik: Eine Deutung oder Perspektive vorbereiten</x:v>
      </x:c>
      <x:c r="E553" s="115" t="str">
        <x:v>de_k10_st78_lyrik_deutung_planen</x:v>
      </x:c>
      <x:c r="F553" s="115" t="str">
        <x:v>schueler/de_k10_st78_lyrik_deutung_planen_app.html</x:v>
      </x:c>
      <x:c r="G553" s="115" t="str">
        <x:v>lehrer/de_k10_st78_lyrik_deutung_planen_orga.html</x:v>
      </x:c>
      <x:c r="H553" s="116" t="str">
        <x:v>de_10_lyrik_078_deutung_planen.html</x:v>
      </x:c>
    </x:row>
    <x:row r="554" ht="42" customHeight="1">
      <x:c r="A554" s="114" t="n">
        <x:v>10</x:v>
      </x:c>
      <x:c r="B554" s="115" t="n">
        <x:v>79</x:v>
      </x:c>
      <x:c r="C554" s="115" t="str">
        <x:v>Schreiben</x:v>
      </x:c>
      <x:c r="D554" s="115" t="str">
        <x:v>Liebeslyrik und politische Lyrik: Vergleichende Gedichtanalyse gestalten</x:v>
      </x:c>
      <x:c r="E554" s="115" t="str">
        <x:v>de_k10_st79_lyrik_produkt</x:v>
      </x:c>
      <x:c r="F554" s="115" t="str">
        <x:v>schueler/de_k10_st79_lyrik_produkt_app.html</x:v>
      </x:c>
      <x:c r="G554" s="115" t="str">
        <x:v>lehrer/de_k10_st79_lyrik_produkt_orga.html</x:v>
      </x:c>
      <x:c r="H554" s="116" t="str">
        <x:v>de_10_lyrik_079_produkt.html</x:v>
      </x:c>
    </x:row>
    <x:row r="555" ht="42" customHeight="1">
      <x:c r="A555" s="114" t="n">
        <x:v>10</x:v>
      </x:c>
      <x:c r="B555" s="115" t="n">
        <x:v>80</x:v>
      </x:c>
      <x:c r="C555" s="115" t="str">
        <x:v>Sprechen und Zuhören</x:v>
      </x:c>
      <x:c r="D555" s="115" t="str">
        <x:v>Liebeslyrik und politische Lyrik: Ergebnisse präsentieren und reflektieren</x:v>
      </x:c>
      <x:c r="E555" s="115" t="str">
        <x:v>de_k10_st80_lyrik_praesentieren</x:v>
      </x:c>
      <x:c r="F555" s="115" t="str">
        <x:v>schueler/de_k10_st80_lyrik_praesentieren_app.html</x:v>
      </x:c>
      <x:c r="G555" s="115" t="str">
        <x:v>lehrer/de_k10_st80_lyrik_praesentieren_orga.html</x:v>
      </x:c>
      <x:c r="H555" s="116" t="str">
        <x:v>de_10_lyrik_080_praesentieren.html</x:v>
      </x:c>
    </x:row>
    <x:row r="556" ht="42" customHeight="1">
      <x:c r="A556" s="114" t="n">
        <x:v>10</x:v>
      </x:c>
      <x:c r="B556" s="115" t="n">
        <x:v>57</x:v>
      </x:c>
      <x:c r="C556" s="115" t="str">
        <x:v>Sprache untersuchen</x:v>
      </x:c>
      <x:c r="D556" s="115" t="str">
        <x:v>Rhetorik, Sprache und Wirkung: Lernstand feststellen</x:v>
      </x:c>
      <x:c r="E556" s="115" t="str">
        <x:v>de_k10_st57_rhetorik_diagnose</x:v>
      </x:c>
      <x:c r="F556" s="115" t="str">
        <x:v>schueler/de_k10_st57_rhetorik_diagnose_app.html</x:v>
      </x:c>
      <x:c r="G556" s="115" t="str">
        <x:v>lehrer/de_k10_st57_rhetorik_diagnose_orga.html</x:v>
      </x:c>
      <x:c r="H556" s="116" t="str">
        <x:v>de_10_rhetorik_057_diagnose.html</x:v>
      </x:c>
    </x:row>
    <x:row r="557" ht="42" customHeight="1">
      <x:c r="A557" s="114" t="n">
        <x:v>10</x:v>
      </x:c>
      <x:c r="B557" s="115" t="n">
        <x:v>58</x:v>
      </x:c>
      <x:c r="C557" s="115" t="str">
        <x:v>Sprache untersuchen</x:v>
      </x:c>
      <x:c r="D557" s="115" t="str">
        <x:v>Rhetorik, Sprache und Wirkung: Grundbegriffe sichern</x:v>
      </x:c>
      <x:c r="E557" s="115" t="str">
        <x:v>de_k10_st58_rhetorik_grundbegriffe</x:v>
      </x:c>
      <x:c r="F557" s="115" t="str">
        <x:v>schueler/de_k10_st58_rhetorik_grundbegriffe_app.html</x:v>
      </x:c>
      <x:c r="G557" s="115" t="str">
        <x:v>lehrer/de_k10_st58_rhetorik_grundbegriffe_orga.html</x:v>
      </x:c>
      <x:c r="H557" s="116" t="str">
        <x:v>de_10_rhetorik_058_grundbegriffe.html</x:v>
      </x:c>
    </x:row>
    <x:row r="558" ht="42" customHeight="1">
      <x:c r="A558" s="114" t="n">
        <x:v>10</x:v>
      </x:c>
      <x:c r="B558" s="115" t="n">
        <x:v>59</x:v>
      </x:c>
      <x:c r="C558" s="115" t="str">
        <x:v>Sprache untersuchen</x:v>
      </x:c>
      <x:c r="D558" s="115" t="str">
        <x:v>Rhetorik, Sprache und Wirkung: Verfahren anwenden</x:v>
      </x:c>
      <x:c r="E558" s="115" t="str">
        <x:v>de_k10_st59_rhetorik_verfahren</x:v>
      </x:c>
      <x:c r="F558" s="115" t="str">
        <x:v>schueler/de_k10_st59_rhetorik_verfahren_app.html</x:v>
      </x:c>
      <x:c r="G558" s="115" t="str">
        <x:v>lehrer/de_k10_st59_rhetorik_verfahren_orga.html</x:v>
      </x:c>
      <x:c r="H558" s="116" t="str">
        <x:v>de_10_rhetorik_059_verfahren.html</x:v>
      </x:c>
    </x:row>
    <x:row r="559" ht="42" customHeight="1">
      <x:c r="A559" s="114" t="n">
        <x:v>10</x:v>
      </x:c>
      <x:c r="B559" s="115" t="n">
        <x:v>60</x:v>
      </x:c>
      <x:c r="C559" s="115" t="str">
        <x:v>Sprache untersuchen</x:v>
      </x:c>
      <x:c r="D559" s="115" t="str">
        <x:v>Rhetorik, Sprache und Wirkung: Formen und Funktionen untersuchen</x:v>
      </x:c>
      <x:c r="E559" s="115" t="str">
        <x:v>de_k10_st60_rhetorik_funktion</x:v>
      </x:c>
      <x:c r="F559" s="115" t="str">
        <x:v>schueler/de_k10_st60_rhetorik_funktion_app.html</x:v>
      </x:c>
      <x:c r="G559" s="115" t="str">
        <x:v>lehrer/de_k10_st60_rhetorik_funktion_orga.html</x:v>
      </x:c>
      <x:c r="H559" s="116" t="str">
        <x:v>de_10_rhetorik_060_funktion.html</x:v>
      </x:c>
    </x:row>
    <x:row r="560" ht="42" customHeight="1">
      <x:c r="A560" s="114" t="n">
        <x:v>10</x:v>
      </x:c>
      <x:c r="B560" s="115" t="n">
        <x:v>61</x:v>
      </x:c>
      <x:c r="C560" s="115" t="str">
        <x:v>Schreiben</x:v>
      </x:c>
      <x:c r="D560" s="115" t="str">
        <x:v>Rhetorik, Sprache und Wirkung: Wissen im eigenen Text nutzen</x:v>
      </x:c>
      <x:c r="E560" s="115" t="str">
        <x:v>de_k10_st61_rhetorik_anwenden</x:v>
      </x:c>
      <x:c r="F560" s="115" t="str">
        <x:v>schueler/de_k10_st61_rhetorik_anwenden_app.html</x:v>
      </x:c>
      <x:c r="G560" s="115" t="str">
        <x:v>lehrer/de_k10_st61_rhetorik_anwenden_orga.html</x:v>
      </x:c>
      <x:c r="H560" s="116" t="str">
        <x:v>de_10_rhetorik_061_anwenden.html</x:v>
      </x:c>
    </x:row>
    <x:row r="561" ht="42" customHeight="1">
      <x:c r="A561" s="114" t="n">
        <x:v>10</x:v>
      </x:c>
      <x:c r="B561" s="115" t="n">
        <x:v>62</x:v>
      </x:c>
      <x:c r="C561" s="115" t="str">
        <x:v>Sprache untersuchen</x:v>
      </x:c>
      <x:c r="D561" s="115" t="str">
        <x:v>Rhetorik, Sprache und Wirkung: Fehler finden und korrigieren</x:v>
      </x:c>
      <x:c r="E561" s="115" t="str">
        <x:v>de_k10_st62_rhetorik_fehler</x:v>
      </x:c>
      <x:c r="F561" s="115" t="str">
        <x:v>schueler/de_k10_st62_rhetorik_fehler_app.html</x:v>
      </x:c>
      <x:c r="G561" s="115" t="str">
        <x:v>lehrer/de_k10_st62_rhetorik_fehler_orga.html</x:v>
      </x:c>
      <x:c r="H561" s="116" t="str">
        <x:v>de_10_rhetorik_062_fehler.html</x:v>
      </x:c>
    </x:row>
    <x:row r="562" ht="42" customHeight="1">
      <x:c r="A562" s="114" t="n">
        <x:v>10</x:v>
      </x:c>
      <x:c r="B562" s="115" t="n">
        <x:v>63</x:v>
      </x:c>
      <x:c r="C562" s="115" t="str">
        <x:v>Sprache untersuchen</x:v>
      </x:c>
      <x:c r="D562" s="115" t="str">
        <x:v>Rhetorik, Sprache und Wirkung: Transfer auf unbekannte Beispiele</x:v>
      </x:c>
      <x:c r="E562" s="115" t="str">
        <x:v>de_k10_st63_rhetorik_transfer</x:v>
      </x:c>
      <x:c r="F562" s="115" t="str">
        <x:v>schueler/de_k10_st63_rhetorik_transfer_app.html</x:v>
      </x:c>
      <x:c r="G562" s="115" t="str">
        <x:v>lehrer/de_k10_st63_rhetorik_transfer_orga.html</x:v>
      </x:c>
      <x:c r="H562" s="116" t="str">
        <x:v>de_10_rhetorik_063_transfer.html</x:v>
      </x:c>
    </x:row>
    <x:row r="563" ht="42" customHeight="1">
      <x:c r="A563" s="114" t="n">
        <x:v>10</x:v>
      </x:c>
      <x:c r="B563" s="115" t="n">
        <x:v>64</x:v>
      </x:c>
      <x:c r="C563" s="115" t="str">
        <x:v>Schreiben</x:v>
      </x:c>
      <x:c r="D563" s="115" t="str">
        <x:v>Rhetorik, Sprache und Wirkung: Lernprodukt und Kompetenzcheck</x:v>
      </x:c>
      <x:c r="E563" s="115" t="str">
        <x:v>de_k10_st64_rhetorik_kompetenzcheck</x:v>
      </x:c>
      <x:c r="F563" s="115" t="str">
        <x:v>schueler/de_k10_st64_rhetorik_kompetenzcheck_app.html</x:v>
      </x:c>
      <x:c r="G563" s="115" t="str">
        <x:v>lehrer/de_k10_st64_rhetorik_kompetenzcheck_orga.html</x:v>
      </x:c>
      <x:c r="H563" s="116" t="str">
        <x:v>de_10_rhetorik_064_kompetenzcheck.html</x:v>
      </x:c>
    </x:row>
    <x:row r="564" ht="42" customHeight="1">
      <x:c r="A564" s="114" t="n">
        <x:v>10</x:v>
      </x:c>
      <x:c r="B564" s="115" t="n">
        <x:v>81</x:v>
      </x:c>
      <x:c r="C564" s="115" t="str">
        <x:v>Sprechen und Zuhören</x:v>
      </x:c>
      <x:c r="D564" s="115" t="str">
        <x:v>Prüfungssimulation Deutsch: Vorwissen und Positionen klären</x:v>
      </x:c>
      <x:c r="E564" s="115" t="str">
        <x:v>de_k10_st81_simulation_einstieg</x:v>
      </x:c>
      <x:c r="F564" s="115" t="str">
        <x:v>schueler/de_k10_st81_simulation_einstieg_app.html</x:v>
      </x:c>
      <x:c r="G564" s="115" t="str">
        <x:v>lehrer/de_k10_st81_simulation_einstieg_orga.html</x:v>
      </x:c>
      <x:c r="H564" s="116" t="str">
        <x:v>de_10_simulation_081_einstieg.html</x:v>
      </x:c>
    </x:row>
    <x:row r="565" ht="42" customHeight="1">
      <x:c r="A565" s="114" t="n">
        <x:v>10</x:v>
      </x:c>
      <x:c r="B565" s="115" t="n">
        <x:v>82</x:v>
      </x:c>
      <x:c r="C565" s="115" t="str">
        <x:v>Lesen/Umgang mit Texten</x:v>
      </x:c>
      <x:c r="D565" s="115" t="str">
        <x:v>Prüfungssimulation Deutsch: Quellen und Materialien erschließen</x:v>
      </x:c>
      <x:c r="E565" s="115" t="str">
        <x:v>de_k10_st82_simulation_quellen</x:v>
      </x:c>
      <x:c r="F565" s="115" t="str">
        <x:v>schueler/de_k10_st82_simulation_quellen_app.html</x:v>
      </x:c>
      <x:c r="G565" s="115" t="str">
        <x:v>lehrer/de_k10_st82_simulation_quellen_orga.html</x:v>
      </x:c>
      <x:c r="H565" s="116" t="str">
        <x:v>de_10_simulation_082_quellen.html</x:v>
      </x:c>
    </x:row>
    <x:row r="566" ht="42" customHeight="1">
      <x:c r="A566" s="114" t="n">
        <x:v>10</x:v>
      </x:c>
      <x:c r="B566" s="115" t="n">
        <x:v>83</x:v>
      </x:c>
      <x:c r="C566" s="115" t="str">
        <x:v>Lesen/Umgang mit Texten</x:v>
      </x:c>
      <x:c r="D566" s="115" t="str">
        <x:v>Prüfungssimulation Deutsch: Qualitätskriterien anwenden</x:v>
      </x:c>
      <x:c r="E566" s="115" t="str">
        <x:v>de_k10_st83_simulation_kriterien</x:v>
      </x:c>
      <x:c r="F566" s="115" t="str">
        <x:v>schueler/de_k10_st83_simulation_kriterien_app.html</x:v>
      </x:c>
      <x:c r="G566" s="115" t="str">
        <x:v>lehrer/de_k10_st83_simulation_kriterien_orga.html</x:v>
      </x:c>
      <x:c r="H566" s="116" t="str">
        <x:v>de_10_simulation_083_kriterien.html</x:v>
      </x:c>
    </x:row>
    <x:row r="567" ht="42" customHeight="1">
      <x:c r="A567" s="114" t="n">
        <x:v>10</x:v>
      </x:c>
      <x:c r="B567" s="115" t="n">
        <x:v>84</x:v>
      </x:c>
      <x:c r="C567" s="115" t="str">
        <x:v>Lesen/Umgang mit Texten</x:v>
      </x:c>
      <x:c r="D567" s="115" t="str">
        <x:v>Prüfungssimulation Deutsch: Darstellungen vergleichen</x:v>
      </x:c>
      <x:c r="E567" s="115" t="str">
        <x:v>de_k10_st84_simulation_vergleichen</x:v>
      </x:c>
      <x:c r="F567" s="115" t="str">
        <x:v>schueler/de_k10_st84_simulation_vergleichen_app.html</x:v>
      </x:c>
      <x:c r="G567" s="115" t="str">
        <x:v>lehrer/de_k10_st84_simulation_vergleichen_orga.html</x:v>
      </x:c>
      <x:c r="H567" s="116" t="str">
        <x:v>de_10_simulation_084_vergleichen.html</x:v>
      </x:c>
    </x:row>
    <x:row r="568" ht="42" customHeight="1">
      <x:c r="A568" s="114" t="n">
        <x:v>10</x:v>
      </x:c>
      <x:c r="B568" s="115" t="n">
        <x:v>85</x:v>
      </x:c>
      <x:c r="C568" s="115" t="str">
        <x:v>Schreiben</x:v>
      </x:c>
      <x:c r="D568" s="115" t="str">
        <x:v>Prüfungssimulation Deutsch: Informationen prüfen und ordnen</x:v>
      </x:c>
      <x:c r="E568" s="115" t="str">
        <x:v>de_k10_st85_simulation_recherche</x:v>
      </x:c>
      <x:c r="F568" s="115" t="str">
        <x:v>schueler/de_k10_st85_simulation_recherche_app.html</x:v>
      </x:c>
      <x:c r="G568" s="115" t="str">
        <x:v>lehrer/de_k10_st85_simulation_recherche_orga.html</x:v>
      </x:c>
      <x:c r="H568" s="116" t="str">
        <x:v>de_10_simulation_085_recherche.html</x:v>
      </x:c>
    </x:row>
    <x:row r="569" ht="42" customHeight="1">
      <x:c r="A569" s="114" t="n">
        <x:v>10</x:v>
      </x:c>
      <x:c r="B569" s="115" t="n">
        <x:v>86</x:v>
      </x:c>
      <x:c r="C569" s="115" t="str">
        <x:v>Schreiben</x:v>
      </x:c>
      <x:c r="D569" s="115" t="str">
        <x:v>Prüfungssimulation Deutsch: Produkt planen</x:v>
      </x:c>
      <x:c r="E569" s="115" t="str">
        <x:v>de_k10_st86_simulation_planen</x:v>
      </x:c>
      <x:c r="F569" s="115" t="str">
        <x:v>schueler/de_k10_st86_simulation_planen_app.html</x:v>
      </x:c>
      <x:c r="G569" s="115" t="str">
        <x:v>lehrer/de_k10_st86_simulation_planen_orga.html</x:v>
      </x:c>
      <x:c r="H569" s="116" t="str">
        <x:v>de_10_simulation_086_planen.html</x:v>
      </x:c>
    </x:row>
    <x:row r="570" ht="42" customHeight="1">
      <x:c r="A570" s="114" t="n">
        <x:v>10</x:v>
      </x:c>
      <x:c r="B570" s="115" t="n">
        <x:v>87</x:v>
      </x:c>
      <x:c r="C570" s="115" t="str">
        <x:v>Schreiben</x:v>
      </x:c>
      <x:c r="D570" s="115" t="str">
        <x:v>Prüfungssimulation Deutsch: Produkt erstellen</x:v>
      </x:c>
      <x:c r="E570" s="115" t="str">
        <x:v>de_k10_st87_simulation_erstellen</x:v>
      </x:c>
      <x:c r="F570" s="115" t="str">
        <x:v>schueler/de_k10_st87_simulation_erstellen_app.html</x:v>
      </x:c>
      <x:c r="G570" s="115" t="str">
        <x:v>lehrer/de_k10_st87_simulation_erstellen_orga.html</x:v>
      </x:c>
      <x:c r="H570" s="116" t="str">
        <x:v>de_10_simulation_087_erstellen.html</x:v>
      </x:c>
    </x:row>
    <x:row r="571" ht="42" customHeight="1">
      <x:c r="A571" s="114" t="n">
        <x:v>10</x:v>
      </x:c>
      <x:c r="B571" s="115" t="n">
        <x:v>88</x:v>
      </x:c>
      <x:c r="C571" s="115" t="str">
        <x:v>Sprechen und Zuhören</x:v>
      </x:c>
      <x:c r="D571" s="115" t="str">
        <x:v>Prüfungssimulation Deutsch: Präsentieren und reflektieren</x:v>
      </x:c>
      <x:c r="E571" s="115" t="str">
        <x:v>de_k10_st88_simulation_reflexion</x:v>
      </x:c>
      <x:c r="F571" s="115" t="str">
        <x:v>schueler/de_k10_st88_simulation_reflexion_app.html</x:v>
      </x:c>
      <x:c r="G571" s="115" t="str">
        <x:v>lehrer/de_k10_st88_simulation_reflexion_orga.html</x:v>
      </x:c>
      <x:c r="H571" s="116" t="str">
        <x:v>de_10_simulation_088_reflexion.html</x:v>
      </x:c>
    </x:row>
    <x:row r="572" ht="42" customHeight="1">
      <x:c r="A572" s="114" t="n">
        <x:v>10</x:v>
      </x:c>
      <x:c r="B572" s="115" t="n">
        <x:v>33</x:v>
      </x:c>
      <x:c r="C572" s="115" t="str">
        <x:v>Lesen/Umgang mit Texten</x:v>
      </x:c>
      <x:c r="D572" s="115" t="str">
        <x:v>Textgebunden erörtern und kommentieren: Beispieltexte untersuchen</x:v>
      </x:c>
      <x:c r="E572" s="115" t="str">
        <x:v>de_k10_st33_textgebunden_beispiel</x:v>
      </x:c>
      <x:c r="F572" s="115" t="str">
        <x:v>schueler/de_k10_st33_textgebunden_beispiel_app.html</x:v>
      </x:c>
      <x:c r="G572" s="115" t="str">
        <x:v>lehrer/de_k10_st33_textgebunden_beispiel_orga.html</x:v>
      </x:c>
      <x:c r="H572" s="116" t="str">
        <x:v>de_10_textgebunden_033_beispiel.html</x:v>
      </x:c>
    </x:row>
    <x:row r="573" ht="42" customHeight="1">
      <x:c r="A573" s="114" t="n">
        <x:v>10</x:v>
      </x:c>
      <x:c r="B573" s="115" t="n">
        <x:v>34</x:v>
      </x:c>
      <x:c r="C573" s="115" t="str">
        <x:v>Schreiben</x:v>
      </x:c>
      <x:c r="D573" s="115" t="str">
        <x:v>Textgebunden erörtern und kommentieren: Schreibziel und Kriterien klären</x:v>
      </x:c>
      <x:c r="E573" s="115" t="str">
        <x:v>de_k10_st34_textgebunden_kriterien</x:v>
      </x:c>
      <x:c r="F573" s="115" t="str">
        <x:v>schueler/de_k10_st34_textgebunden_kriterien_app.html</x:v>
      </x:c>
      <x:c r="G573" s="115" t="str">
        <x:v>lehrer/de_k10_st34_textgebunden_kriterien_orga.html</x:v>
      </x:c>
      <x:c r="H573" s="116" t="str">
        <x:v>de_10_textgebunden_034_kriterien.html</x:v>
      </x:c>
    </x:row>
    <x:row r="574" ht="42" customHeight="1">
      <x:c r="A574" s="114" t="n">
        <x:v>10</x:v>
      </x:c>
      <x:c r="B574" s="115" t="n">
        <x:v>35</x:v>
      </x:c>
      <x:c r="C574" s="115" t="str">
        <x:v>Lesen/Umgang mit Texten</x:v>
      </x:c>
      <x:c r="D574" s="115" t="str">
        <x:v>Textgebunden erörtern und kommentieren: Inhalte auswählen und ordnen</x:v>
      </x:c>
      <x:c r="E574" s="115" t="str">
        <x:v>de_k10_st35_textgebunden_inhalte_ordnen</x:v>
      </x:c>
      <x:c r="F574" s="115" t="str">
        <x:v>schueler/de_k10_st35_textgebunden_inhalte_ordnen_app.html</x:v>
      </x:c>
      <x:c r="G574" s="115" t="str">
        <x:v>lehrer/de_k10_st35_textgebunden_inhalte_ordnen_orga.html</x:v>
      </x:c>
      <x:c r="H574" s="116" t="str">
        <x:v>de_10_textgebunden_035_inhalte_ordnen.html</x:v>
      </x:c>
    </x:row>
    <x:row r="575" ht="42" customHeight="1">
      <x:c r="A575" s="114" t="n">
        <x:v>10</x:v>
      </x:c>
      <x:c r="B575" s="115" t="n">
        <x:v>36</x:v>
      </x:c>
      <x:c r="C575" s="115" t="str">
        <x:v>Sprache untersuchen</x:v>
      </x:c>
      <x:c r="D575" s="115" t="str">
        <x:v>Textgebunden erörtern und kommentieren: Passende sprachliche Mittel verwenden</x:v>
      </x:c>
      <x:c r="E575" s="115" t="str">
        <x:v>de_k10_st36_textgebunden_sprachmittel</x:v>
      </x:c>
      <x:c r="F575" s="115" t="str">
        <x:v>schueler/de_k10_st36_textgebunden_sprachmittel_app.html</x:v>
      </x:c>
      <x:c r="G575" s="115" t="str">
        <x:v>lehrer/de_k10_st36_textgebunden_sprachmittel_orga.html</x:v>
      </x:c>
      <x:c r="H575" s="116" t="str">
        <x:v>de_10_textgebunden_036_sprachmittel.html</x:v>
      </x:c>
    </x:row>
    <x:row r="576" ht="42" customHeight="1">
      <x:c r="A576" s="114" t="n">
        <x:v>10</x:v>
      </x:c>
      <x:c r="B576" s="115" t="n">
        <x:v>37</x:v>
      </x:c>
      <x:c r="C576" s="115" t="str">
        <x:v>Schreiben</x:v>
      </x:c>
      <x:c r="D576" s="115" t="str">
        <x:v>Textgebunden erörtern und kommentieren: Einen Schreibplan erstellen</x:v>
      </x:c>
      <x:c r="E576" s="115" t="str">
        <x:v>de_k10_st37_textgebunden_schreibplan</x:v>
      </x:c>
      <x:c r="F576" s="115" t="str">
        <x:v>schueler/de_k10_st37_textgebunden_schreibplan_app.html</x:v>
      </x:c>
      <x:c r="G576" s="115" t="str">
        <x:v>lehrer/de_k10_st37_textgebunden_schreibplan_orga.html</x:v>
      </x:c>
      <x:c r="H576" s="116" t="str">
        <x:v>de_10_textgebunden_037_schreibplan.html</x:v>
      </x:c>
    </x:row>
    <x:row r="577" ht="42" customHeight="1">
      <x:c r="A577" s="114" t="n">
        <x:v>10</x:v>
      </x:c>
      <x:c r="B577" s="115" t="n">
        <x:v>38</x:v>
      </x:c>
      <x:c r="C577" s="115" t="str">
        <x:v>Schreiben</x:v>
      </x:c>
      <x:c r="D577" s="115" t="str">
        <x:v>Textgebunden erörtern und kommentieren: Einen ersten Textentwurf verfassen</x:v>
      </x:c>
      <x:c r="E577" s="115" t="str">
        <x:v>de_k10_st38_textgebunden_entwurf</x:v>
      </x:c>
      <x:c r="F577" s="115" t="str">
        <x:v>schueler/de_k10_st38_textgebunden_entwurf_app.html</x:v>
      </x:c>
      <x:c r="G577" s="115" t="str">
        <x:v>lehrer/de_k10_st38_textgebunden_entwurf_orga.html</x:v>
      </x:c>
      <x:c r="H577" s="116" t="str">
        <x:v>de_10_textgebunden_038_entwurf.html</x:v>
      </x:c>
    </x:row>
    <x:row r="578" ht="42" customHeight="1">
      <x:c r="A578" s="114" t="n">
        <x:v>10</x:v>
      </x:c>
      <x:c r="B578" s="115" t="n">
        <x:v>39</x:v>
      </x:c>
      <x:c r="C578" s="115" t="str">
        <x:v>Schreiben</x:v>
      </x:c>
      <x:c r="D578" s="115" t="str">
        <x:v>Textgebunden erörtern und kommentieren: Text kriteriengeleitet überarbeiten</x:v>
      </x:c>
      <x:c r="E578" s="115" t="str">
        <x:v>de_k10_st39_textgebunden_ueberarbeiten</x:v>
      </x:c>
      <x:c r="F578" s="115" t="str">
        <x:v>schueler/de_k10_st39_textgebunden_ueberarbeiten_app.html</x:v>
      </x:c>
      <x:c r="G578" s="115" t="str">
        <x:v>lehrer/de_k10_st39_textgebunden_ueberarbeiten_orga.html</x:v>
      </x:c>
      <x:c r="H578" s="116" t="str">
        <x:v>de_10_textgebunden_039_ueberarbeiten.html</x:v>
      </x:c>
    </x:row>
    <x:row r="579" ht="42" customHeight="1">
      <x:c r="A579" s="117" t="n">
        <x:v>10</x:v>
      </x:c>
      <x:c r="B579" s="118" t="n">
        <x:v>40</x:v>
      </x:c>
      <x:c r="C579" s="118" t="str">
        <x:v>Sprechen und Zuhören</x:v>
      </x:c>
      <x:c r="D579" s="118" t="str">
        <x:v>Textgebunden erörtern und kommentieren: Texte vorstellen und bewerten</x:v>
      </x:c>
      <x:c r="E579" s="118" t="str">
        <x:v>de_k10_st40_textgebunden_vorstellen</x:v>
      </x:c>
      <x:c r="F579" s="118" t="str">
        <x:v>schueler/de_k10_st40_textgebunden_vorstellen_app.html</x:v>
      </x:c>
      <x:c r="G579" s="118" t="str">
        <x:v>lehrer/de_k10_st40_textgebunden_vorstellen_orga.html</x:v>
      </x:c>
      <x:c r="H579" s="119" t="str">
        <x:v>de_10_textgebunden_040_vorstellen.html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02e020b68a7424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8" hidden="0" customWidth="1"/>
    <x:col min="3" max="3" width="22" hidden="0" customWidth="1"/>
    <x:col min="4" max="4" width="75" hidden="0" customWidth="1"/>
  </x:cols>
  <x:sheetData>
    <x:row r="1" ht="32" customHeight="1">
      <x:c r="A1" s="130" t="str">
        <x:v>Quellen und Planungsgrundlagen</x:v>
      </x:c>
      <x:c r="B1" s="130"/>
      <x:c r="C1" s="130"/>
      <x:c r="D1" s="130"/>
    </x:row>
    <x:row r="3">
      <x:c r="A3" s="105" t="str">
        <x:v>Quelle</x:v>
      </x:c>
      <x:c r="B3" s="106" t="str">
        <x:v>Verwendung</x:v>
      </x:c>
      <x:c r="C3" s="106" t="str">
        <x:v>Stand/Datum</x:v>
      </x:c>
      <x:c r="D3" s="107" t="str">
        <x:v>URL</x:v>
      </x:c>
    </x:row>
    <x:row r="4" ht="75" customHeight="1">
      <x:c r="A4" s="111" t="str">
        <x:v>Thüringer Lehrplan Deutsch für den Erwerb des Hauptschul- und Realschulabschlusses</x:v>
      </x:c>
      <x:c r="B4" s="112" t="str">
        <x:v>Kompetenzbereiche, Ziele für 5/6, 7/8, HSA 9 und RSA 9/10 sowie zentrale Textsorten und Schreibformen.</x:v>
      </x:c>
      <x:c r="C4" s="112" t="str">
        <x:v>2011</x:v>
      </x:c>
      <x:c r="D4" s="113" t="str">
        <x:v>https://www.schule-am-kiliansberg.de/app/download/5818961033/lp_rs_deutsch_endfassung_171212%2B%285%29.pdf</x:v>
      </x:c>
    </x:row>
    <x:row r="5" ht="75" customHeight="1">
      <x:c r="A5" s="114" t="str">
        <x:v>KMK-Bildungsstandards Deutsch für den Ersten und Mittleren Schulabschluss</x:v>
      </x:c>
      <x:c r="B5" s="115" t="str">
        <x:v>Aktualisierte abschlussbezogene Differenzierung für ESA/HSA und MSA/RSA.</x:v>
      </x:c>
      <x:c r="C5" s="115" t="str">
        <x:v>23.06.2022</x:v>
      </x:c>
      <x:c r="D5" s="116" t="str">
        <x:v>https://www.kmk.org/fileadmin/Dateien/veroeffentlichungen_beschluesse/2022/2022_06_23-Bista-ESA-MSA-Deutsch.pdf</x:v>
      </x:c>
    </x:row>
    <x:row r="6" ht="75" customHeight="1">
      <x:c r="A6" s="114" t="str">
        <x:v>Thüringer Schulordnung</x:v>
      </x:c>
      <x:c r="B6" s="115" t="str">
        <x:v>Rechtlicher Rahmen der Regelschule und der Abschlussprüfungen.</x:v>
      </x:c>
      <x:c r="C6" s="115" t="str">
        <x:v>Fassung ab 01.08.2025</x:v>
      </x:c>
      <x:c r="D6" s="116" t="str">
        <x:v>https://bildung.thueringen.de/fileadmin/ministerium/publikationen/thueringer_schulordnung.pdf</x:v>
      </x:c>
    </x:row>
    <x:row r="7" ht="75" customHeight="1">
      <x:c r="A7" s="114" t="str">
        <x:v>Rahmenstundentafel Regelschule – Anlage 2 ThürSchulO</x:v>
      </x:c>
      <x:c r="B7" s="115" t="str">
        <x:v>Orientierung für die schulinterne Verteilung der Fachstunden; der Plan weist bewusst 96 Kernstunden je Klasse aus.</x:v>
      </x:c>
      <x:c r="C7" s="115" t="str">
        <x:v>aktuelle Landesrechtsfassung</x:v>
      </x:c>
      <x:c r="D7" s="116" t="str">
        <x:v>https://landesrecht.thueringen.de/bsth/document/jlr-SchulOTH1994V47Anlage2/format/xsl</x:v>
      </x:c>
    </x:row>
    <x:row r="8" ht="75" customHeight="1">
      <x:c r="A8" s="117" t="str">
        <x:v>Hinweise zu den Änderungen der Thüringer Schulordnungen</x:v>
      </x:c>
      <x:c r="B8" s="118" t="str">
        <x:v>Leistungsdifferenzierung in Deutsch ab Klassenstufe 7.</x:v>
      </x:c>
      <x:c r="C8" s="118" t="str">
        <x:v>21.06.2024</x:v>
      </x:c>
      <x:c r="D8" s="119" t="str">
        <x:v>https://bildung.thueringen.de/fileadmin/schule/schulwesen/schulrecht/2024-06-21_ThuerSchulO_Das_ist_neu.pdf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87af3acfddf4b9c"/>
  </x:tableParts>
</x:worksheet>
</file>